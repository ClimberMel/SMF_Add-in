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3120" yWindow="816" windowWidth="19944" windowHeight="10440"/>
  </bookViews>
  <sheets>
    <sheet name="smfGetCSVFile()" sheetId="1" r:id="rId1"/>
  </sheets>
  <externalReferences>
    <externalReference r:id="rId2"/>
  </externalReferences>
  <definedNames>
    <definedName name="Dividends_Copied_From_CSV" localSheetId="0">'smfGetCSVFile()'!$O$1:$P$229</definedName>
    <definedName name="End_Date">'smfGetCSVFile()'!$K$5</definedName>
    <definedName name="Interval">'smfGetCSVFile()'!$K$6</definedName>
    <definedName name="Start_Date">'smfGetCSVFile()'!$K$4</definedName>
    <definedName name="Ticker">'smfGetCSVFile()'!$H$1</definedName>
  </definedNames>
  <calcPr calcId="125725" calcMode="manual" iterate="1" iterateCount="5"/>
</workbook>
</file>

<file path=xl/calcChain.xml><?xml version="1.0" encoding="utf-8"?>
<calcChain xmlns="http://schemas.openxmlformats.org/spreadsheetml/2006/main">
  <c r="K14" i="1"/>
  <c r="L14" s="1"/>
  <c r="E2"/>
  <c r="K2" l="1"/>
  <c r="I4"/>
  <c r="K5"/>
  <c r="J5" s="1"/>
  <c r="B2528"/>
  <c r="H2528"/>
  <c r="A1"/>
  <c r="L9"/>
  <c r="K9"/>
  <c r="K2506"/>
  <c r="E2528"/>
  <c r="G2528"/>
  <c r="A2528"/>
  <c r="K1"/>
  <c r="C2528"/>
  <c r="F2528"/>
  <c r="D2528"/>
  <c r="B1" l="1"/>
  <c r="K4"/>
  <c r="J4" s="1"/>
  <c r="B5" a="1"/>
  <c r="G5" l="1"/>
  <c r="H6"/>
  <c r="B8"/>
  <c r="A8" s="1"/>
  <c r="I8" s="1"/>
  <c r="C9"/>
  <c r="D10"/>
  <c r="E11"/>
  <c r="F12"/>
  <c r="G13"/>
  <c r="H14"/>
  <c r="B16"/>
  <c r="A16" s="1"/>
  <c r="I16" s="1"/>
  <c r="C17"/>
  <c r="D18"/>
  <c r="E19"/>
  <c r="F20"/>
  <c r="G21"/>
  <c r="H22"/>
  <c r="B24"/>
  <c r="A24" s="1"/>
  <c r="I24" s="1"/>
  <c r="C25"/>
  <c r="D26"/>
  <c r="E27"/>
  <c r="F28"/>
  <c r="G29"/>
  <c r="H30"/>
  <c r="B32"/>
  <c r="C33"/>
  <c r="D34"/>
  <c r="E35"/>
  <c r="F36"/>
  <c r="G37"/>
  <c r="H38"/>
  <c r="B40"/>
  <c r="C41"/>
  <c r="D42"/>
  <c r="E43"/>
  <c r="F44"/>
  <c r="G45"/>
  <c r="H46"/>
  <c r="B48"/>
  <c r="A48" s="1"/>
  <c r="I48" s="1"/>
  <c r="C49"/>
  <c r="D50"/>
  <c r="E51"/>
  <c r="F52"/>
  <c r="G53"/>
  <c r="H54"/>
  <c r="B56"/>
  <c r="A56" s="1"/>
  <c r="I56" s="1"/>
  <c r="C57"/>
  <c r="D58"/>
  <c r="E59"/>
  <c r="F60"/>
  <c r="G61"/>
  <c r="H62"/>
  <c r="B64"/>
  <c r="A64" s="1"/>
  <c r="I64" s="1"/>
  <c r="C65"/>
  <c r="D66"/>
  <c r="E67"/>
  <c r="F68"/>
  <c r="G69"/>
  <c r="H70"/>
  <c r="B72"/>
  <c r="A72" s="1"/>
  <c r="I72" s="1"/>
  <c r="C73"/>
  <c r="D74"/>
  <c r="E75"/>
  <c r="F76"/>
  <c r="G77"/>
  <c r="H78"/>
  <c r="B80"/>
  <c r="A80" s="1"/>
  <c r="I80" s="1"/>
  <c r="C81"/>
  <c r="D82"/>
  <c r="E83"/>
  <c r="F84"/>
  <c r="G85"/>
  <c r="H86"/>
  <c r="B88"/>
  <c r="A88" s="1"/>
  <c r="I88" s="1"/>
  <c r="C89"/>
  <c r="D90"/>
  <c r="E91"/>
  <c r="F92"/>
  <c r="G93"/>
  <c r="H94"/>
  <c r="B96"/>
  <c r="C97"/>
  <c r="D98"/>
  <c r="E99"/>
  <c r="F100"/>
  <c r="G101"/>
  <c r="H102"/>
  <c r="B104"/>
  <c r="C105"/>
  <c r="D106"/>
  <c r="E107"/>
  <c r="F108"/>
  <c r="G109"/>
  <c r="H110"/>
  <c r="B112"/>
  <c r="A112" s="1"/>
  <c r="I112" s="1"/>
  <c r="C113"/>
  <c r="D114"/>
  <c r="E115"/>
  <c r="F116"/>
  <c r="G117"/>
  <c r="H118"/>
  <c r="B120"/>
  <c r="A120" s="1"/>
  <c r="I120" s="1"/>
  <c r="C121"/>
  <c r="D122"/>
  <c r="E123"/>
  <c r="F124"/>
  <c r="G125"/>
  <c r="H126"/>
  <c r="B128"/>
  <c r="A128" s="1"/>
  <c r="I128" s="1"/>
  <c r="C129"/>
  <c r="D130"/>
  <c r="E131"/>
  <c r="F132"/>
  <c r="G133"/>
  <c r="H134"/>
  <c r="B136"/>
  <c r="A136" s="1"/>
  <c r="I136" s="1"/>
  <c r="C137"/>
  <c r="D138"/>
  <c r="E139"/>
  <c r="F140"/>
  <c r="G141"/>
  <c r="H142"/>
  <c r="B144"/>
  <c r="A144" s="1"/>
  <c r="I144" s="1"/>
  <c r="C145"/>
  <c r="D146"/>
  <c r="E147"/>
  <c r="F148"/>
  <c r="G149"/>
  <c r="H150"/>
  <c r="B152"/>
  <c r="A152" s="1"/>
  <c r="I152" s="1"/>
  <c r="C153"/>
  <c r="D154"/>
  <c r="E155"/>
  <c r="F156"/>
  <c r="G157"/>
  <c r="H158"/>
  <c r="B160"/>
  <c r="C161"/>
  <c r="D162"/>
  <c r="E163"/>
  <c r="F164"/>
  <c r="G165"/>
  <c r="H166"/>
  <c r="B168"/>
  <c r="C169"/>
  <c r="D170"/>
  <c r="E171"/>
  <c r="F172"/>
  <c r="G173"/>
  <c r="H174"/>
  <c r="B176"/>
  <c r="A176" s="1"/>
  <c r="I176" s="1"/>
  <c r="C177"/>
  <c r="D178"/>
  <c r="E179"/>
  <c r="F180"/>
  <c r="G181"/>
  <c r="H182"/>
  <c r="B184"/>
  <c r="A184" s="1"/>
  <c r="I184" s="1"/>
  <c r="C185"/>
  <c r="D186"/>
  <c r="E187"/>
  <c r="F188"/>
  <c r="G189"/>
  <c r="H190"/>
  <c r="B192"/>
  <c r="A192" s="1"/>
  <c r="I192" s="1"/>
  <c r="C193"/>
  <c r="D194"/>
  <c r="E195"/>
  <c r="F196"/>
  <c r="G197"/>
  <c r="H198"/>
  <c r="B200"/>
  <c r="A200" s="1"/>
  <c r="I200" s="1"/>
  <c r="C201"/>
  <c r="D202"/>
  <c r="E203"/>
  <c r="F204"/>
  <c r="G205"/>
  <c r="H206"/>
  <c r="B208"/>
  <c r="A208" s="1"/>
  <c r="I208" s="1"/>
  <c r="C209"/>
  <c r="D210"/>
  <c r="E211"/>
  <c r="F212"/>
  <c r="G213"/>
  <c r="H214"/>
  <c r="B216"/>
  <c r="A216" s="1"/>
  <c r="I216" s="1"/>
  <c r="C217"/>
  <c r="D218"/>
  <c r="E219"/>
  <c r="F220"/>
  <c r="G221"/>
  <c r="H222"/>
  <c r="B224"/>
  <c r="C225"/>
  <c r="D226"/>
  <c r="E227"/>
  <c r="F228"/>
  <c r="G229"/>
  <c r="H230"/>
  <c r="B232"/>
  <c r="C233"/>
  <c r="D234"/>
  <c r="E235"/>
  <c r="F236"/>
  <c r="G237"/>
  <c r="H238"/>
  <c r="B240"/>
  <c r="A240" s="1"/>
  <c r="I240" s="1"/>
  <c r="C241"/>
  <c r="D242"/>
  <c r="E243"/>
  <c r="F244"/>
  <c r="G245"/>
  <c r="H246"/>
  <c r="B248"/>
  <c r="A248" s="1"/>
  <c r="I248" s="1"/>
  <c r="C249"/>
  <c r="D250"/>
  <c r="E251"/>
  <c r="F252"/>
  <c r="G253"/>
  <c r="H254"/>
  <c r="B256"/>
  <c r="A256" s="1"/>
  <c r="I256" s="1"/>
  <c r="C257"/>
  <c r="D258"/>
  <c r="E259"/>
  <c r="F260"/>
  <c r="G261"/>
  <c r="H262"/>
  <c r="B264"/>
  <c r="A264" s="1"/>
  <c r="I264" s="1"/>
  <c r="C265"/>
  <c r="D266"/>
  <c r="E267"/>
  <c r="F268"/>
  <c r="G269"/>
  <c r="H270"/>
  <c r="B272"/>
  <c r="A272" s="1"/>
  <c r="I272" s="1"/>
  <c r="C273"/>
  <c r="D274"/>
  <c r="E275"/>
  <c r="F276"/>
  <c r="G277"/>
  <c r="H278"/>
  <c r="B280"/>
  <c r="A280" s="1"/>
  <c r="I280" s="1"/>
  <c r="C281"/>
  <c r="D282"/>
  <c r="E283"/>
  <c r="F284"/>
  <c r="G285"/>
  <c r="H286"/>
  <c r="B288"/>
  <c r="C289"/>
  <c r="D290"/>
  <c r="E291"/>
  <c r="F292"/>
  <c r="G293"/>
  <c r="H294"/>
  <c r="B296"/>
  <c r="F5"/>
  <c r="G6"/>
  <c r="H7"/>
  <c r="B9"/>
  <c r="A9" s="1"/>
  <c r="I9" s="1"/>
  <c r="C10"/>
  <c r="D11"/>
  <c r="E12"/>
  <c r="F13"/>
  <c r="G14"/>
  <c r="H15"/>
  <c r="B17"/>
  <c r="A17" s="1"/>
  <c r="I17" s="1"/>
  <c r="C18"/>
  <c r="D19"/>
  <c r="E20"/>
  <c r="F21"/>
  <c r="G22"/>
  <c r="H23"/>
  <c r="B25"/>
  <c r="A25" s="1"/>
  <c r="I25" s="1"/>
  <c r="C26"/>
  <c r="D27"/>
  <c r="E28"/>
  <c r="F29"/>
  <c r="G30"/>
  <c r="H31"/>
  <c r="B33"/>
  <c r="C34"/>
  <c r="D35"/>
  <c r="E36"/>
  <c r="F37"/>
  <c r="G38"/>
  <c r="H39"/>
  <c r="B41"/>
  <c r="C42"/>
  <c r="D43"/>
  <c r="E44"/>
  <c r="F45"/>
  <c r="G46"/>
  <c r="H47"/>
  <c r="B49"/>
  <c r="A49" s="1"/>
  <c r="I49" s="1"/>
  <c r="C50"/>
  <c r="D51"/>
  <c r="E52"/>
  <c r="F53"/>
  <c r="G54"/>
  <c r="H55"/>
  <c r="B57"/>
  <c r="A57" s="1"/>
  <c r="I57" s="1"/>
  <c r="C58"/>
  <c r="D59"/>
  <c r="E60"/>
  <c r="F61"/>
  <c r="G62"/>
  <c r="H63"/>
  <c r="B65"/>
  <c r="A65" s="1"/>
  <c r="I65" s="1"/>
  <c r="C66"/>
  <c r="D67"/>
  <c r="E68"/>
  <c r="F69"/>
  <c r="G70"/>
  <c r="H71"/>
  <c r="B73"/>
  <c r="A73" s="1"/>
  <c r="I73" s="1"/>
  <c r="C74"/>
  <c r="D75"/>
  <c r="E76"/>
  <c r="F77"/>
  <c r="G78"/>
  <c r="H79"/>
  <c r="B81"/>
  <c r="A81" s="1"/>
  <c r="I81" s="1"/>
  <c r="C82"/>
  <c r="D83"/>
  <c r="E84"/>
  <c r="F85"/>
  <c r="G86"/>
  <c r="H87"/>
  <c r="B89"/>
  <c r="A89" s="1"/>
  <c r="I89" s="1"/>
  <c r="C90"/>
  <c r="D91"/>
  <c r="E92"/>
  <c r="F93"/>
  <c r="G94"/>
  <c r="H95"/>
  <c r="B97"/>
  <c r="C98"/>
  <c r="D99"/>
  <c r="E100"/>
  <c r="F101"/>
  <c r="G102"/>
  <c r="H103"/>
  <c r="B105"/>
  <c r="C106"/>
  <c r="D107"/>
  <c r="E108"/>
  <c r="F109"/>
  <c r="G110"/>
  <c r="H111"/>
  <c r="B113"/>
  <c r="A113" s="1"/>
  <c r="I113" s="1"/>
  <c r="C114"/>
  <c r="D115"/>
  <c r="E116"/>
  <c r="F117"/>
  <c r="G118"/>
  <c r="H119"/>
  <c r="B121"/>
  <c r="A121" s="1"/>
  <c r="I121" s="1"/>
  <c r="C122"/>
  <c r="D123"/>
  <c r="E124"/>
  <c r="F125"/>
  <c r="G126"/>
  <c r="H127"/>
  <c r="B129"/>
  <c r="A129" s="1"/>
  <c r="I129" s="1"/>
  <c r="C130"/>
  <c r="D131"/>
  <c r="E132"/>
  <c r="F133"/>
  <c r="G134"/>
  <c r="H135"/>
  <c r="B137"/>
  <c r="A137" s="1"/>
  <c r="I137" s="1"/>
  <c r="C138"/>
  <c r="D139"/>
  <c r="E140"/>
  <c r="F141"/>
  <c r="G142"/>
  <c r="H143"/>
  <c r="B145"/>
  <c r="A145" s="1"/>
  <c r="I145" s="1"/>
  <c r="C146"/>
  <c r="D147"/>
  <c r="E148"/>
  <c r="F149"/>
  <c r="G150"/>
  <c r="H151"/>
  <c r="B153"/>
  <c r="A153" s="1"/>
  <c r="I153" s="1"/>
  <c r="C154"/>
  <c r="D155"/>
  <c r="E156"/>
  <c r="F157"/>
  <c r="G158"/>
  <c r="H159"/>
  <c r="B161"/>
  <c r="C162"/>
  <c r="D163"/>
  <c r="E164"/>
  <c r="F165"/>
  <c r="G166"/>
  <c r="H167"/>
  <c r="B169"/>
  <c r="C170"/>
  <c r="D171"/>
  <c r="E172"/>
  <c r="F173"/>
  <c r="G174"/>
  <c r="H175"/>
  <c r="B177"/>
  <c r="A177" s="1"/>
  <c r="I177" s="1"/>
  <c r="C178"/>
  <c r="D179"/>
  <c r="E180"/>
  <c r="F181"/>
  <c r="G182"/>
  <c r="H183"/>
  <c r="B185"/>
  <c r="A185" s="1"/>
  <c r="I185" s="1"/>
  <c r="C186"/>
  <c r="D187"/>
  <c r="E188"/>
  <c r="F189"/>
  <c r="G190"/>
  <c r="H191"/>
  <c r="B193"/>
  <c r="A193" s="1"/>
  <c r="I193" s="1"/>
  <c r="C194"/>
  <c r="D195"/>
  <c r="E196"/>
  <c r="F197"/>
  <c r="G198"/>
  <c r="H199"/>
  <c r="B201"/>
  <c r="A201" s="1"/>
  <c r="I201" s="1"/>
  <c r="C202"/>
  <c r="D203"/>
  <c r="E204"/>
  <c r="F205"/>
  <c r="G206"/>
  <c r="H207"/>
  <c r="B209"/>
  <c r="A209" s="1"/>
  <c r="I209" s="1"/>
  <c r="C210"/>
  <c r="D211"/>
  <c r="E212"/>
  <c r="F213"/>
  <c r="G214"/>
  <c r="H215"/>
  <c r="B217"/>
  <c r="A217" s="1"/>
  <c r="I217" s="1"/>
  <c r="C218"/>
  <c r="D219"/>
  <c r="E220"/>
  <c r="F221"/>
  <c r="G222"/>
  <c r="H223"/>
  <c r="B225"/>
  <c r="C226"/>
  <c r="D227"/>
  <c r="E228"/>
  <c r="F229"/>
  <c r="G230"/>
  <c r="H231"/>
  <c r="B233"/>
  <c r="C234"/>
  <c r="D235"/>
  <c r="E236"/>
  <c r="F237"/>
  <c r="G238"/>
  <c r="H239"/>
  <c r="B241"/>
  <c r="A241" s="1"/>
  <c r="I241" s="1"/>
  <c r="C242"/>
  <c r="D243"/>
  <c r="E244"/>
  <c r="F245"/>
  <c r="G246"/>
  <c r="H247"/>
  <c r="B249"/>
  <c r="A249" s="1"/>
  <c r="I249" s="1"/>
  <c r="C250"/>
  <c r="D251"/>
  <c r="E252"/>
  <c r="F253"/>
  <c r="G254"/>
  <c r="H255"/>
  <c r="B257"/>
  <c r="A257" s="1"/>
  <c r="I257" s="1"/>
  <c r="E5"/>
  <c r="F6"/>
  <c r="G7"/>
  <c r="H8"/>
  <c r="B10"/>
  <c r="A10" s="1"/>
  <c r="I10" s="1"/>
  <c r="C11"/>
  <c r="D12"/>
  <c r="E13"/>
  <c r="F14"/>
  <c r="G15"/>
  <c r="H16"/>
  <c r="B18"/>
  <c r="C19"/>
  <c r="D20"/>
  <c r="E21"/>
  <c r="F22"/>
  <c r="G23"/>
  <c r="H24"/>
  <c r="B26"/>
  <c r="C27"/>
  <c r="D28"/>
  <c r="E29"/>
  <c r="F30"/>
  <c r="G31"/>
  <c r="H32"/>
  <c r="B34"/>
  <c r="A34" s="1"/>
  <c r="I34" s="1"/>
  <c r="C35"/>
  <c r="D36"/>
  <c r="E37"/>
  <c r="F38"/>
  <c r="G39"/>
  <c r="H40"/>
  <c r="B42"/>
  <c r="A42" s="1"/>
  <c r="I42" s="1"/>
  <c r="C43"/>
  <c r="D44"/>
  <c r="E45"/>
  <c r="F46"/>
  <c r="G47"/>
  <c r="H48"/>
  <c r="B50"/>
  <c r="A50" s="1"/>
  <c r="I50" s="1"/>
  <c r="C51"/>
  <c r="D52"/>
  <c r="E53"/>
  <c r="F54"/>
  <c r="G55"/>
  <c r="H56"/>
  <c r="B58"/>
  <c r="A58" s="1"/>
  <c r="I58" s="1"/>
  <c r="C59"/>
  <c r="D60"/>
  <c r="E61"/>
  <c r="F62"/>
  <c r="G63"/>
  <c r="H64"/>
  <c r="B66"/>
  <c r="A66" s="1"/>
  <c r="I66" s="1"/>
  <c r="C67"/>
  <c r="D68"/>
  <c r="E69"/>
  <c r="F70"/>
  <c r="G71"/>
  <c r="H72"/>
  <c r="B74"/>
  <c r="A74" s="1"/>
  <c r="I74" s="1"/>
  <c r="C75"/>
  <c r="D76"/>
  <c r="E77"/>
  <c r="F78"/>
  <c r="G79"/>
  <c r="H80"/>
  <c r="B82"/>
  <c r="C83"/>
  <c r="D84"/>
  <c r="E85"/>
  <c r="F86"/>
  <c r="G87"/>
  <c r="H88"/>
  <c r="B90"/>
  <c r="C91"/>
  <c r="D92"/>
  <c r="E93"/>
  <c r="F94"/>
  <c r="G95"/>
  <c r="H96"/>
  <c r="B98"/>
  <c r="A98" s="1"/>
  <c r="I98" s="1"/>
  <c r="C99"/>
  <c r="D100"/>
  <c r="E101"/>
  <c r="F102"/>
  <c r="G103"/>
  <c r="H104"/>
  <c r="B106"/>
  <c r="A106" s="1"/>
  <c r="I106" s="1"/>
  <c r="C107"/>
  <c r="D108"/>
  <c r="E109"/>
  <c r="F110"/>
  <c r="G111"/>
  <c r="H112"/>
  <c r="B114"/>
  <c r="A114" s="1"/>
  <c r="I114" s="1"/>
  <c r="C115"/>
  <c r="D116"/>
  <c r="E117"/>
  <c r="F118"/>
  <c r="G119"/>
  <c r="H120"/>
  <c r="B122"/>
  <c r="A122" s="1"/>
  <c r="I122" s="1"/>
  <c r="C123"/>
  <c r="D124"/>
  <c r="E125"/>
  <c r="F126"/>
  <c r="G127"/>
  <c r="H128"/>
  <c r="B130"/>
  <c r="A130" s="1"/>
  <c r="I130" s="1"/>
  <c r="C131"/>
  <c r="D132"/>
  <c r="E133"/>
  <c r="F134"/>
  <c r="G135"/>
  <c r="H136"/>
  <c r="B138"/>
  <c r="A138" s="1"/>
  <c r="I138" s="1"/>
  <c r="C139"/>
  <c r="D140"/>
  <c r="E141"/>
  <c r="F142"/>
  <c r="G143"/>
  <c r="H144"/>
  <c r="B146"/>
  <c r="C147"/>
  <c r="D148"/>
  <c r="E149"/>
  <c r="F150"/>
  <c r="G151"/>
  <c r="H152"/>
  <c r="B154"/>
  <c r="C155"/>
  <c r="D156"/>
  <c r="E157"/>
  <c r="F158"/>
  <c r="G159"/>
  <c r="H160"/>
  <c r="B162"/>
  <c r="A162" s="1"/>
  <c r="I162" s="1"/>
  <c r="C163"/>
  <c r="D164"/>
  <c r="E165"/>
  <c r="F166"/>
  <c r="G167"/>
  <c r="H168"/>
  <c r="B170"/>
  <c r="A170" s="1"/>
  <c r="I170" s="1"/>
  <c r="C171"/>
  <c r="D172"/>
  <c r="E173"/>
  <c r="F174"/>
  <c r="G175"/>
  <c r="H176"/>
  <c r="B178"/>
  <c r="A178" s="1"/>
  <c r="I178" s="1"/>
  <c r="C179"/>
  <c r="D180"/>
  <c r="E181"/>
  <c r="D5"/>
  <c r="E6"/>
  <c r="F7"/>
  <c r="G8"/>
  <c r="H9"/>
  <c r="B11"/>
  <c r="A11" s="1"/>
  <c r="I11" s="1"/>
  <c r="C12"/>
  <c r="D13"/>
  <c r="E14"/>
  <c r="F15"/>
  <c r="G16"/>
  <c r="H17"/>
  <c r="B19"/>
  <c r="A19" s="1"/>
  <c r="I19" s="1"/>
  <c r="C20"/>
  <c r="D21"/>
  <c r="E22"/>
  <c r="F23"/>
  <c r="G24"/>
  <c r="H25"/>
  <c r="B27"/>
  <c r="A27" s="1"/>
  <c r="I27" s="1"/>
  <c r="C28"/>
  <c r="D29"/>
  <c r="E30"/>
  <c r="F31"/>
  <c r="G32"/>
  <c r="H33"/>
  <c r="B35"/>
  <c r="A35" s="1"/>
  <c r="I35" s="1"/>
  <c r="C36"/>
  <c r="D37"/>
  <c r="E38"/>
  <c r="F39"/>
  <c r="G40"/>
  <c r="H41"/>
  <c r="B43"/>
  <c r="A43" s="1"/>
  <c r="I43" s="1"/>
  <c r="C44"/>
  <c r="D45"/>
  <c r="E46"/>
  <c r="F47"/>
  <c r="G48"/>
  <c r="H49"/>
  <c r="B51"/>
  <c r="C52"/>
  <c r="D53"/>
  <c r="E54"/>
  <c r="F55"/>
  <c r="G56"/>
  <c r="H57"/>
  <c r="B59"/>
  <c r="C60"/>
  <c r="D61"/>
  <c r="E62"/>
  <c r="F63"/>
  <c r="G64"/>
  <c r="H65"/>
  <c r="B67"/>
  <c r="A67" s="1"/>
  <c r="I67" s="1"/>
  <c r="C68"/>
  <c r="D69"/>
  <c r="E70"/>
  <c r="F71"/>
  <c r="G72"/>
  <c r="H73"/>
  <c r="B75"/>
  <c r="A75" s="1"/>
  <c r="I75" s="1"/>
  <c r="C76"/>
  <c r="D77"/>
  <c r="E78"/>
  <c r="F79"/>
  <c r="G80"/>
  <c r="H81"/>
  <c r="B83"/>
  <c r="A83" s="1"/>
  <c r="I83" s="1"/>
  <c r="C84"/>
  <c r="D85"/>
  <c r="E86"/>
  <c r="F87"/>
  <c r="G88"/>
  <c r="H89"/>
  <c r="B91"/>
  <c r="A91" s="1"/>
  <c r="I91" s="1"/>
  <c r="C92"/>
  <c r="D93"/>
  <c r="E94"/>
  <c r="F95"/>
  <c r="G96"/>
  <c r="H97"/>
  <c r="B99"/>
  <c r="A99" s="1"/>
  <c r="I99" s="1"/>
  <c r="C100"/>
  <c r="D101"/>
  <c r="E102"/>
  <c r="F103"/>
  <c r="G104"/>
  <c r="H105"/>
  <c r="B107"/>
  <c r="A107" s="1"/>
  <c r="I107" s="1"/>
  <c r="C108"/>
  <c r="D109"/>
  <c r="E110"/>
  <c r="F111"/>
  <c r="G112"/>
  <c r="H113"/>
  <c r="B115"/>
  <c r="C116"/>
  <c r="D117"/>
  <c r="E118"/>
  <c r="F119"/>
  <c r="G120"/>
  <c r="H121"/>
  <c r="B123"/>
  <c r="C124"/>
  <c r="D125"/>
  <c r="E126"/>
  <c r="F127"/>
  <c r="G128"/>
  <c r="H129"/>
  <c r="B131"/>
  <c r="A131" s="1"/>
  <c r="I131" s="1"/>
  <c r="C132"/>
  <c r="D133"/>
  <c r="E134"/>
  <c r="F135"/>
  <c r="G136"/>
  <c r="H137"/>
  <c r="B139"/>
  <c r="A139" s="1"/>
  <c r="I139" s="1"/>
  <c r="C140"/>
  <c r="D141"/>
  <c r="E142"/>
  <c r="F143"/>
  <c r="G144"/>
  <c r="H145"/>
  <c r="B147"/>
  <c r="A147" s="1"/>
  <c r="I147" s="1"/>
  <c r="C148"/>
  <c r="D149"/>
  <c r="E150"/>
  <c r="F151"/>
  <c r="G152"/>
  <c r="H153"/>
  <c r="B155"/>
  <c r="A155" s="1"/>
  <c r="I155" s="1"/>
  <c r="C156"/>
  <c r="D157"/>
  <c r="E158"/>
  <c r="F159"/>
  <c r="G160"/>
  <c r="H161"/>
  <c r="B163"/>
  <c r="A163" s="1"/>
  <c r="I163" s="1"/>
  <c r="C164"/>
  <c r="D165"/>
  <c r="E166"/>
  <c r="F167"/>
  <c r="G168"/>
  <c r="H169"/>
  <c r="B171"/>
  <c r="A171" s="1"/>
  <c r="I171" s="1"/>
  <c r="C172"/>
  <c r="D173"/>
  <c r="E174"/>
  <c r="F175"/>
  <c r="G176"/>
  <c r="H177"/>
  <c r="B179"/>
  <c r="C180"/>
  <c r="D181"/>
  <c r="E182"/>
  <c r="F183"/>
  <c r="G184"/>
  <c r="H185"/>
  <c r="B187"/>
  <c r="C188"/>
  <c r="D189"/>
  <c r="E190"/>
  <c r="F191"/>
  <c r="G192"/>
  <c r="H193"/>
  <c r="B195"/>
  <c r="A195" s="1"/>
  <c r="I195" s="1"/>
  <c r="C196"/>
  <c r="D197"/>
  <c r="E198"/>
  <c r="F199"/>
  <c r="G200"/>
  <c r="H201"/>
  <c r="B203"/>
  <c r="A203" s="1"/>
  <c r="I203" s="1"/>
  <c r="C204"/>
  <c r="D205"/>
  <c r="E206"/>
  <c r="F207"/>
  <c r="G208"/>
  <c r="H209"/>
  <c r="B211"/>
  <c r="A211" s="1"/>
  <c r="I211" s="1"/>
  <c r="C212"/>
  <c r="D213"/>
  <c r="E214"/>
  <c r="F215"/>
  <c r="G216"/>
  <c r="H217"/>
  <c r="B219"/>
  <c r="A219" s="1"/>
  <c r="I219" s="1"/>
  <c r="C220"/>
  <c r="D221"/>
  <c r="E222"/>
  <c r="F223"/>
  <c r="G224"/>
  <c r="H225"/>
  <c r="B227"/>
  <c r="A227" s="1"/>
  <c r="I227" s="1"/>
  <c r="C228"/>
  <c r="D229"/>
  <c r="E230"/>
  <c r="F231"/>
  <c r="G232"/>
  <c r="H233"/>
  <c r="B235"/>
  <c r="A235" s="1"/>
  <c r="I235" s="1"/>
  <c r="C236"/>
  <c r="D237"/>
  <c r="E238"/>
  <c r="F239"/>
  <c r="G240"/>
  <c r="H241"/>
  <c r="B243"/>
  <c r="C244"/>
  <c r="D245"/>
  <c r="E246"/>
  <c r="F247"/>
  <c r="G248"/>
  <c r="H249"/>
  <c r="B251"/>
  <c r="C252"/>
  <c r="D253"/>
  <c r="E254"/>
  <c r="F255"/>
  <c r="G256"/>
  <c r="C5"/>
  <c r="E7"/>
  <c r="G9"/>
  <c r="B12"/>
  <c r="D14"/>
  <c r="F16"/>
  <c r="H18"/>
  <c r="C21"/>
  <c r="E23"/>
  <c r="G25"/>
  <c r="B28"/>
  <c r="D30"/>
  <c r="F32"/>
  <c r="H34"/>
  <c r="C37"/>
  <c r="E39"/>
  <c r="G41"/>
  <c r="B44"/>
  <c r="A44" s="1"/>
  <c r="I44" s="1"/>
  <c r="D46"/>
  <c r="F48"/>
  <c r="H50"/>
  <c r="C53"/>
  <c r="E55"/>
  <c r="G57"/>
  <c r="B60"/>
  <c r="A60" s="1"/>
  <c r="I60" s="1"/>
  <c r="D62"/>
  <c r="F64"/>
  <c r="H66"/>
  <c r="C69"/>
  <c r="E71"/>
  <c r="G73"/>
  <c r="B76"/>
  <c r="A76" s="1"/>
  <c r="I76" s="1"/>
  <c r="D78"/>
  <c r="F80"/>
  <c r="H82"/>
  <c r="C85"/>
  <c r="E87"/>
  <c r="G89"/>
  <c r="B92"/>
  <c r="A92" s="1"/>
  <c r="I92" s="1"/>
  <c r="D94"/>
  <c r="F96"/>
  <c r="H98"/>
  <c r="C101"/>
  <c r="E103"/>
  <c r="G105"/>
  <c r="B108"/>
  <c r="A108" s="1"/>
  <c r="I108" s="1"/>
  <c r="D110"/>
  <c r="F112"/>
  <c r="H114"/>
  <c r="C117"/>
  <c r="E119"/>
  <c r="G121"/>
  <c r="B124"/>
  <c r="A124" s="1"/>
  <c r="I124" s="1"/>
  <c r="D126"/>
  <c r="F128"/>
  <c r="H130"/>
  <c r="C133"/>
  <c r="E135"/>
  <c r="G137"/>
  <c r="B140"/>
  <c r="D142"/>
  <c r="F144"/>
  <c r="H146"/>
  <c r="C149"/>
  <c r="E151"/>
  <c r="G153"/>
  <c r="B156"/>
  <c r="D158"/>
  <c r="F160"/>
  <c r="H162"/>
  <c r="C165"/>
  <c r="E167"/>
  <c r="G169"/>
  <c r="B172"/>
  <c r="A172" s="1"/>
  <c r="I172" s="1"/>
  <c r="D174"/>
  <c r="F176"/>
  <c r="H178"/>
  <c r="C181"/>
  <c r="D183"/>
  <c r="D185"/>
  <c r="H186"/>
  <c r="H188"/>
  <c r="F190"/>
  <c r="E192"/>
  <c r="E194"/>
  <c r="B196"/>
  <c r="A196" s="1"/>
  <c r="I196" s="1"/>
  <c r="B198"/>
  <c r="A198" s="1"/>
  <c r="I198" s="1"/>
  <c r="G199"/>
  <c r="F201"/>
  <c r="F203"/>
  <c r="C205"/>
  <c r="C207"/>
  <c r="H208"/>
  <c r="G210"/>
  <c r="G212"/>
  <c r="D214"/>
  <c r="B5"/>
  <c r="D7"/>
  <c r="F9"/>
  <c r="H11"/>
  <c r="C14"/>
  <c r="E16"/>
  <c r="G18"/>
  <c r="B21"/>
  <c r="A21" s="1"/>
  <c r="I21" s="1"/>
  <c r="D23"/>
  <c r="F25"/>
  <c r="H27"/>
  <c r="C30"/>
  <c r="E32"/>
  <c r="G34"/>
  <c r="B37"/>
  <c r="A37" s="1"/>
  <c r="I37" s="1"/>
  <c r="D39"/>
  <c r="F41"/>
  <c r="H43"/>
  <c r="C46"/>
  <c r="E48"/>
  <c r="G50"/>
  <c r="B53"/>
  <c r="A53" s="1"/>
  <c r="I53" s="1"/>
  <c r="D55"/>
  <c r="F57"/>
  <c r="H59"/>
  <c r="C62"/>
  <c r="E64"/>
  <c r="G66"/>
  <c r="B69"/>
  <c r="A69" s="1"/>
  <c r="I69" s="1"/>
  <c r="D71"/>
  <c r="F73"/>
  <c r="H75"/>
  <c r="C78"/>
  <c r="E80"/>
  <c r="G82"/>
  <c r="B85"/>
  <c r="D87"/>
  <c r="F89"/>
  <c r="H91"/>
  <c r="C94"/>
  <c r="E96"/>
  <c r="G98"/>
  <c r="B101"/>
  <c r="D103"/>
  <c r="F105"/>
  <c r="H107"/>
  <c r="C110"/>
  <c r="E112"/>
  <c r="G114"/>
  <c r="B117"/>
  <c r="A117" s="1"/>
  <c r="I117" s="1"/>
  <c r="D119"/>
  <c r="F121"/>
  <c r="H123"/>
  <c r="C126"/>
  <c r="E128"/>
  <c r="G130"/>
  <c r="B133"/>
  <c r="A133" s="1"/>
  <c r="I133" s="1"/>
  <c r="D135"/>
  <c r="F137"/>
  <c r="H139"/>
  <c r="C142"/>
  <c r="E144"/>
  <c r="G146"/>
  <c r="B149"/>
  <c r="A149" s="1"/>
  <c r="I149" s="1"/>
  <c r="D151"/>
  <c r="F153"/>
  <c r="H155"/>
  <c r="C158"/>
  <c r="E160"/>
  <c r="G162"/>
  <c r="B165"/>
  <c r="A165" s="1"/>
  <c r="I165" s="1"/>
  <c r="D167"/>
  <c r="F169"/>
  <c r="H171"/>
  <c r="C174"/>
  <c r="E176"/>
  <c r="G178"/>
  <c r="B181"/>
  <c r="A181" s="1"/>
  <c r="I181" s="1"/>
  <c r="C183"/>
  <c r="H184"/>
  <c r="G186"/>
  <c r="G188"/>
  <c r="D190"/>
  <c r="D192"/>
  <c r="B194"/>
  <c r="A194" s="1"/>
  <c r="I194" s="1"/>
  <c r="H195"/>
  <c r="H197"/>
  <c r="E199"/>
  <c r="E201"/>
  <c r="C203"/>
  <c r="B205"/>
  <c r="B207"/>
  <c r="F208"/>
  <c r="F210"/>
  <c r="D212"/>
  <c r="C214"/>
  <c r="B7"/>
  <c r="A7" s="1"/>
  <c r="I7" s="1"/>
  <c r="D9"/>
  <c r="F11"/>
  <c r="H13"/>
  <c r="C16"/>
  <c r="E18"/>
  <c r="G20"/>
  <c r="B23"/>
  <c r="A23" s="1"/>
  <c r="I23" s="1"/>
  <c r="D25"/>
  <c r="F27"/>
  <c r="H29"/>
  <c r="C32"/>
  <c r="E34"/>
  <c r="G36"/>
  <c r="B39"/>
  <c r="A39" s="1"/>
  <c r="I39" s="1"/>
  <c r="D41"/>
  <c r="F43"/>
  <c r="H45"/>
  <c r="C48"/>
  <c r="E50"/>
  <c r="G52"/>
  <c r="B55"/>
  <c r="A55" s="1"/>
  <c r="I55" s="1"/>
  <c r="D57"/>
  <c r="F59"/>
  <c r="H61"/>
  <c r="C64"/>
  <c r="E66"/>
  <c r="G68"/>
  <c r="B71"/>
  <c r="A71" s="1"/>
  <c r="I71" s="1"/>
  <c r="D73"/>
  <c r="F75"/>
  <c r="H77"/>
  <c r="C80"/>
  <c r="E82"/>
  <c r="G84"/>
  <c r="B87"/>
  <c r="D89"/>
  <c r="F91"/>
  <c r="H93"/>
  <c r="C96"/>
  <c r="E98"/>
  <c r="G100"/>
  <c r="B103"/>
  <c r="D105"/>
  <c r="F107"/>
  <c r="H109"/>
  <c r="C112"/>
  <c r="E114"/>
  <c r="G116"/>
  <c r="B119"/>
  <c r="A119" s="1"/>
  <c r="I119" s="1"/>
  <c r="D121"/>
  <c r="F123"/>
  <c r="H125"/>
  <c r="C128"/>
  <c r="E130"/>
  <c r="G132"/>
  <c r="B135"/>
  <c r="A135" s="1"/>
  <c r="I135" s="1"/>
  <c r="D137"/>
  <c r="F139"/>
  <c r="H141"/>
  <c r="C144"/>
  <c r="E146"/>
  <c r="G148"/>
  <c r="B151"/>
  <c r="A151" s="1"/>
  <c r="I151" s="1"/>
  <c r="D153"/>
  <c r="F155"/>
  <c r="H157"/>
  <c r="C160"/>
  <c r="E162"/>
  <c r="G164"/>
  <c r="B167"/>
  <c r="A167" s="1"/>
  <c r="I167" s="1"/>
  <c r="D169"/>
  <c r="F171"/>
  <c r="H173"/>
  <c r="C176"/>
  <c r="E178"/>
  <c r="G180"/>
  <c r="F182"/>
  <c r="E184"/>
  <c r="E186"/>
  <c r="B188"/>
  <c r="A188" s="1"/>
  <c r="I188" s="1"/>
  <c r="B190"/>
  <c r="A190" s="1"/>
  <c r="I190" s="1"/>
  <c r="G191"/>
  <c r="F193"/>
  <c r="F195"/>
  <c r="C197"/>
  <c r="C199"/>
  <c r="H200"/>
  <c r="G202"/>
  <c r="G204"/>
  <c r="D206"/>
  <c r="D208"/>
  <c r="B210"/>
  <c r="A210" s="1"/>
  <c r="I210" s="1"/>
  <c r="H211"/>
  <c r="H213"/>
  <c r="E215"/>
  <c r="E217"/>
  <c r="C219"/>
  <c r="B221"/>
  <c r="B223"/>
  <c r="F224"/>
  <c r="F226"/>
  <c r="D228"/>
  <c r="C230"/>
  <c r="C232"/>
  <c r="G233"/>
  <c r="G235"/>
  <c r="E237"/>
  <c r="D239"/>
  <c r="D241"/>
  <c r="H242"/>
  <c r="H244"/>
  <c r="F246"/>
  <c r="E248"/>
  <c r="E250"/>
  <c r="B252"/>
  <c r="B254"/>
  <c r="A254" s="1"/>
  <c r="I254" s="1"/>
  <c r="G255"/>
  <c r="F257"/>
  <c r="H258"/>
  <c r="C260"/>
  <c r="E261"/>
  <c r="G262"/>
  <c r="C264"/>
  <c r="E265"/>
  <c r="G266"/>
  <c r="B268"/>
  <c r="A268" s="1"/>
  <c r="I268" s="1"/>
  <c r="D269"/>
  <c r="F270"/>
  <c r="H271"/>
  <c r="D273"/>
  <c r="F274"/>
  <c r="H275"/>
  <c r="C277"/>
  <c r="E278"/>
  <c r="G279"/>
  <c r="B281"/>
  <c r="A281" s="1"/>
  <c r="I281" s="1"/>
  <c r="E282"/>
  <c r="G283"/>
  <c r="B285"/>
  <c r="D286"/>
  <c r="F287"/>
  <c r="H288"/>
  <c r="C290"/>
  <c r="F291"/>
  <c r="H292"/>
  <c r="C294"/>
  <c r="E295"/>
  <c r="G296"/>
  <c r="H297"/>
  <c r="B299"/>
  <c r="A299" s="1"/>
  <c r="I299" s="1"/>
  <c r="C300"/>
  <c r="D301"/>
  <c r="E302"/>
  <c r="F303"/>
  <c r="G304"/>
  <c r="H305"/>
  <c r="B307"/>
  <c r="A307" s="1"/>
  <c r="I307" s="1"/>
  <c r="C308"/>
  <c r="D309"/>
  <c r="E310"/>
  <c r="F311"/>
  <c r="G312"/>
  <c r="H313"/>
  <c r="B315"/>
  <c r="A315" s="1"/>
  <c r="I315" s="1"/>
  <c r="C316"/>
  <c r="D317"/>
  <c r="E318"/>
  <c r="F319"/>
  <c r="G320"/>
  <c r="H321"/>
  <c r="B323"/>
  <c r="C324"/>
  <c r="D325"/>
  <c r="E326"/>
  <c r="F327"/>
  <c r="G328"/>
  <c r="H329"/>
  <c r="B331"/>
  <c r="C332"/>
  <c r="D333"/>
  <c r="E334"/>
  <c r="F335"/>
  <c r="G336"/>
  <c r="H337"/>
  <c r="B339"/>
  <c r="A339" s="1"/>
  <c r="I339" s="1"/>
  <c r="C340"/>
  <c r="D341"/>
  <c r="E342"/>
  <c r="F343"/>
  <c r="G344"/>
  <c r="H345"/>
  <c r="B347"/>
  <c r="A347" s="1"/>
  <c r="I347" s="1"/>
  <c r="C348"/>
  <c r="D349"/>
  <c r="E350"/>
  <c r="F351"/>
  <c r="G352"/>
  <c r="H353"/>
  <c r="B355"/>
  <c r="A355" s="1"/>
  <c r="I355" s="1"/>
  <c r="C356"/>
  <c r="D357"/>
  <c r="E358"/>
  <c r="F359"/>
  <c r="G360"/>
  <c r="H361"/>
  <c r="B363"/>
  <c r="A363" s="1"/>
  <c r="I363" s="1"/>
  <c r="C364"/>
  <c r="D365"/>
  <c r="E366"/>
  <c r="F367"/>
  <c r="G368"/>
  <c r="H369"/>
  <c r="B371"/>
  <c r="A371" s="1"/>
  <c r="I371" s="1"/>
  <c r="C372"/>
  <c r="D373"/>
  <c r="E374"/>
  <c r="F375"/>
  <c r="G376"/>
  <c r="H377"/>
  <c r="B379"/>
  <c r="A379" s="1"/>
  <c r="I379" s="1"/>
  <c r="C380"/>
  <c r="D381"/>
  <c r="E382"/>
  <c r="F383"/>
  <c r="G384"/>
  <c r="H385"/>
  <c r="B387"/>
  <c r="C388"/>
  <c r="D389"/>
  <c r="E390"/>
  <c r="F391"/>
  <c r="G392"/>
  <c r="H393"/>
  <c r="B395"/>
  <c r="C396"/>
  <c r="D397"/>
  <c r="E398"/>
  <c r="F399"/>
  <c r="G400"/>
  <c r="H401"/>
  <c r="B403"/>
  <c r="A403" s="1"/>
  <c r="I403" s="1"/>
  <c r="C404"/>
  <c r="D405"/>
  <c r="E406"/>
  <c r="F407"/>
  <c r="G408"/>
  <c r="H409"/>
  <c r="B411"/>
  <c r="A411" s="1"/>
  <c r="I411" s="1"/>
  <c r="C412"/>
  <c r="D413"/>
  <c r="E414"/>
  <c r="F415"/>
  <c r="G416"/>
  <c r="H417"/>
  <c r="C6"/>
  <c r="E10"/>
  <c r="C13"/>
  <c r="E17"/>
  <c r="H20"/>
  <c r="E24"/>
  <c r="G28"/>
  <c r="E31"/>
  <c r="G35"/>
  <c r="C39"/>
  <c r="G42"/>
  <c r="B47"/>
  <c r="G49"/>
  <c r="B54"/>
  <c r="A54" s="1"/>
  <c r="I54" s="1"/>
  <c r="E57"/>
  <c r="B61"/>
  <c r="A61" s="1"/>
  <c r="I61" s="1"/>
  <c r="D65"/>
  <c r="B68"/>
  <c r="A68" s="1"/>
  <c r="I68" s="1"/>
  <c r="D72"/>
  <c r="G75"/>
  <c r="D79"/>
  <c r="F83"/>
  <c r="D86"/>
  <c r="F90"/>
  <c r="B94"/>
  <c r="A94" s="1"/>
  <c r="I94" s="1"/>
  <c r="F97"/>
  <c r="H101"/>
  <c r="F104"/>
  <c r="H108"/>
  <c r="D112"/>
  <c r="H115"/>
  <c r="C120"/>
  <c r="H122"/>
  <c r="C127"/>
  <c r="F130"/>
  <c r="C134"/>
  <c r="E138"/>
  <c r="C141"/>
  <c r="E145"/>
  <c r="H148"/>
  <c r="E152"/>
  <c r="G156"/>
  <c r="E159"/>
  <c r="G163"/>
  <c r="C167"/>
  <c r="G170"/>
  <c r="B175"/>
  <c r="A175" s="1"/>
  <c r="I175" s="1"/>
  <c r="G177"/>
  <c r="B182"/>
  <c r="A182" s="1"/>
  <c r="I182" s="1"/>
  <c r="F184"/>
  <c r="G187"/>
  <c r="B191"/>
  <c r="E193"/>
  <c r="G196"/>
  <c r="D199"/>
  <c r="E202"/>
  <c r="E205"/>
  <c r="C208"/>
  <c r="C211"/>
  <c r="B214"/>
  <c r="E216"/>
  <c r="F218"/>
  <c r="G220"/>
  <c r="F222"/>
  <c r="H224"/>
  <c r="H226"/>
  <c r="B229"/>
  <c r="A229" s="1"/>
  <c r="I229" s="1"/>
  <c r="C231"/>
  <c r="D233"/>
  <c r="C235"/>
  <c r="C237"/>
  <c r="E239"/>
  <c r="F241"/>
  <c r="G243"/>
  <c r="H245"/>
  <c r="G247"/>
  <c r="G249"/>
  <c r="H251"/>
  <c r="C254"/>
  <c r="D256"/>
  <c r="B258"/>
  <c r="A258" s="1"/>
  <c r="I258" s="1"/>
  <c r="F259"/>
  <c r="B261"/>
  <c r="A261" s="1"/>
  <c r="I261" s="1"/>
  <c r="E262"/>
  <c r="H263"/>
  <c r="F265"/>
  <c r="B267"/>
  <c r="A267" s="1"/>
  <c r="I267" s="1"/>
  <c r="E268"/>
  <c r="B270"/>
  <c r="A270" s="1"/>
  <c r="I270" s="1"/>
  <c r="E271"/>
  <c r="H272"/>
  <c r="E274"/>
  <c r="B276"/>
  <c r="E277"/>
  <c r="B279"/>
  <c r="A279" s="1"/>
  <c r="I279" s="1"/>
  <c r="E280"/>
  <c r="H281"/>
  <c r="D283"/>
  <c r="H284"/>
  <c r="E286"/>
  <c r="H287"/>
  <c r="E289"/>
  <c r="H290"/>
  <c r="D292"/>
  <c r="H293"/>
  <c r="D295"/>
  <c r="H296"/>
  <c r="C298"/>
  <c r="E299"/>
  <c r="G300"/>
  <c r="B302"/>
  <c r="A302" s="1"/>
  <c r="I302" s="1"/>
  <c r="D303"/>
  <c r="F304"/>
  <c r="B306"/>
  <c r="A306" s="1"/>
  <c r="I306" s="1"/>
  <c r="D307"/>
  <c r="F308"/>
  <c r="H309"/>
  <c r="C311"/>
  <c r="E312"/>
  <c r="G313"/>
  <c r="C315"/>
  <c r="E316"/>
  <c r="G317"/>
  <c r="B319"/>
  <c r="D320"/>
  <c r="F321"/>
  <c r="H322"/>
  <c r="D324"/>
  <c r="F325"/>
  <c r="H326"/>
  <c r="C328"/>
  <c r="E329"/>
  <c r="G330"/>
  <c r="B332"/>
  <c r="A332" s="1"/>
  <c r="I332" s="1"/>
  <c r="E333"/>
  <c r="G334"/>
  <c r="B336"/>
  <c r="A336" s="1"/>
  <c r="I336" s="1"/>
  <c r="D337"/>
  <c r="F338"/>
  <c r="H339"/>
  <c r="C341"/>
  <c r="F342"/>
  <c r="H343"/>
  <c r="C345"/>
  <c r="E346"/>
  <c r="G347"/>
  <c r="B349"/>
  <c r="A349" s="1"/>
  <c r="I349" s="1"/>
  <c r="D350"/>
  <c r="G351"/>
  <c r="B353"/>
  <c r="A353" s="1"/>
  <c r="I353" s="1"/>
  <c r="D354"/>
  <c r="F355"/>
  <c r="H356"/>
  <c r="C358"/>
  <c r="E359"/>
  <c r="H360"/>
  <c r="C362"/>
  <c r="E363"/>
  <c r="G364"/>
  <c r="B366"/>
  <c r="A366" s="1"/>
  <c r="I366" s="1"/>
  <c r="D367"/>
  <c r="F368"/>
  <c r="B370"/>
  <c r="A370" s="1"/>
  <c r="I370" s="1"/>
  <c r="D371"/>
  <c r="F372"/>
  <c r="H373"/>
  <c r="C375"/>
  <c r="E376"/>
  <c r="G377"/>
  <c r="C379"/>
  <c r="E380"/>
  <c r="G381"/>
  <c r="B383"/>
  <c r="D384"/>
  <c r="F385"/>
  <c r="H386"/>
  <c r="D388"/>
  <c r="F389"/>
  <c r="H390"/>
  <c r="C392"/>
  <c r="B6"/>
  <c r="E9"/>
  <c r="B13"/>
  <c r="A13" s="1"/>
  <c r="I13" s="1"/>
  <c r="D17"/>
  <c r="B20"/>
  <c r="A20" s="1"/>
  <c r="I20" s="1"/>
  <c r="D24"/>
  <c r="G27"/>
  <c r="D31"/>
  <c r="F35"/>
  <c r="D38"/>
  <c r="F42"/>
  <c r="B46"/>
  <c r="A46" s="1"/>
  <c r="I46" s="1"/>
  <c r="F49"/>
  <c r="H53"/>
  <c r="F56"/>
  <c r="H60"/>
  <c r="D64"/>
  <c r="H67"/>
  <c r="C72"/>
  <c r="H74"/>
  <c r="C79"/>
  <c r="F82"/>
  <c r="C86"/>
  <c r="E90"/>
  <c r="C93"/>
  <c r="E97"/>
  <c r="H100"/>
  <c r="E104"/>
  <c r="G108"/>
  <c r="E111"/>
  <c r="G115"/>
  <c r="C119"/>
  <c r="G122"/>
  <c r="B127"/>
  <c r="A127" s="1"/>
  <c r="I127" s="1"/>
  <c r="G129"/>
  <c r="B134"/>
  <c r="A134" s="1"/>
  <c r="I134" s="1"/>
  <c r="E137"/>
  <c r="B141"/>
  <c r="A141" s="1"/>
  <c r="I141" s="1"/>
  <c r="D145"/>
  <c r="B148"/>
  <c r="D152"/>
  <c r="G155"/>
  <c r="D159"/>
  <c r="F163"/>
  <c r="D166"/>
  <c r="F170"/>
  <c r="B174"/>
  <c r="A174" s="1"/>
  <c r="I174" s="1"/>
  <c r="F177"/>
  <c r="H181"/>
  <c r="D184"/>
  <c r="F187"/>
  <c r="C190"/>
  <c r="D193"/>
  <c r="D196"/>
  <c r="B199"/>
  <c r="A199" s="1"/>
  <c r="I199" s="1"/>
  <c r="B202"/>
  <c r="H204"/>
  <c r="G207"/>
  <c r="H210"/>
  <c r="E213"/>
  <c r="D216"/>
  <c r="E218"/>
  <c r="D220"/>
  <c r="D222"/>
  <c r="E224"/>
  <c r="G226"/>
  <c r="H228"/>
  <c r="B231"/>
  <c r="A231" s="1"/>
  <c r="I231" s="1"/>
  <c r="H232"/>
  <c r="H234"/>
  <c r="B237"/>
  <c r="A237" s="1"/>
  <c r="I237" s="1"/>
  <c r="C239"/>
  <c r="E241"/>
  <c r="F243"/>
  <c r="E245"/>
  <c r="E247"/>
  <c r="F249"/>
  <c r="G251"/>
  <c r="H253"/>
  <c r="C256"/>
  <c r="H257"/>
  <c r="D259"/>
  <c r="H260"/>
  <c r="D262"/>
  <c r="G263"/>
  <c r="D265"/>
  <c r="H266"/>
  <c r="D268"/>
  <c r="H269"/>
  <c r="D271"/>
  <c r="G272"/>
  <c r="C274"/>
  <c r="G275"/>
  <c r="D277"/>
  <c r="G278"/>
  <c r="D280"/>
  <c r="G281"/>
  <c r="C283"/>
  <c r="G284"/>
  <c r="C286"/>
  <c r="G287"/>
  <c r="D289"/>
  <c r="G290"/>
  <c r="C292"/>
  <c r="F293"/>
  <c r="C295"/>
  <c r="F296"/>
  <c r="B298"/>
  <c r="A298" s="1"/>
  <c r="I298" s="1"/>
  <c r="D299"/>
  <c r="F300"/>
  <c r="H301"/>
  <c r="C303"/>
  <c r="E304"/>
  <c r="G305"/>
  <c r="C307"/>
  <c r="E308"/>
  <c r="G309"/>
  <c r="B311"/>
  <c r="A311" s="1"/>
  <c r="I311" s="1"/>
  <c r="D312"/>
  <c r="F313"/>
  <c r="H314"/>
  <c r="D316"/>
  <c r="F317"/>
  <c r="H318"/>
  <c r="C320"/>
  <c r="E321"/>
  <c r="G322"/>
  <c r="B324"/>
  <c r="E325"/>
  <c r="G326"/>
  <c r="B328"/>
  <c r="A328" s="1"/>
  <c r="I328" s="1"/>
  <c r="D329"/>
  <c r="F330"/>
  <c r="H331"/>
  <c r="C333"/>
  <c r="F334"/>
  <c r="H335"/>
  <c r="C337"/>
  <c r="E338"/>
  <c r="G339"/>
  <c r="B341"/>
  <c r="A341" s="1"/>
  <c r="I341" s="1"/>
  <c r="D342"/>
  <c r="G343"/>
  <c r="B345"/>
  <c r="D346"/>
  <c r="F347"/>
  <c r="H348"/>
  <c r="C350"/>
  <c r="E351"/>
  <c r="H352"/>
  <c r="C354"/>
  <c r="E355"/>
  <c r="G356"/>
  <c r="B358"/>
  <c r="A358" s="1"/>
  <c r="I358" s="1"/>
  <c r="D359"/>
  <c r="F360"/>
  <c r="B362"/>
  <c r="A362" s="1"/>
  <c r="I362" s="1"/>
  <c r="D363"/>
  <c r="F364"/>
  <c r="H365"/>
  <c r="C367"/>
  <c r="E368"/>
  <c r="G369"/>
  <c r="C371"/>
  <c r="E372"/>
  <c r="G373"/>
  <c r="B375"/>
  <c r="A375" s="1"/>
  <c r="I375" s="1"/>
  <c r="D376"/>
  <c r="F377"/>
  <c r="H378"/>
  <c r="D380"/>
  <c r="F381"/>
  <c r="H382"/>
  <c r="C384"/>
  <c r="E385"/>
  <c r="G386"/>
  <c r="B388"/>
  <c r="E389"/>
  <c r="G390"/>
  <c r="B392"/>
  <c r="A392" s="1"/>
  <c r="I392" s="1"/>
  <c r="D393"/>
  <c r="F394"/>
  <c r="H395"/>
  <c r="C397"/>
  <c r="F398"/>
  <c r="H399"/>
  <c r="C401"/>
  <c r="E402"/>
  <c r="G403"/>
  <c r="B405"/>
  <c r="A405" s="1"/>
  <c r="I405" s="1"/>
  <c r="D406"/>
  <c r="G407"/>
  <c r="B409"/>
  <c r="D410"/>
  <c r="F411"/>
  <c r="H412"/>
  <c r="C414"/>
  <c r="E415"/>
  <c r="H416"/>
  <c r="C418"/>
  <c r="D419"/>
  <c r="E420"/>
  <c r="F421"/>
  <c r="G422"/>
  <c r="H423"/>
  <c r="B425"/>
  <c r="A425" s="1"/>
  <c r="I425" s="1"/>
  <c r="C426"/>
  <c r="D427"/>
  <c r="E428"/>
  <c r="F429"/>
  <c r="G430"/>
  <c r="H431"/>
  <c r="B433"/>
  <c r="A433" s="1"/>
  <c r="I433" s="1"/>
  <c r="C434"/>
  <c r="D435"/>
  <c r="E436"/>
  <c r="F437"/>
  <c r="G438"/>
  <c r="H439"/>
  <c r="B441"/>
  <c r="A441" s="1"/>
  <c r="I441" s="1"/>
  <c r="C442"/>
  <c r="D443"/>
  <c r="E444"/>
  <c r="F445"/>
  <c r="G446"/>
  <c r="H447"/>
  <c r="B449"/>
  <c r="A449" s="1"/>
  <c r="I449" s="1"/>
  <c r="C450"/>
  <c r="D451"/>
  <c r="E452"/>
  <c r="F453"/>
  <c r="G454"/>
  <c r="H455"/>
  <c r="B457"/>
  <c r="A457" s="1"/>
  <c r="I457" s="1"/>
  <c r="C458"/>
  <c r="D459"/>
  <c r="E460"/>
  <c r="F461"/>
  <c r="G462"/>
  <c r="H463"/>
  <c r="B465"/>
  <c r="C466"/>
  <c r="D467"/>
  <c r="E468"/>
  <c r="F469"/>
  <c r="G470"/>
  <c r="H471"/>
  <c r="B473"/>
  <c r="C474"/>
  <c r="D475"/>
  <c r="E476"/>
  <c r="F477"/>
  <c r="G478"/>
  <c r="H479"/>
  <c r="B481"/>
  <c r="A481" s="1"/>
  <c r="I481" s="1"/>
  <c r="C482"/>
  <c r="H5"/>
  <c r="F8"/>
  <c r="H12"/>
  <c r="D16"/>
  <c r="H19"/>
  <c r="C24"/>
  <c r="H26"/>
  <c r="C31"/>
  <c r="F34"/>
  <c r="C38"/>
  <c r="E42"/>
  <c r="C45"/>
  <c r="E49"/>
  <c r="H52"/>
  <c r="E56"/>
  <c r="G60"/>
  <c r="E63"/>
  <c r="G67"/>
  <c r="C71"/>
  <c r="G74"/>
  <c r="B79"/>
  <c r="A79" s="1"/>
  <c r="I79" s="1"/>
  <c r="G81"/>
  <c r="B86"/>
  <c r="A86" s="1"/>
  <c r="I86" s="1"/>
  <c r="E89"/>
  <c r="B93"/>
  <c r="D97"/>
  <c r="B100"/>
  <c r="A100" s="1"/>
  <c r="I100" s="1"/>
  <c r="D104"/>
  <c r="G107"/>
  <c r="D111"/>
  <c r="F115"/>
  <c r="D118"/>
  <c r="F122"/>
  <c r="B126"/>
  <c r="A126" s="1"/>
  <c r="I126" s="1"/>
  <c r="F129"/>
  <c r="H133"/>
  <c r="F136"/>
  <c r="H140"/>
  <c r="D144"/>
  <c r="H147"/>
  <c r="C152"/>
  <c r="H154"/>
  <c r="C159"/>
  <c r="F162"/>
  <c r="C166"/>
  <c r="E170"/>
  <c r="C173"/>
  <c r="E177"/>
  <c r="H180"/>
  <c r="C184"/>
  <c r="C187"/>
  <c r="H189"/>
  <c r="H192"/>
  <c r="G195"/>
  <c r="F198"/>
  <c r="G201"/>
  <c r="D204"/>
  <c r="E207"/>
  <c r="E210"/>
  <c r="C213"/>
  <c r="C216"/>
  <c r="B218"/>
  <c r="A218" s="1"/>
  <c r="I218" s="1"/>
  <c r="B220"/>
  <c r="A220" s="1"/>
  <c r="I220" s="1"/>
  <c r="C222"/>
  <c r="D224"/>
  <c r="E226"/>
  <c r="G228"/>
  <c r="F230"/>
  <c r="F232"/>
  <c r="G234"/>
  <c r="H236"/>
  <c r="B239"/>
  <c r="H240"/>
  <c r="C243"/>
  <c r="C245"/>
  <c r="D247"/>
  <c r="E249"/>
  <c r="F251"/>
  <c r="E253"/>
  <c r="E255"/>
  <c r="G257"/>
  <c r="C259"/>
  <c r="G260"/>
  <c r="C262"/>
  <c r="F263"/>
  <c r="B265"/>
  <c r="A265" s="1"/>
  <c r="I265" s="1"/>
  <c r="F266"/>
  <c r="C268"/>
  <c r="F269"/>
  <c r="C271"/>
  <c r="F272"/>
  <c r="B274"/>
  <c r="A274" s="1"/>
  <c r="I274" s="1"/>
  <c r="F275"/>
  <c r="B277"/>
  <c r="A277" s="1"/>
  <c r="I277" s="1"/>
  <c r="F278"/>
  <c r="C280"/>
  <c r="F281"/>
  <c r="B283"/>
  <c r="A283" s="1"/>
  <c r="I283" s="1"/>
  <c r="E284"/>
  <c r="B286"/>
  <c r="A286" s="1"/>
  <c r="I286" s="1"/>
  <c r="E287"/>
  <c r="B289"/>
  <c r="A289" s="1"/>
  <c r="I289" s="1"/>
  <c r="F290"/>
  <c r="B292"/>
  <c r="E293"/>
  <c r="B295"/>
  <c r="A295" s="1"/>
  <c r="I295" s="1"/>
  <c r="E296"/>
  <c r="G297"/>
  <c r="C299"/>
  <c r="E300"/>
  <c r="G301"/>
  <c r="B303"/>
  <c r="D304"/>
  <c r="F305"/>
  <c r="H306"/>
  <c r="D308"/>
  <c r="F309"/>
  <c r="H310"/>
  <c r="C312"/>
  <c r="E313"/>
  <c r="G314"/>
  <c r="B316"/>
  <c r="A316" s="1"/>
  <c r="I316" s="1"/>
  <c r="E317"/>
  <c r="G318"/>
  <c r="B320"/>
  <c r="A320" s="1"/>
  <c r="I320" s="1"/>
  <c r="D321"/>
  <c r="F322"/>
  <c r="H323"/>
  <c r="C325"/>
  <c r="F326"/>
  <c r="H327"/>
  <c r="C329"/>
  <c r="E330"/>
  <c r="G331"/>
  <c r="B333"/>
  <c r="A333" s="1"/>
  <c r="I333" s="1"/>
  <c r="D334"/>
  <c r="G335"/>
  <c r="B337"/>
  <c r="A337" s="1"/>
  <c r="I337" s="1"/>
  <c r="D338"/>
  <c r="F339"/>
  <c r="H340"/>
  <c r="C342"/>
  <c r="E343"/>
  <c r="H344"/>
  <c r="C346"/>
  <c r="E347"/>
  <c r="G348"/>
  <c r="B350"/>
  <c r="A350" s="1"/>
  <c r="I350" s="1"/>
  <c r="D351"/>
  <c r="F352"/>
  <c r="B354"/>
  <c r="A354" s="1"/>
  <c r="I354" s="1"/>
  <c r="D355"/>
  <c r="F356"/>
  <c r="H357"/>
  <c r="C359"/>
  <c r="E360"/>
  <c r="G361"/>
  <c r="C363"/>
  <c r="E364"/>
  <c r="G365"/>
  <c r="B367"/>
  <c r="D368"/>
  <c r="F369"/>
  <c r="H370"/>
  <c r="D372"/>
  <c r="F373"/>
  <c r="H374"/>
  <c r="C376"/>
  <c r="E377"/>
  <c r="G378"/>
  <c r="B380"/>
  <c r="A380" s="1"/>
  <c r="I380" s="1"/>
  <c r="E381"/>
  <c r="G382"/>
  <c r="B384"/>
  <c r="A384" s="1"/>
  <c r="I384" s="1"/>
  <c r="D385"/>
  <c r="F386"/>
  <c r="H387"/>
  <c r="C389"/>
  <c r="F390"/>
  <c r="H391"/>
  <c r="C393"/>
  <c r="E394"/>
  <c r="G395"/>
  <c r="B397"/>
  <c r="D398"/>
  <c r="G399"/>
  <c r="B401"/>
  <c r="A401" s="1"/>
  <c r="I401" s="1"/>
  <c r="D402"/>
  <c r="F403"/>
  <c r="H404"/>
  <c r="C406"/>
  <c r="E407"/>
  <c r="H408"/>
  <c r="C410"/>
  <c r="E411"/>
  <c r="G412"/>
  <c r="B414"/>
  <c r="A414" s="1"/>
  <c r="I414" s="1"/>
  <c r="D415"/>
  <c r="F416"/>
  <c r="B418"/>
  <c r="C419"/>
  <c r="D420"/>
  <c r="E421"/>
  <c r="F422"/>
  <c r="G423"/>
  <c r="H424"/>
  <c r="B426"/>
  <c r="A426" s="1"/>
  <c r="I426" s="1"/>
  <c r="C427"/>
  <c r="D428"/>
  <c r="E429"/>
  <c r="F430"/>
  <c r="G431"/>
  <c r="H432"/>
  <c r="B434"/>
  <c r="A434" s="1"/>
  <c r="I434" s="1"/>
  <c r="C435"/>
  <c r="D436"/>
  <c r="E437"/>
  <c r="F438"/>
  <c r="G439"/>
  <c r="H440"/>
  <c r="B442"/>
  <c r="A442" s="1"/>
  <c r="I442" s="1"/>
  <c r="C443"/>
  <c r="D444"/>
  <c r="E445"/>
  <c r="F446"/>
  <c r="G447"/>
  <c r="H448"/>
  <c r="B450"/>
  <c r="A450" s="1"/>
  <c r="I450" s="1"/>
  <c r="C451"/>
  <c r="D452"/>
  <c r="E453"/>
  <c r="F454"/>
  <c r="G455"/>
  <c r="H456"/>
  <c r="B458"/>
  <c r="A458" s="1"/>
  <c r="I458" s="1"/>
  <c r="C459"/>
  <c r="D460"/>
  <c r="E461"/>
  <c r="F462"/>
  <c r="G463"/>
  <c r="H464"/>
  <c r="B466"/>
  <c r="A466" s="1"/>
  <c r="I466" s="1"/>
  <c r="C467"/>
  <c r="D468"/>
  <c r="E469"/>
  <c r="F470"/>
  <c r="G471"/>
  <c r="H472"/>
  <c r="B474"/>
  <c r="C475"/>
  <c r="D476"/>
  <c r="E477"/>
  <c r="F478"/>
  <c r="G479"/>
  <c r="H480"/>
  <c r="B482"/>
  <c r="E8"/>
  <c r="G12"/>
  <c r="E15"/>
  <c r="G19"/>
  <c r="C23"/>
  <c r="G26"/>
  <c r="B31"/>
  <c r="A31" s="1"/>
  <c r="I31" s="1"/>
  <c r="G33"/>
  <c r="B38"/>
  <c r="E41"/>
  <c r="B45"/>
  <c r="A45" s="1"/>
  <c r="I45" s="1"/>
  <c r="D49"/>
  <c r="B52"/>
  <c r="A52" s="1"/>
  <c r="I52" s="1"/>
  <c r="D56"/>
  <c r="G59"/>
  <c r="D63"/>
  <c r="F67"/>
  <c r="D70"/>
  <c r="F74"/>
  <c r="B78"/>
  <c r="A78" s="1"/>
  <c r="I78" s="1"/>
  <c r="F81"/>
  <c r="H85"/>
  <c r="F88"/>
  <c r="H92"/>
  <c r="D96"/>
  <c r="H99"/>
  <c r="C104"/>
  <c r="H106"/>
  <c r="C111"/>
  <c r="F114"/>
  <c r="C118"/>
  <c r="E122"/>
  <c r="C125"/>
  <c r="E129"/>
  <c r="H132"/>
  <c r="E136"/>
  <c r="G140"/>
  <c r="E143"/>
  <c r="G147"/>
  <c r="C151"/>
  <c r="G154"/>
  <c r="B159"/>
  <c r="A159" s="1"/>
  <c r="I159" s="1"/>
  <c r="G161"/>
  <c r="B166"/>
  <c r="A166" s="1"/>
  <c r="I166" s="1"/>
  <c r="E169"/>
  <c r="B173"/>
  <c r="A173" s="1"/>
  <c r="I173" s="1"/>
  <c r="D177"/>
  <c r="B180"/>
  <c r="G183"/>
  <c r="F186"/>
  <c r="E189"/>
  <c r="F192"/>
  <c r="C195"/>
  <c r="D198"/>
  <c r="D201"/>
  <c r="B204"/>
  <c r="D207"/>
  <c r="G209"/>
  <c r="B213"/>
  <c r="A213" s="1"/>
  <c r="I213" s="1"/>
  <c r="G215"/>
  <c r="G217"/>
  <c r="H219"/>
  <c r="B222"/>
  <c r="A222" s="1"/>
  <c r="I222" s="1"/>
  <c r="C224"/>
  <c r="B226"/>
  <c r="B228"/>
  <c r="A228" s="1"/>
  <c r="I228" s="1"/>
  <c r="D230"/>
  <c r="E232"/>
  <c r="F234"/>
  <c r="G236"/>
  <c r="F238"/>
  <c r="F240"/>
  <c r="G242"/>
  <c r="B245"/>
  <c r="A245" s="1"/>
  <c r="I245" s="1"/>
  <c r="C247"/>
  <c r="D249"/>
  <c r="C251"/>
  <c r="C253"/>
  <c r="D255"/>
  <c r="E257"/>
  <c r="B259"/>
  <c r="E260"/>
  <c r="B262"/>
  <c r="A262" s="1"/>
  <c r="I262" s="1"/>
  <c r="E263"/>
  <c r="H264"/>
  <c r="E266"/>
  <c r="H267"/>
  <c r="E269"/>
  <c r="B271"/>
  <c r="E272"/>
  <c r="H273"/>
  <c r="D275"/>
  <c r="H276"/>
  <c r="D278"/>
  <c r="H279"/>
  <c r="E281"/>
  <c r="H282"/>
  <c r="D284"/>
  <c r="H285"/>
  <c r="D287"/>
  <c r="G288"/>
  <c r="E290"/>
  <c r="H291"/>
  <c r="D293"/>
  <c r="G294"/>
  <c r="D296"/>
  <c r="F297"/>
  <c r="H298"/>
  <c r="D300"/>
  <c r="F301"/>
  <c r="H302"/>
  <c r="C304"/>
  <c r="E305"/>
  <c r="G306"/>
  <c r="B308"/>
  <c r="A308" s="1"/>
  <c r="I308" s="1"/>
  <c r="E309"/>
  <c r="G310"/>
  <c r="B312"/>
  <c r="A312" s="1"/>
  <c r="I312" s="1"/>
  <c r="D313"/>
  <c r="F314"/>
  <c r="H315"/>
  <c r="C317"/>
  <c r="F318"/>
  <c r="H319"/>
  <c r="C321"/>
  <c r="E322"/>
  <c r="G323"/>
  <c r="B325"/>
  <c r="D326"/>
  <c r="G327"/>
  <c r="B329"/>
  <c r="A329" s="1"/>
  <c r="I329" s="1"/>
  <c r="D330"/>
  <c r="F331"/>
  <c r="H332"/>
  <c r="C334"/>
  <c r="E335"/>
  <c r="H336"/>
  <c r="C338"/>
  <c r="E339"/>
  <c r="G340"/>
  <c r="B342"/>
  <c r="A342" s="1"/>
  <c r="I342" s="1"/>
  <c r="D343"/>
  <c r="F344"/>
  <c r="B346"/>
  <c r="D347"/>
  <c r="F348"/>
  <c r="H349"/>
  <c r="C351"/>
  <c r="E352"/>
  <c r="G353"/>
  <c r="C355"/>
  <c r="E356"/>
  <c r="G357"/>
  <c r="B359"/>
  <c r="A359" s="1"/>
  <c r="I359" s="1"/>
  <c r="D360"/>
  <c r="F361"/>
  <c r="H362"/>
  <c r="D364"/>
  <c r="F365"/>
  <c r="H366"/>
  <c r="C368"/>
  <c r="E369"/>
  <c r="G370"/>
  <c r="B372"/>
  <c r="A372" s="1"/>
  <c r="I372" s="1"/>
  <c r="E373"/>
  <c r="G374"/>
  <c r="B376"/>
  <c r="A376" s="1"/>
  <c r="I376" s="1"/>
  <c r="D377"/>
  <c r="F378"/>
  <c r="H379"/>
  <c r="C381"/>
  <c r="F382"/>
  <c r="H383"/>
  <c r="C385"/>
  <c r="E386"/>
  <c r="G387"/>
  <c r="B389"/>
  <c r="D390"/>
  <c r="G391"/>
  <c r="B393"/>
  <c r="A393" s="1"/>
  <c r="I393" s="1"/>
  <c r="D394"/>
  <c r="F395"/>
  <c r="H396"/>
  <c r="C398"/>
  <c r="E399"/>
  <c r="H400"/>
  <c r="C402"/>
  <c r="E403"/>
  <c r="G404"/>
  <c r="B406"/>
  <c r="A406" s="1"/>
  <c r="I406" s="1"/>
  <c r="D407"/>
  <c r="F408"/>
  <c r="B410"/>
  <c r="D411"/>
  <c r="F412"/>
  <c r="H413"/>
  <c r="C415"/>
  <c r="E416"/>
  <c r="G417"/>
  <c r="B419"/>
  <c r="C420"/>
  <c r="D421"/>
  <c r="E422"/>
  <c r="F423"/>
  <c r="G424"/>
  <c r="H425"/>
  <c r="B427"/>
  <c r="A427" s="1"/>
  <c r="I427" s="1"/>
  <c r="C428"/>
  <c r="D429"/>
  <c r="E430"/>
  <c r="F431"/>
  <c r="G432"/>
  <c r="H433"/>
  <c r="B435"/>
  <c r="A435" s="1"/>
  <c r="I435" s="1"/>
  <c r="C436"/>
  <c r="D437"/>
  <c r="E438"/>
  <c r="F439"/>
  <c r="G440"/>
  <c r="H441"/>
  <c r="B443"/>
  <c r="A443" s="1"/>
  <c r="I443" s="1"/>
  <c r="C444"/>
  <c r="D445"/>
  <c r="E446"/>
  <c r="F447"/>
  <c r="G448"/>
  <c r="H449"/>
  <c r="B451"/>
  <c r="A451" s="1"/>
  <c r="I451" s="1"/>
  <c r="C452"/>
  <c r="D453"/>
  <c r="E454"/>
  <c r="F455"/>
  <c r="G456"/>
  <c r="H457"/>
  <c r="B459"/>
  <c r="A459" s="1"/>
  <c r="I459" s="1"/>
  <c r="C460"/>
  <c r="D461"/>
  <c r="E462"/>
  <c r="F463"/>
  <c r="G464"/>
  <c r="H465"/>
  <c r="B467"/>
  <c r="A467" s="1"/>
  <c r="I467" s="1"/>
  <c r="C468"/>
  <c r="D469"/>
  <c r="E470"/>
  <c r="F471"/>
  <c r="G472"/>
  <c r="H473"/>
  <c r="B475"/>
  <c r="C476"/>
  <c r="D477"/>
  <c r="E478"/>
  <c r="F479"/>
  <c r="G480"/>
  <c r="H481"/>
  <c r="B483"/>
  <c r="C484"/>
  <c r="D485"/>
  <c r="E486"/>
  <c r="F487"/>
  <c r="G488"/>
  <c r="H489"/>
  <c r="B491"/>
  <c r="C492"/>
  <c r="D493"/>
  <c r="E494"/>
  <c r="F495"/>
  <c r="G496"/>
  <c r="H497"/>
  <c r="B499"/>
  <c r="A499" s="1"/>
  <c r="I499" s="1"/>
  <c r="C500"/>
  <c r="D501"/>
  <c r="E502"/>
  <c r="F503"/>
  <c r="G504"/>
  <c r="H505"/>
  <c r="B507"/>
  <c r="A507" s="1"/>
  <c r="I507" s="1"/>
  <c r="C508"/>
  <c r="D509"/>
  <c r="E510"/>
  <c r="F511"/>
  <c r="G512"/>
  <c r="H513"/>
  <c r="B515"/>
  <c r="A515" s="1"/>
  <c r="I515" s="1"/>
  <c r="C516"/>
  <c r="D517"/>
  <c r="E518"/>
  <c r="F519"/>
  <c r="G520"/>
  <c r="H521"/>
  <c r="B523"/>
  <c r="A523" s="1"/>
  <c r="I523" s="1"/>
  <c r="C524"/>
  <c r="D525"/>
  <c r="E526"/>
  <c r="F527"/>
  <c r="G528"/>
  <c r="H529"/>
  <c r="B531"/>
  <c r="A531" s="1"/>
  <c r="I531" s="1"/>
  <c r="C532"/>
  <c r="D533"/>
  <c r="E534"/>
  <c r="F535"/>
  <c r="G536"/>
  <c r="H537"/>
  <c r="B539"/>
  <c r="C540"/>
  <c r="D541"/>
  <c r="E542"/>
  <c r="F543"/>
  <c r="G544"/>
  <c r="H545"/>
  <c r="B547"/>
  <c r="C548"/>
  <c r="D549"/>
  <c r="E550"/>
  <c r="F551"/>
  <c r="G552"/>
  <c r="H553"/>
  <c r="B555"/>
  <c r="A555" s="1"/>
  <c r="I555" s="1"/>
  <c r="C556"/>
  <c r="D557"/>
  <c r="E558"/>
  <c r="F559"/>
  <c r="G560"/>
  <c r="H561"/>
  <c r="B563"/>
  <c r="A563" s="1"/>
  <c r="I563" s="1"/>
  <c r="C564"/>
  <c r="D565"/>
  <c r="E566"/>
  <c r="F567"/>
  <c r="G568"/>
  <c r="H569"/>
  <c r="B571"/>
  <c r="A571" s="1"/>
  <c r="I571" s="1"/>
  <c r="C572"/>
  <c r="D573"/>
  <c r="E574"/>
  <c r="F575"/>
  <c r="G576"/>
  <c r="H577"/>
  <c r="B579"/>
  <c r="A579" s="1"/>
  <c r="I579" s="1"/>
  <c r="C580"/>
  <c r="D581"/>
  <c r="E582"/>
  <c r="F583"/>
  <c r="G584"/>
  <c r="H585"/>
  <c r="B587"/>
  <c r="A587" s="1"/>
  <c r="I587" s="1"/>
  <c r="C588"/>
  <c r="D589"/>
  <c r="E590"/>
  <c r="F591"/>
  <c r="G592"/>
  <c r="H593"/>
  <c r="B595"/>
  <c r="A595" s="1"/>
  <c r="I595" s="1"/>
  <c r="C596"/>
  <c r="D597"/>
  <c r="E598"/>
  <c r="F599"/>
  <c r="G600"/>
  <c r="H601"/>
  <c r="B603"/>
  <c r="C604"/>
  <c r="D605"/>
  <c r="E606"/>
  <c r="F607"/>
  <c r="G608"/>
  <c r="H609"/>
  <c r="B611"/>
  <c r="C612"/>
  <c r="D613"/>
  <c r="E614"/>
  <c r="F615"/>
  <c r="G616"/>
  <c r="H617"/>
  <c r="B619"/>
  <c r="A619" s="1"/>
  <c r="I619" s="1"/>
  <c r="C620"/>
  <c r="D621"/>
  <c r="E622"/>
  <c r="F623"/>
  <c r="G624"/>
  <c r="H625"/>
  <c r="B627"/>
  <c r="A627" s="1"/>
  <c r="I627" s="1"/>
  <c r="C628"/>
  <c r="D629"/>
  <c r="E630"/>
  <c r="F631"/>
  <c r="G632"/>
  <c r="H633"/>
  <c r="B635"/>
  <c r="A635" s="1"/>
  <c r="I635" s="1"/>
  <c r="C636"/>
  <c r="D637"/>
  <c r="E638"/>
  <c r="F639"/>
  <c r="G640"/>
  <c r="H641"/>
  <c r="B643"/>
  <c r="A643" s="1"/>
  <c r="I643" s="1"/>
  <c r="C644"/>
  <c r="D645"/>
  <c r="E646"/>
  <c r="F647"/>
  <c r="G648"/>
  <c r="H649"/>
  <c r="B651"/>
  <c r="A651" s="1"/>
  <c r="I651" s="1"/>
  <c r="C652"/>
  <c r="D653"/>
  <c r="E654"/>
  <c r="F655"/>
  <c r="G656"/>
  <c r="H657"/>
  <c r="B659"/>
  <c r="A659" s="1"/>
  <c r="I659" s="1"/>
  <c r="C660"/>
  <c r="D661"/>
  <c r="E662"/>
  <c r="F663"/>
  <c r="G664"/>
  <c r="H665"/>
  <c r="B667"/>
  <c r="C668"/>
  <c r="D669"/>
  <c r="E670"/>
  <c r="F671"/>
  <c r="G672"/>
  <c r="H673"/>
  <c r="B675"/>
  <c r="C676"/>
  <c r="D677"/>
  <c r="E678"/>
  <c r="F679"/>
  <c r="G680"/>
  <c r="H681"/>
  <c r="D8"/>
  <c r="D15"/>
  <c r="D22"/>
  <c r="B30"/>
  <c r="A30" s="1"/>
  <c r="I30" s="1"/>
  <c r="H37"/>
  <c r="H44"/>
  <c r="H51"/>
  <c r="H58"/>
  <c r="F66"/>
  <c r="E74"/>
  <c r="E81"/>
  <c r="E88"/>
  <c r="E95"/>
  <c r="C103"/>
  <c r="B111"/>
  <c r="A111" s="1"/>
  <c r="I111" s="1"/>
  <c r="B118"/>
  <c r="A118" s="1"/>
  <c r="I118" s="1"/>
  <c r="B125"/>
  <c r="A125" s="1"/>
  <c r="I125" s="1"/>
  <c r="B132"/>
  <c r="G139"/>
  <c r="F147"/>
  <c r="F154"/>
  <c r="F161"/>
  <c r="F168"/>
  <c r="D176"/>
  <c r="E183"/>
  <c r="C189"/>
  <c r="H194"/>
  <c r="F200"/>
  <c r="F206"/>
  <c r="H212"/>
  <c r="F217"/>
  <c r="H221"/>
  <c r="G225"/>
  <c r="B230"/>
  <c r="E234"/>
  <c r="D238"/>
  <c r="F242"/>
  <c r="B247"/>
  <c r="A247" s="1"/>
  <c r="I247" s="1"/>
  <c r="H250"/>
  <c r="C255"/>
  <c r="G258"/>
  <c r="H261"/>
  <c r="G264"/>
  <c r="G267"/>
  <c r="G270"/>
  <c r="G273"/>
  <c r="G276"/>
  <c r="F279"/>
  <c r="G282"/>
  <c r="F285"/>
  <c r="F288"/>
  <c r="G291"/>
  <c r="F294"/>
  <c r="E297"/>
  <c r="B300"/>
  <c r="A300" s="1"/>
  <c r="I300" s="1"/>
  <c r="G302"/>
  <c r="D305"/>
  <c r="H307"/>
  <c r="F310"/>
  <c r="C313"/>
  <c r="G315"/>
  <c r="D318"/>
  <c r="B321"/>
  <c r="A321" s="1"/>
  <c r="I321" s="1"/>
  <c r="F323"/>
  <c r="C326"/>
  <c r="H328"/>
  <c r="E331"/>
  <c r="B334"/>
  <c r="A334" s="1"/>
  <c r="I334" s="1"/>
  <c r="F336"/>
  <c r="D339"/>
  <c r="H341"/>
  <c r="E344"/>
  <c r="C347"/>
  <c r="G349"/>
  <c r="D352"/>
  <c r="H354"/>
  <c r="F357"/>
  <c r="C360"/>
  <c r="G362"/>
  <c r="E365"/>
  <c r="B368"/>
  <c r="A368" s="1"/>
  <c r="I368" s="1"/>
  <c r="F370"/>
  <c r="C373"/>
  <c r="H375"/>
  <c r="E378"/>
  <c r="B381"/>
  <c r="A381" s="1"/>
  <c r="I381" s="1"/>
  <c r="G383"/>
  <c r="D386"/>
  <c r="H388"/>
  <c r="E391"/>
  <c r="B394"/>
  <c r="D396"/>
  <c r="B398"/>
  <c r="A398" s="1"/>
  <c r="I398" s="1"/>
  <c r="D400"/>
  <c r="F402"/>
  <c r="E404"/>
  <c r="G406"/>
  <c r="E408"/>
  <c r="G410"/>
  <c r="B413"/>
  <c r="A413" s="1"/>
  <c r="I413" s="1"/>
  <c r="H414"/>
  <c r="C417"/>
  <c r="H418"/>
  <c r="H420"/>
  <c r="H422"/>
  <c r="E424"/>
  <c r="E426"/>
  <c r="B428"/>
  <c r="A428" s="1"/>
  <c r="I428" s="1"/>
  <c r="B430"/>
  <c r="A430" s="1"/>
  <c r="I430" s="1"/>
  <c r="B432"/>
  <c r="A432" s="1"/>
  <c r="I432" s="1"/>
  <c r="F433"/>
  <c r="F435"/>
  <c r="C437"/>
  <c r="C439"/>
  <c r="C441"/>
  <c r="G442"/>
  <c r="G444"/>
  <c r="D446"/>
  <c r="D448"/>
  <c r="D450"/>
  <c r="H451"/>
  <c r="H453"/>
  <c r="E455"/>
  <c r="E457"/>
  <c r="E459"/>
  <c r="B461"/>
  <c r="A461" s="1"/>
  <c r="I461" s="1"/>
  <c r="B463"/>
  <c r="A463" s="1"/>
  <c r="I463" s="1"/>
  <c r="F464"/>
  <c r="F466"/>
  <c r="F468"/>
  <c r="C470"/>
  <c r="C472"/>
  <c r="G473"/>
  <c r="G475"/>
  <c r="G477"/>
  <c r="D479"/>
  <c r="D481"/>
  <c r="H482"/>
  <c r="D484"/>
  <c r="F485"/>
  <c r="H486"/>
  <c r="C488"/>
  <c r="E489"/>
  <c r="G490"/>
  <c r="B492"/>
  <c r="A492" s="1"/>
  <c r="I492" s="1"/>
  <c r="E493"/>
  <c r="G494"/>
  <c r="B496"/>
  <c r="A496" s="1"/>
  <c r="I496" s="1"/>
  <c r="D497"/>
  <c r="F498"/>
  <c r="H499"/>
  <c r="C501"/>
  <c r="F502"/>
  <c r="H503"/>
  <c r="C505"/>
  <c r="E506"/>
  <c r="G507"/>
  <c r="B509"/>
  <c r="A509" s="1"/>
  <c r="I509" s="1"/>
  <c r="D510"/>
  <c r="G511"/>
  <c r="B513"/>
  <c r="A513" s="1"/>
  <c r="I513" s="1"/>
  <c r="D514"/>
  <c r="F515"/>
  <c r="H516"/>
  <c r="C518"/>
  <c r="E519"/>
  <c r="H520"/>
  <c r="C522"/>
  <c r="E523"/>
  <c r="G524"/>
  <c r="B526"/>
  <c r="D527"/>
  <c r="F528"/>
  <c r="B530"/>
  <c r="A530" s="1"/>
  <c r="I530" s="1"/>
  <c r="D531"/>
  <c r="F532"/>
  <c r="H533"/>
  <c r="C535"/>
  <c r="E536"/>
  <c r="G537"/>
  <c r="C539"/>
  <c r="E540"/>
  <c r="G541"/>
  <c r="B543"/>
  <c r="A543" s="1"/>
  <c r="I543" s="1"/>
  <c r="D544"/>
  <c r="F545"/>
  <c r="H546"/>
  <c r="D548"/>
  <c r="F549"/>
  <c r="H550"/>
  <c r="C552"/>
  <c r="E553"/>
  <c r="G554"/>
  <c r="B556"/>
  <c r="E557"/>
  <c r="G558"/>
  <c r="B560"/>
  <c r="A560" s="1"/>
  <c r="I560" s="1"/>
  <c r="D561"/>
  <c r="F562"/>
  <c r="H563"/>
  <c r="C565"/>
  <c r="F566"/>
  <c r="H567"/>
  <c r="C569"/>
  <c r="E570"/>
  <c r="G571"/>
  <c r="B573"/>
  <c r="A573" s="1"/>
  <c r="I573" s="1"/>
  <c r="D574"/>
  <c r="G575"/>
  <c r="B577"/>
  <c r="D578"/>
  <c r="F579"/>
  <c r="H580"/>
  <c r="C582"/>
  <c r="C8"/>
  <c r="C15"/>
  <c r="C22"/>
  <c r="C29"/>
  <c r="H36"/>
  <c r="G44"/>
  <c r="G51"/>
  <c r="G58"/>
  <c r="G65"/>
  <c r="E73"/>
  <c r="D81"/>
  <c r="D88"/>
  <c r="D95"/>
  <c r="D102"/>
  <c r="B110"/>
  <c r="A110" s="1"/>
  <c r="I110" s="1"/>
  <c r="H117"/>
  <c r="H124"/>
  <c r="H131"/>
  <c r="H138"/>
  <c r="F146"/>
  <c r="E154"/>
  <c r="E161"/>
  <c r="E168"/>
  <c r="E175"/>
  <c r="B183"/>
  <c r="A183" s="1"/>
  <c r="I183" s="1"/>
  <c r="B189"/>
  <c r="A189" s="1"/>
  <c r="I189" s="1"/>
  <c r="G194"/>
  <c r="E200"/>
  <c r="C206"/>
  <c r="B212"/>
  <c r="A212" s="1"/>
  <c r="I212" s="1"/>
  <c r="D217"/>
  <c r="E221"/>
  <c r="F225"/>
  <c r="H229"/>
  <c r="B234"/>
  <c r="A234" s="1"/>
  <c r="I234" s="1"/>
  <c r="C238"/>
  <c r="E242"/>
  <c r="D246"/>
  <c r="G250"/>
  <c r="B255"/>
  <c r="A255" s="1"/>
  <c r="I255" s="1"/>
  <c r="F258"/>
  <c r="F261"/>
  <c r="F264"/>
  <c r="F267"/>
  <c r="E270"/>
  <c r="F273"/>
  <c r="E276"/>
  <c r="E279"/>
  <c r="F282"/>
  <c r="E285"/>
  <c r="E288"/>
  <c r="D291"/>
  <c r="E294"/>
  <c r="D297"/>
  <c r="H299"/>
  <c r="F302"/>
  <c r="C305"/>
  <c r="G307"/>
  <c r="D310"/>
  <c r="B313"/>
  <c r="F315"/>
  <c r="C318"/>
  <c r="H320"/>
  <c r="E323"/>
  <c r="B326"/>
  <c r="A326" s="1"/>
  <c r="I326" s="1"/>
  <c r="F328"/>
  <c r="D331"/>
  <c r="H333"/>
  <c r="E336"/>
  <c r="C339"/>
  <c r="G341"/>
  <c r="D344"/>
  <c r="H346"/>
  <c r="F349"/>
  <c r="C352"/>
  <c r="G354"/>
  <c r="E357"/>
  <c r="B360"/>
  <c r="A360" s="1"/>
  <c r="I360" s="1"/>
  <c r="F362"/>
  <c r="C365"/>
  <c r="H367"/>
  <c r="E370"/>
  <c r="B373"/>
  <c r="A373" s="1"/>
  <c r="I373" s="1"/>
  <c r="G375"/>
  <c r="D378"/>
  <c r="H380"/>
  <c r="E383"/>
  <c r="C386"/>
  <c r="G388"/>
  <c r="D391"/>
  <c r="G393"/>
  <c r="B396"/>
  <c r="H397"/>
  <c r="C400"/>
  <c r="B402"/>
  <c r="A402" s="1"/>
  <c r="I402" s="1"/>
  <c r="D404"/>
  <c r="F406"/>
  <c r="D408"/>
  <c r="F410"/>
  <c r="E412"/>
  <c r="G414"/>
  <c r="B417"/>
  <c r="A417" s="1"/>
  <c r="I417" s="1"/>
  <c r="G418"/>
  <c r="G420"/>
  <c r="D422"/>
  <c r="D424"/>
  <c r="D426"/>
  <c r="H427"/>
  <c r="H429"/>
  <c r="E431"/>
  <c r="E433"/>
  <c r="E435"/>
  <c r="B437"/>
  <c r="A437" s="1"/>
  <c r="I437" s="1"/>
  <c r="B439"/>
  <c r="A439" s="1"/>
  <c r="I439" s="1"/>
  <c r="F440"/>
  <c r="F442"/>
  <c r="F444"/>
  <c r="C446"/>
  <c r="C448"/>
  <c r="G449"/>
  <c r="G451"/>
  <c r="G453"/>
  <c r="D455"/>
  <c r="D457"/>
  <c r="H458"/>
  <c r="H460"/>
  <c r="H462"/>
  <c r="E464"/>
  <c r="E466"/>
  <c r="B468"/>
  <c r="A468" s="1"/>
  <c r="I468" s="1"/>
  <c r="B470"/>
  <c r="A470" s="1"/>
  <c r="I470" s="1"/>
  <c r="B472"/>
  <c r="F473"/>
  <c r="F475"/>
  <c r="C477"/>
  <c r="C479"/>
  <c r="C481"/>
  <c r="G482"/>
  <c r="B484"/>
  <c r="A484" s="1"/>
  <c r="I484" s="1"/>
  <c r="E485"/>
  <c r="G486"/>
  <c r="B488"/>
  <c r="A488" s="1"/>
  <c r="I488" s="1"/>
  <c r="D489"/>
  <c r="F490"/>
  <c r="H491"/>
  <c r="C493"/>
  <c r="F494"/>
  <c r="H495"/>
  <c r="C497"/>
  <c r="E498"/>
  <c r="G499"/>
  <c r="B501"/>
  <c r="A501" s="1"/>
  <c r="I501" s="1"/>
  <c r="D502"/>
  <c r="G503"/>
  <c r="B505"/>
  <c r="A505" s="1"/>
  <c r="I505" s="1"/>
  <c r="D506"/>
  <c r="F507"/>
  <c r="H508"/>
  <c r="C510"/>
  <c r="E511"/>
  <c r="H512"/>
  <c r="C514"/>
  <c r="E515"/>
  <c r="G516"/>
  <c r="B518"/>
  <c r="D519"/>
  <c r="F520"/>
  <c r="B522"/>
  <c r="A522" s="1"/>
  <c r="I522" s="1"/>
  <c r="D523"/>
  <c r="F524"/>
  <c r="H525"/>
  <c r="C527"/>
  <c r="E528"/>
  <c r="G529"/>
  <c r="C531"/>
  <c r="E532"/>
  <c r="G533"/>
  <c r="B535"/>
  <c r="A535" s="1"/>
  <c r="I535" s="1"/>
  <c r="D536"/>
  <c r="F537"/>
  <c r="H538"/>
  <c r="D540"/>
  <c r="F541"/>
  <c r="H542"/>
  <c r="C544"/>
  <c r="E545"/>
  <c r="G546"/>
  <c r="B548"/>
  <c r="E549"/>
  <c r="G550"/>
  <c r="B552"/>
  <c r="A552" s="1"/>
  <c r="I552" s="1"/>
  <c r="D553"/>
  <c r="F554"/>
  <c r="H555"/>
  <c r="C557"/>
  <c r="F558"/>
  <c r="H559"/>
  <c r="C561"/>
  <c r="E562"/>
  <c r="G563"/>
  <c r="B565"/>
  <c r="A565" s="1"/>
  <c r="I565" s="1"/>
  <c r="D566"/>
  <c r="G567"/>
  <c r="B569"/>
  <c r="D570"/>
  <c r="F571"/>
  <c r="H572"/>
  <c r="C574"/>
  <c r="E575"/>
  <c r="H576"/>
  <c r="C578"/>
  <c r="E579"/>
  <c r="G580"/>
  <c r="B582"/>
  <c r="A582" s="1"/>
  <c r="I582" s="1"/>
  <c r="D583"/>
  <c r="F584"/>
  <c r="C7"/>
  <c r="B15"/>
  <c r="A15" s="1"/>
  <c r="I15" s="1"/>
  <c r="B22"/>
  <c r="A22" s="1"/>
  <c r="I22" s="1"/>
  <c r="B29"/>
  <c r="B36"/>
  <c r="G43"/>
  <c r="F51"/>
  <c r="F58"/>
  <c r="F65"/>
  <c r="F72"/>
  <c r="D80"/>
  <c r="C88"/>
  <c r="C95"/>
  <c r="C102"/>
  <c r="C109"/>
  <c r="H116"/>
  <c r="G124"/>
  <c r="G131"/>
  <c r="G138"/>
  <c r="G145"/>
  <c r="E153"/>
  <c r="D161"/>
  <c r="D168"/>
  <c r="D175"/>
  <c r="D182"/>
  <c r="D188"/>
  <c r="F194"/>
  <c r="D200"/>
  <c r="B206"/>
  <c r="G211"/>
  <c r="H216"/>
  <c r="C221"/>
  <c r="E225"/>
  <c r="E229"/>
  <c r="F233"/>
  <c r="B238"/>
  <c r="B242"/>
  <c r="C246"/>
  <c r="F250"/>
  <c r="F254"/>
  <c r="E258"/>
  <c r="D261"/>
  <c r="E264"/>
  <c r="D267"/>
  <c r="D270"/>
  <c r="E273"/>
  <c r="D276"/>
  <c r="D279"/>
  <c r="C282"/>
  <c r="D285"/>
  <c r="D288"/>
  <c r="C291"/>
  <c r="D294"/>
  <c r="C297"/>
  <c r="G299"/>
  <c r="D302"/>
  <c r="B305"/>
  <c r="A305" s="1"/>
  <c r="I305" s="1"/>
  <c r="F307"/>
  <c r="C310"/>
  <c r="H312"/>
  <c r="E315"/>
  <c r="B318"/>
  <c r="A318" s="1"/>
  <c r="I318" s="1"/>
  <c r="F320"/>
  <c r="D323"/>
  <c r="H325"/>
  <c r="E328"/>
  <c r="C331"/>
  <c r="G333"/>
  <c r="D336"/>
  <c r="H338"/>
  <c r="F341"/>
  <c r="C344"/>
  <c r="G346"/>
  <c r="E349"/>
  <c r="B352"/>
  <c r="A352" s="1"/>
  <c r="I352" s="1"/>
  <c r="F354"/>
  <c r="C357"/>
  <c r="H359"/>
  <c r="E362"/>
  <c r="B365"/>
  <c r="A365" s="1"/>
  <c r="I365" s="1"/>
  <c r="G367"/>
  <c r="D370"/>
  <c r="H372"/>
  <c r="E375"/>
  <c r="C378"/>
  <c r="G380"/>
  <c r="D383"/>
  <c r="B386"/>
  <c r="A386" s="1"/>
  <c r="I386" s="1"/>
  <c r="F388"/>
  <c r="C391"/>
  <c r="F393"/>
  <c r="E395"/>
  <c r="G397"/>
  <c r="B400"/>
  <c r="A400" s="1"/>
  <c r="I400" s="1"/>
  <c r="G401"/>
  <c r="B404"/>
  <c r="A404" s="1"/>
  <c r="I404" s="1"/>
  <c r="H405"/>
  <c r="C408"/>
  <c r="E410"/>
  <c r="D412"/>
  <c r="F414"/>
  <c r="D416"/>
  <c r="F418"/>
  <c r="F420"/>
  <c r="C422"/>
  <c r="C424"/>
  <c r="G425"/>
  <c r="G427"/>
  <c r="G429"/>
  <c r="D431"/>
  <c r="D433"/>
  <c r="H434"/>
  <c r="H436"/>
  <c r="H438"/>
  <c r="E440"/>
  <c r="E442"/>
  <c r="B444"/>
  <c r="B446"/>
  <c r="A446" s="1"/>
  <c r="I446" s="1"/>
  <c r="B448"/>
  <c r="A448" s="1"/>
  <c r="I448" s="1"/>
  <c r="F449"/>
  <c r="F451"/>
  <c r="C453"/>
  <c r="C455"/>
  <c r="C457"/>
  <c r="G458"/>
  <c r="G460"/>
  <c r="D462"/>
  <c r="D464"/>
  <c r="D466"/>
  <c r="H467"/>
  <c r="H469"/>
  <c r="E471"/>
  <c r="E473"/>
  <c r="E475"/>
  <c r="B477"/>
  <c r="A477" s="1"/>
  <c r="I477" s="1"/>
  <c r="B479"/>
  <c r="A479" s="1"/>
  <c r="I479" s="1"/>
  <c r="F480"/>
  <c r="F482"/>
  <c r="H483"/>
  <c r="C485"/>
  <c r="F486"/>
  <c r="H487"/>
  <c r="C489"/>
  <c r="E490"/>
  <c r="G491"/>
  <c r="B493"/>
  <c r="A493" s="1"/>
  <c r="I493" s="1"/>
  <c r="D494"/>
  <c r="G495"/>
  <c r="B497"/>
  <c r="D498"/>
  <c r="F499"/>
  <c r="H500"/>
  <c r="C502"/>
  <c r="E503"/>
  <c r="H504"/>
  <c r="C506"/>
  <c r="E507"/>
  <c r="G508"/>
  <c r="B510"/>
  <c r="A510" s="1"/>
  <c r="I510" s="1"/>
  <c r="D511"/>
  <c r="F512"/>
  <c r="B514"/>
  <c r="A514" s="1"/>
  <c r="I514" s="1"/>
  <c r="D515"/>
  <c r="F516"/>
  <c r="H517"/>
  <c r="C519"/>
  <c r="E520"/>
  <c r="G521"/>
  <c r="C523"/>
  <c r="E524"/>
  <c r="G525"/>
  <c r="B527"/>
  <c r="D528"/>
  <c r="F529"/>
  <c r="H530"/>
  <c r="D532"/>
  <c r="F533"/>
  <c r="H534"/>
  <c r="C536"/>
  <c r="E537"/>
  <c r="G538"/>
  <c r="B540"/>
  <c r="A540" s="1"/>
  <c r="I540" s="1"/>
  <c r="E541"/>
  <c r="G542"/>
  <c r="B544"/>
  <c r="A544" s="1"/>
  <c r="I544" s="1"/>
  <c r="D545"/>
  <c r="F546"/>
  <c r="H547"/>
  <c r="C549"/>
  <c r="F550"/>
  <c r="H551"/>
  <c r="C553"/>
  <c r="E554"/>
  <c r="G555"/>
  <c r="B557"/>
  <c r="A557" s="1"/>
  <c r="I557" s="1"/>
  <c r="D558"/>
  <c r="G559"/>
  <c r="B561"/>
  <c r="A561" s="1"/>
  <c r="I561" s="1"/>
  <c r="D562"/>
  <c r="F563"/>
  <c r="H564"/>
  <c r="C566"/>
  <c r="E567"/>
  <c r="H568"/>
  <c r="C570"/>
  <c r="E571"/>
  <c r="G572"/>
  <c r="B574"/>
  <c r="A574" s="1"/>
  <c r="I574" s="1"/>
  <c r="D575"/>
  <c r="F576"/>
  <c r="B578"/>
  <c r="A578" s="1"/>
  <c r="I578" s="1"/>
  <c r="D579"/>
  <c r="F580"/>
  <c r="H581"/>
  <c r="C583"/>
  <c r="E584"/>
  <c r="G585"/>
  <c r="C587"/>
  <c r="D6"/>
  <c r="B14"/>
  <c r="H21"/>
  <c r="H28"/>
  <c r="H35"/>
  <c r="H42"/>
  <c r="F50"/>
  <c r="E58"/>
  <c r="E65"/>
  <c r="E72"/>
  <c r="E79"/>
  <c r="C87"/>
  <c r="B95"/>
  <c r="A95" s="1"/>
  <c r="I95" s="1"/>
  <c r="B102"/>
  <c r="A102" s="1"/>
  <c r="I102" s="1"/>
  <c r="B109"/>
  <c r="A109" s="1"/>
  <c r="I109" s="1"/>
  <c r="B116"/>
  <c r="A116" s="1"/>
  <c r="I116" s="1"/>
  <c r="G123"/>
  <c r="F131"/>
  <c r="F138"/>
  <c r="F145"/>
  <c r="F152"/>
  <c r="D160"/>
  <c r="C168"/>
  <c r="C175"/>
  <c r="C182"/>
  <c r="H187"/>
  <c r="G193"/>
  <c r="C200"/>
  <c r="H205"/>
  <c r="F211"/>
  <c r="F216"/>
  <c r="H220"/>
  <c r="D225"/>
  <c r="C229"/>
  <c r="E233"/>
  <c r="H237"/>
  <c r="G241"/>
  <c r="B246"/>
  <c r="A246" s="1"/>
  <c r="I246" s="1"/>
  <c r="B250"/>
  <c r="A250" s="1"/>
  <c r="I250" s="1"/>
  <c r="D254"/>
  <c r="C258"/>
  <c r="C261"/>
  <c r="D264"/>
  <c r="C267"/>
  <c r="C270"/>
  <c r="B273"/>
  <c r="A273" s="1"/>
  <c r="I273" s="1"/>
  <c r="C276"/>
  <c r="C279"/>
  <c r="B282"/>
  <c r="A282" s="1"/>
  <c r="I282" s="1"/>
  <c r="C285"/>
  <c r="C288"/>
  <c r="B291"/>
  <c r="A291" s="1"/>
  <c r="I291" s="1"/>
  <c r="B294"/>
  <c r="A294" s="1"/>
  <c r="I294" s="1"/>
  <c r="B297"/>
  <c r="A297" s="1"/>
  <c r="I297" s="1"/>
  <c r="F299"/>
  <c r="C302"/>
  <c r="H304"/>
  <c r="E307"/>
  <c r="B310"/>
  <c r="F312"/>
  <c r="D315"/>
  <c r="H317"/>
  <c r="E320"/>
  <c r="C323"/>
  <c r="G325"/>
  <c r="D328"/>
  <c r="H330"/>
  <c r="F333"/>
  <c r="C336"/>
  <c r="G338"/>
  <c r="E341"/>
  <c r="B344"/>
  <c r="A344" s="1"/>
  <c r="I344" s="1"/>
  <c r="F346"/>
  <c r="C349"/>
  <c r="H351"/>
  <c r="E354"/>
  <c r="B357"/>
  <c r="A357" s="1"/>
  <c r="I357" s="1"/>
  <c r="G359"/>
  <c r="D362"/>
  <c r="H364"/>
  <c r="E367"/>
  <c r="C370"/>
  <c r="G372"/>
  <c r="D375"/>
  <c r="B378"/>
  <c r="A378" s="1"/>
  <c r="I378" s="1"/>
  <c r="F380"/>
  <c r="C383"/>
  <c r="G385"/>
  <c r="E388"/>
  <c r="B391"/>
  <c r="E393"/>
  <c r="D395"/>
  <c r="F397"/>
  <c r="D399"/>
  <c r="F401"/>
  <c r="H403"/>
  <c r="G405"/>
  <c r="B408"/>
  <c r="G409"/>
  <c r="B412"/>
  <c r="A412" s="1"/>
  <c r="I412" s="1"/>
  <c r="D414"/>
  <c r="C416"/>
  <c r="E418"/>
  <c r="B420"/>
  <c r="A420" s="1"/>
  <c r="I420" s="1"/>
  <c r="B422"/>
  <c r="A422" s="1"/>
  <c r="I422" s="1"/>
  <c r="B424"/>
  <c r="F425"/>
  <c r="F427"/>
  <c r="C429"/>
  <c r="C431"/>
  <c r="C433"/>
  <c r="G434"/>
  <c r="G436"/>
  <c r="D438"/>
  <c r="D440"/>
  <c r="D442"/>
  <c r="H443"/>
  <c r="H445"/>
  <c r="E447"/>
  <c r="E449"/>
  <c r="E451"/>
  <c r="B453"/>
  <c r="B455"/>
  <c r="F456"/>
  <c r="F458"/>
  <c r="F460"/>
  <c r="C462"/>
  <c r="C464"/>
  <c r="G465"/>
  <c r="G467"/>
  <c r="G469"/>
  <c r="D471"/>
  <c r="D473"/>
  <c r="H474"/>
  <c r="H476"/>
  <c r="H478"/>
  <c r="E480"/>
  <c r="E482"/>
  <c r="G483"/>
  <c r="B485"/>
  <c r="A485" s="1"/>
  <c r="I485" s="1"/>
  <c r="D486"/>
  <c r="G487"/>
  <c r="B489"/>
  <c r="A489" s="1"/>
  <c r="I489" s="1"/>
  <c r="D490"/>
  <c r="F491"/>
  <c r="H492"/>
  <c r="C494"/>
  <c r="E495"/>
  <c r="H496"/>
  <c r="C498"/>
  <c r="E499"/>
  <c r="G500"/>
  <c r="B502"/>
  <c r="A502" s="1"/>
  <c r="I502" s="1"/>
  <c r="D503"/>
  <c r="F504"/>
  <c r="B506"/>
  <c r="A506" s="1"/>
  <c r="I506" s="1"/>
  <c r="D507"/>
  <c r="F508"/>
  <c r="H509"/>
  <c r="C511"/>
  <c r="E512"/>
  <c r="G513"/>
  <c r="C515"/>
  <c r="E516"/>
  <c r="G517"/>
  <c r="B519"/>
  <c r="A519" s="1"/>
  <c r="I519" s="1"/>
  <c r="D520"/>
  <c r="F521"/>
  <c r="H522"/>
  <c r="D524"/>
  <c r="F525"/>
  <c r="H526"/>
  <c r="C528"/>
  <c r="E529"/>
  <c r="G530"/>
  <c r="B532"/>
  <c r="A532" s="1"/>
  <c r="I532" s="1"/>
  <c r="E533"/>
  <c r="G534"/>
  <c r="B536"/>
  <c r="D537"/>
  <c r="F538"/>
  <c r="H539"/>
  <c r="C541"/>
  <c r="F542"/>
  <c r="H543"/>
  <c r="C545"/>
  <c r="E546"/>
  <c r="G547"/>
  <c r="B549"/>
  <c r="A549" s="1"/>
  <c r="I549" s="1"/>
  <c r="D550"/>
  <c r="G551"/>
  <c r="B553"/>
  <c r="A553" s="1"/>
  <c r="I553" s="1"/>
  <c r="D554"/>
  <c r="F555"/>
  <c r="H556"/>
  <c r="C558"/>
  <c r="E559"/>
  <c r="H560"/>
  <c r="C562"/>
  <c r="E563"/>
  <c r="G564"/>
  <c r="B566"/>
  <c r="D567"/>
  <c r="F568"/>
  <c r="B570"/>
  <c r="A570" s="1"/>
  <c r="I570" s="1"/>
  <c r="D571"/>
  <c r="F572"/>
  <c r="H573"/>
  <c r="C575"/>
  <c r="E576"/>
  <c r="G577"/>
  <c r="C579"/>
  <c r="E580"/>
  <c r="G581"/>
  <c r="B583"/>
  <c r="A583" s="1"/>
  <c r="I583" s="1"/>
  <c r="D584"/>
  <c r="F585"/>
  <c r="H586"/>
  <c r="D588"/>
  <c r="F589"/>
  <c r="H590"/>
  <c r="C592"/>
  <c r="E593"/>
  <c r="G594"/>
  <c r="B596"/>
  <c r="A596" s="1"/>
  <c r="I596" s="1"/>
  <c r="E597"/>
  <c r="G598"/>
  <c r="B600"/>
  <c r="A600" s="1"/>
  <c r="I600" s="1"/>
  <c r="D601"/>
  <c r="F602"/>
  <c r="H603"/>
  <c r="C605"/>
  <c r="F606"/>
  <c r="H607"/>
  <c r="C609"/>
  <c r="E610"/>
  <c r="G611"/>
  <c r="B613"/>
  <c r="A613" s="1"/>
  <c r="I613" s="1"/>
  <c r="D614"/>
  <c r="G615"/>
  <c r="B617"/>
  <c r="A617" s="1"/>
  <c r="I617" s="1"/>
  <c r="D618"/>
  <c r="F619"/>
  <c r="H620"/>
  <c r="C622"/>
  <c r="E623"/>
  <c r="H624"/>
  <c r="C626"/>
  <c r="E627"/>
  <c r="G628"/>
  <c r="B630"/>
  <c r="D631"/>
  <c r="F632"/>
  <c r="B634"/>
  <c r="A634" s="1"/>
  <c r="I634" s="1"/>
  <c r="D635"/>
  <c r="F636"/>
  <c r="H637"/>
  <c r="C639"/>
  <c r="E640"/>
  <c r="G641"/>
  <c r="C643"/>
  <c r="E644"/>
  <c r="G645"/>
  <c r="B647"/>
  <c r="A647" s="1"/>
  <c r="I647" s="1"/>
  <c r="D648"/>
  <c r="F649"/>
  <c r="H650"/>
  <c r="D652"/>
  <c r="F653"/>
  <c r="H654"/>
  <c r="C656"/>
  <c r="E657"/>
  <c r="G658"/>
  <c r="B660"/>
  <c r="E661"/>
  <c r="G662"/>
  <c r="B664"/>
  <c r="A664" s="1"/>
  <c r="I664" s="1"/>
  <c r="D665"/>
  <c r="F666"/>
  <c r="H667"/>
  <c r="C669"/>
  <c r="F670"/>
  <c r="H671"/>
  <c r="C673"/>
  <c r="E674"/>
  <c r="G675"/>
  <c r="B677"/>
  <c r="A677" s="1"/>
  <c r="I677" s="1"/>
  <c r="D678"/>
  <c r="G679"/>
  <c r="B681"/>
  <c r="D682"/>
  <c r="E683"/>
  <c r="F684"/>
  <c r="G685"/>
  <c r="H686"/>
  <c r="B688"/>
  <c r="A688" s="1"/>
  <c r="I688" s="1"/>
  <c r="C689"/>
  <c r="D690"/>
  <c r="E691"/>
  <c r="F692"/>
  <c r="G693"/>
  <c r="H694"/>
  <c r="B696"/>
  <c r="A696" s="1"/>
  <c r="I696" s="1"/>
  <c r="C697"/>
  <c r="D698"/>
  <c r="E699"/>
  <c r="F700"/>
  <c r="G701"/>
  <c r="H702"/>
  <c r="B704"/>
  <c r="A704" s="1"/>
  <c r="I704" s="1"/>
  <c r="C705"/>
  <c r="D706"/>
  <c r="E707"/>
  <c r="F708"/>
  <c r="G709"/>
  <c r="H710"/>
  <c r="B712"/>
  <c r="A712" s="1"/>
  <c r="I712" s="1"/>
  <c r="C713"/>
  <c r="D714"/>
  <c r="E715"/>
  <c r="F716"/>
  <c r="G717"/>
  <c r="H718"/>
  <c r="B720"/>
  <c r="A720" s="1"/>
  <c r="I720" s="1"/>
  <c r="C721"/>
  <c r="D722"/>
  <c r="E723"/>
  <c r="F724"/>
  <c r="G725"/>
  <c r="H726"/>
  <c r="B728"/>
  <c r="C729"/>
  <c r="D730"/>
  <c r="E731"/>
  <c r="F732"/>
  <c r="G733"/>
  <c r="H734"/>
  <c r="B736"/>
  <c r="C737"/>
  <c r="D738"/>
  <c r="E739"/>
  <c r="F740"/>
  <c r="G741"/>
  <c r="H742"/>
  <c r="B744"/>
  <c r="A744" s="1"/>
  <c r="I744" s="1"/>
  <c r="C745"/>
  <c r="D746"/>
  <c r="E747"/>
  <c r="F748"/>
  <c r="G749"/>
  <c r="H750"/>
  <c r="B752"/>
  <c r="A752" s="1"/>
  <c r="I752" s="1"/>
  <c r="C753"/>
  <c r="D754"/>
  <c r="E755"/>
  <c r="F756"/>
  <c r="G757"/>
  <c r="H758"/>
  <c r="B760"/>
  <c r="A760" s="1"/>
  <c r="I760" s="1"/>
  <c r="C761"/>
  <c r="D762"/>
  <c r="E763"/>
  <c r="F764"/>
  <c r="G765"/>
  <c r="H766"/>
  <c r="B768"/>
  <c r="A768" s="1"/>
  <c r="I768" s="1"/>
  <c r="C769"/>
  <c r="D770"/>
  <c r="E771"/>
  <c r="F772"/>
  <c r="G773"/>
  <c r="H774"/>
  <c r="B776"/>
  <c r="A776" s="1"/>
  <c r="I776" s="1"/>
  <c r="C777"/>
  <c r="D778"/>
  <c r="E779"/>
  <c r="F780"/>
  <c r="G781"/>
  <c r="H782"/>
  <c r="B784"/>
  <c r="A784" s="1"/>
  <c r="I784" s="1"/>
  <c r="C785"/>
  <c r="D786"/>
  <c r="E787"/>
  <c r="F788"/>
  <c r="G789"/>
  <c r="H790"/>
  <c r="B792"/>
  <c r="C793"/>
  <c r="D794"/>
  <c r="E795"/>
  <c r="F796"/>
  <c r="G797"/>
  <c r="H798"/>
  <c r="B800"/>
  <c r="C801"/>
  <c r="D802"/>
  <c r="E803"/>
  <c r="F804"/>
  <c r="G805"/>
  <c r="H806"/>
  <c r="B808"/>
  <c r="A808" s="1"/>
  <c r="I808" s="1"/>
  <c r="C809"/>
  <c r="D810"/>
  <c r="E811"/>
  <c r="F812"/>
  <c r="G813"/>
  <c r="H814"/>
  <c r="B816"/>
  <c r="A816" s="1"/>
  <c r="I816" s="1"/>
  <c r="C817"/>
  <c r="D818"/>
  <c r="E819"/>
  <c r="F820"/>
  <c r="G821"/>
  <c r="H822"/>
  <c r="B824"/>
  <c r="A824" s="1"/>
  <c r="I824" s="1"/>
  <c r="C825"/>
  <c r="D826"/>
  <c r="E827"/>
  <c r="F828"/>
  <c r="G829"/>
  <c r="H830"/>
  <c r="B832"/>
  <c r="A832" s="1"/>
  <c r="I832" s="1"/>
  <c r="C833"/>
  <c r="D834"/>
  <c r="E835"/>
  <c r="F836"/>
  <c r="G837"/>
  <c r="H838"/>
  <c r="B840"/>
  <c r="A840" s="1"/>
  <c r="I840" s="1"/>
  <c r="C841"/>
  <c r="D842"/>
  <c r="E843"/>
  <c r="F844"/>
  <c r="G845"/>
  <c r="H846"/>
  <c r="B848"/>
  <c r="A848" s="1"/>
  <c r="I848" s="1"/>
  <c r="C849"/>
  <c r="D850"/>
  <c r="E851"/>
  <c r="F852"/>
  <c r="G853"/>
  <c r="H854"/>
  <c r="B856"/>
  <c r="C857"/>
  <c r="D858"/>
  <c r="E859"/>
  <c r="F860"/>
  <c r="G861"/>
  <c r="H862"/>
  <c r="B864"/>
  <c r="C865"/>
  <c r="D866"/>
  <c r="E867"/>
  <c r="F868"/>
  <c r="G869"/>
  <c r="H870"/>
  <c r="B872"/>
  <c r="A872" s="1"/>
  <c r="I872" s="1"/>
  <c r="C873"/>
  <c r="D874"/>
  <c r="E875"/>
  <c r="F876"/>
  <c r="G877"/>
  <c r="H878"/>
  <c r="B880"/>
  <c r="A880" s="1"/>
  <c r="I880" s="1"/>
  <c r="C881"/>
  <c r="D882"/>
  <c r="E883"/>
  <c r="F884"/>
  <c r="G885"/>
  <c r="H886"/>
  <c r="B888"/>
  <c r="A888" s="1"/>
  <c r="I888" s="1"/>
  <c r="C889"/>
  <c r="D890"/>
  <c r="E891"/>
  <c r="F892"/>
  <c r="G893"/>
  <c r="H894"/>
  <c r="B896"/>
  <c r="A896" s="1"/>
  <c r="I896" s="1"/>
  <c r="C897"/>
  <c r="D898"/>
  <c r="E899"/>
  <c r="F900"/>
  <c r="G901"/>
  <c r="H902"/>
  <c r="B904"/>
  <c r="A904" s="1"/>
  <c r="I904" s="1"/>
  <c r="C905"/>
  <c r="D906"/>
  <c r="E907"/>
  <c r="F908"/>
  <c r="G909"/>
  <c r="H910"/>
  <c r="B912"/>
  <c r="A912" s="1"/>
  <c r="I912" s="1"/>
  <c r="C913"/>
  <c r="D914"/>
  <c r="E915"/>
  <c r="F916"/>
  <c r="G917"/>
  <c r="H918"/>
  <c r="B920"/>
  <c r="C921"/>
  <c r="D922"/>
  <c r="E923"/>
  <c r="F924"/>
  <c r="G925"/>
  <c r="H926"/>
  <c r="B928"/>
  <c r="C929"/>
  <c r="D930"/>
  <c r="E931"/>
  <c r="F932"/>
  <c r="G933"/>
  <c r="H934"/>
  <c r="G11"/>
  <c r="F26"/>
  <c r="F40"/>
  <c r="C56"/>
  <c r="C70"/>
  <c r="H84"/>
  <c r="G99"/>
  <c r="G113"/>
  <c r="D129"/>
  <c r="D143"/>
  <c r="B158"/>
  <c r="H172"/>
  <c r="B186"/>
  <c r="A186" s="1"/>
  <c r="I186" s="1"/>
  <c r="C198"/>
  <c r="F209"/>
  <c r="G219"/>
  <c r="H227"/>
  <c r="D236"/>
  <c r="G244"/>
  <c r="B253"/>
  <c r="A253" s="1"/>
  <c r="I253" s="1"/>
  <c r="D260"/>
  <c r="C266"/>
  <c r="D272"/>
  <c r="C278"/>
  <c r="C284"/>
  <c r="B290"/>
  <c r="C296"/>
  <c r="E301"/>
  <c r="F306"/>
  <c r="H311"/>
  <c r="B317"/>
  <c r="A317" s="1"/>
  <c r="I317" s="1"/>
  <c r="D322"/>
  <c r="E327"/>
  <c r="G332"/>
  <c r="B338"/>
  <c r="C343"/>
  <c r="E348"/>
  <c r="F353"/>
  <c r="H358"/>
  <c r="B364"/>
  <c r="A364" s="1"/>
  <c r="I364" s="1"/>
  <c r="D369"/>
  <c r="F374"/>
  <c r="G379"/>
  <c r="B385"/>
  <c r="A385" s="1"/>
  <c r="I385" s="1"/>
  <c r="C390"/>
  <c r="C395"/>
  <c r="C399"/>
  <c r="D403"/>
  <c r="H407"/>
  <c r="H411"/>
  <c r="B416"/>
  <c r="H419"/>
  <c r="E423"/>
  <c r="E427"/>
  <c r="B431"/>
  <c r="A431" s="1"/>
  <c r="I431" s="1"/>
  <c r="F434"/>
  <c r="C438"/>
  <c r="G441"/>
  <c r="G445"/>
  <c r="D449"/>
  <c r="H452"/>
  <c r="E456"/>
  <c r="B460"/>
  <c r="A460" s="1"/>
  <c r="I460" s="1"/>
  <c r="B464"/>
  <c r="A464" s="1"/>
  <c r="I464" s="1"/>
  <c r="F467"/>
  <c r="C471"/>
  <c r="G474"/>
  <c r="D478"/>
  <c r="D482"/>
  <c r="H484"/>
  <c r="E487"/>
  <c r="C490"/>
  <c r="G492"/>
  <c r="D495"/>
  <c r="B498"/>
  <c r="F500"/>
  <c r="C503"/>
  <c r="G505"/>
  <c r="E508"/>
  <c r="B511"/>
  <c r="A511" s="1"/>
  <c r="I511" s="1"/>
  <c r="F513"/>
  <c r="D516"/>
  <c r="H518"/>
  <c r="E521"/>
  <c r="B524"/>
  <c r="A524" s="1"/>
  <c r="I524" s="1"/>
  <c r="G526"/>
  <c r="D529"/>
  <c r="H531"/>
  <c r="F534"/>
  <c r="C537"/>
  <c r="G539"/>
  <c r="D542"/>
  <c r="B545"/>
  <c r="A545" s="1"/>
  <c r="I545" s="1"/>
  <c r="F547"/>
  <c r="C550"/>
  <c r="H552"/>
  <c r="E555"/>
  <c r="B558"/>
  <c r="F560"/>
  <c r="D563"/>
  <c r="H565"/>
  <c r="E568"/>
  <c r="C571"/>
  <c r="G573"/>
  <c r="D576"/>
  <c r="H578"/>
  <c r="F581"/>
  <c r="B584"/>
  <c r="A584" s="1"/>
  <c r="I584" s="1"/>
  <c r="C586"/>
  <c r="G587"/>
  <c r="C589"/>
  <c r="G590"/>
  <c r="D592"/>
  <c r="G593"/>
  <c r="D595"/>
  <c r="G596"/>
  <c r="C598"/>
  <c r="G599"/>
  <c r="C601"/>
  <c r="G602"/>
  <c r="D604"/>
  <c r="G605"/>
  <c r="C607"/>
  <c r="F608"/>
  <c r="C610"/>
  <c r="F611"/>
  <c r="C613"/>
  <c r="G614"/>
  <c r="C616"/>
  <c r="F617"/>
  <c r="C619"/>
  <c r="F620"/>
  <c r="B622"/>
  <c r="A622" s="1"/>
  <c r="I622" s="1"/>
  <c r="G623"/>
  <c r="C625"/>
  <c r="F626"/>
  <c r="B628"/>
  <c r="A628" s="1"/>
  <c r="I628" s="1"/>
  <c r="F629"/>
  <c r="B631"/>
  <c r="E632"/>
  <c r="C634"/>
  <c r="F635"/>
  <c r="B637"/>
  <c r="A637" s="1"/>
  <c r="I637" s="1"/>
  <c r="F638"/>
  <c r="B640"/>
  <c r="A640" s="1"/>
  <c r="I640" s="1"/>
  <c r="E641"/>
  <c r="H642"/>
  <c r="F644"/>
  <c r="B646"/>
  <c r="A646" s="1"/>
  <c r="I646" s="1"/>
  <c r="E647"/>
  <c r="B649"/>
  <c r="A649" s="1"/>
  <c r="I649" s="1"/>
  <c r="E650"/>
  <c r="H651"/>
  <c r="E653"/>
  <c r="B655"/>
  <c r="E656"/>
  <c r="B658"/>
  <c r="A658" s="1"/>
  <c r="I658" s="1"/>
  <c r="E659"/>
  <c r="H660"/>
  <c r="D662"/>
  <c r="H663"/>
  <c r="E665"/>
  <c r="H666"/>
  <c r="E668"/>
  <c r="H669"/>
  <c r="D671"/>
  <c r="H672"/>
  <c r="D674"/>
  <c r="H675"/>
  <c r="E677"/>
  <c r="H678"/>
  <c r="D680"/>
  <c r="G681"/>
  <c r="C683"/>
  <c r="E684"/>
  <c r="H685"/>
  <c r="C687"/>
  <c r="E688"/>
  <c r="G689"/>
  <c r="B691"/>
  <c r="A691" s="1"/>
  <c r="I691" s="1"/>
  <c r="D692"/>
  <c r="F693"/>
  <c r="B695"/>
  <c r="A695" s="1"/>
  <c r="I695" s="1"/>
  <c r="D696"/>
  <c r="F697"/>
  <c r="H698"/>
  <c r="C700"/>
  <c r="E701"/>
  <c r="G702"/>
  <c r="C704"/>
  <c r="E705"/>
  <c r="G706"/>
  <c r="B708"/>
  <c r="A708" s="1"/>
  <c r="I708" s="1"/>
  <c r="D709"/>
  <c r="F710"/>
  <c r="H711"/>
  <c r="D713"/>
  <c r="F714"/>
  <c r="H715"/>
  <c r="C717"/>
  <c r="E718"/>
  <c r="G719"/>
  <c r="B721"/>
  <c r="E722"/>
  <c r="G723"/>
  <c r="B725"/>
  <c r="A725" s="1"/>
  <c r="I725" s="1"/>
  <c r="D726"/>
  <c r="F727"/>
  <c r="H728"/>
  <c r="C730"/>
  <c r="F731"/>
  <c r="H732"/>
  <c r="C734"/>
  <c r="E735"/>
  <c r="G736"/>
  <c r="B738"/>
  <c r="A738" s="1"/>
  <c r="I738" s="1"/>
  <c r="D739"/>
  <c r="G740"/>
  <c r="B742"/>
  <c r="D743"/>
  <c r="F744"/>
  <c r="H745"/>
  <c r="C747"/>
  <c r="E748"/>
  <c r="H749"/>
  <c r="C751"/>
  <c r="E752"/>
  <c r="G753"/>
  <c r="B755"/>
  <c r="A755" s="1"/>
  <c r="I755" s="1"/>
  <c r="D756"/>
  <c r="F757"/>
  <c r="B759"/>
  <c r="A759" s="1"/>
  <c r="I759" s="1"/>
  <c r="D760"/>
  <c r="F761"/>
  <c r="H762"/>
  <c r="C764"/>
  <c r="E765"/>
  <c r="G766"/>
  <c r="C768"/>
  <c r="E769"/>
  <c r="G770"/>
  <c r="B772"/>
  <c r="D773"/>
  <c r="F774"/>
  <c r="H775"/>
  <c r="D777"/>
  <c r="F778"/>
  <c r="H779"/>
  <c r="C781"/>
  <c r="E782"/>
  <c r="G783"/>
  <c r="B785"/>
  <c r="A785" s="1"/>
  <c r="I785" s="1"/>
  <c r="E786"/>
  <c r="G787"/>
  <c r="B789"/>
  <c r="A789" s="1"/>
  <c r="I789" s="1"/>
  <c r="D790"/>
  <c r="F791"/>
  <c r="H792"/>
  <c r="C794"/>
  <c r="F795"/>
  <c r="H796"/>
  <c r="C798"/>
  <c r="E799"/>
  <c r="G800"/>
  <c r="B802"/>
  <c r="A802" s="1"/>
  <c r="I802" s="1"/>
  <c r="D803"/>
  <c r="G804"/>
  <c r="B806"/>
  <c r="A806" s="1"/>
  <c r="I806" s="1"/>
  <c r="D807"/>
  <c r="F808"/>
  <c r="H809"/>
  <c r="C811"/>
  <c r="E812"/>
  <c r="H813"/>
  <c r="C815"/>
  <c r="E816"/>
  <c r="G817"/>
  <c r="B819"/>
  <c r="A819" s="1"/>
  <c r="I819" s="1"/>
  <c r="D820"/>
  <c r="F821"/>
  <c r="B823"/>
  <c r="A823" s="1"/>
  <c r="I823" s="1"/>
  <c r="D824"/>
  <c r="F825"/>
  <c r="H826"/>
  <c r="C828"/>
  <c r="E829"/>
  <c r="G830"/>
  <c r="C832"/>
  <c r="E833"/>
  <c r="G834"/>
  <c r="B836"/>
  <c r="D837"/>
  <c r="F838"/>
  <c r="H839"/>
  <c r="D841"/>
  <c r="F842"/>
  <c r="H843"/>
  <c r="C845"/>
  <c r="E846"/>
  <c r="G847"/>
  <c r="B849"/>
  <c r="A849" s="1"/>
  <c r="I849" s="1"/>
  <c r="E850"/>
  <c r="G851"/>
  <c r="B853"/>
  <c r="A853" s="1"/>
  <c r="I853" s="1"/>
  <c r="D854"/>
  <c r="F855"/>
  <c r="H856"/>
  <c r="C858"/>
  <c r="F859"/>
  <c r="H860"/>
  <c r="C862"/>
  <c r="E863"/>
  <c r="G864"/>
  <c r="B866"/>
  <c r="D867"/>
  <c r="G868"/>
  <c r="B870"/>
  <c r="A870" s="1"/>
  <c r="I870" s="1"/>
  <c r="D871"/>
  <c r="F872"/>
  <c r="H873"/>
  <c r="C875"/>
  <c r="E876"/>
  <c r="H877"/>
  <c r="C879"/>
  <c r="E880"/>
  <c r="G881"/>
  <c r="B883"/>
  <c r="A883" s="1"/>
  <c r="I883" s="1"/>
  <c r="D884"/>
  <c r="F885"/>
  <c r="B887"/>
  <c r="D888"/>
  <c r="F889"/>
  <c r="H890"/>
  <c r="C892"/>
  <c r="E893"/>
  <c r="G894"/>
  <c r="C896"/>
  <c r="E897"/>
  <c r="G898"/>
  <c r="B900"/>
  <c r="A900" s="1"/>
  <c r="I900" s="1"/>
  <c r="D901"/>
  <c r="F902"/>
  <c r="H903"/>
  <c r="D905"/>
  <c r="F906"/>
  <c r="H907"/>
  <c r="C909"/>
  <c r="E910"/>
  <c r="G911"/>
  <c r="B913"/>
  <c r="A913" s="1"/>
  <c r="I913" s="1"/>
  <c r="E914"/>
  <c r="G915"/>
  <c r="B917"/>
  <c r="A917" s="1"/>
  <c r="I917" s="1"/>
  <c r="D918"/>
  <c r="F919"/>
  <c r="H920"/>
  <c r="C922"/>
  <c r="F923"/>
  <c r="H924"/>
  <c r="C926"/>
  <c r="E927"/>
  <c r="G928"/>
  <c r="B930"/>
  <c r="D931"/>
  <c r="G932"/>
  <c r="B934"/>
  <c r="A934" s="1"/>
  <c r="I934" s="1"/>
  <c r="D935"/>
  <c r="E936"/>
  <c r="F937"/>
  <c r="G938"/>
  <c r="H939"/>
  <c r="B941"/>
  <c r="A941" s="1"/>
  <c r="I941" s="1"/>
  <c r="C942"/>
  <c r="D943"/>
  <c r="E944"/>
  <c r="F945"/>
  <c r="G946"/>
  <c r="H947"/>
  <c r="B949"/>
  <c r="C950"/>
  <c r="D951"/>
  <c r="E952"/>
  <c r="F953"/>
  <c r="G954"/>
  <c r="H955"/>
  <c r="B957"/>
  <c r="C958"/>
  <c r="D959"/>
  <c r="E960"/>
  <c r="F961"/>
  <c r="G962"/>
  <c r="H963"/>
  <c r="B965"/>
  <c r="A965" s="1"/>
  <c r="I965" s="1"/>
  <c r="C966"/>
  <c r="D967"/>
  <c r="E968"/>
  <c r="F969"/>
  <c r="G970"/>
  <c r="H971"/>
  <c r="B973"/>
  <c r="A973" s="1"/>
  <c r="I973" s="1"/>
  <c r="C974"/>
  <c r="D975"/>
  <c r="E976"/>
  <c r="F977"/>
  <c r="G978"/>
  <c r="H979"/>
  <c r="B981"/>
  <c r="A981" s="1"/>
  <c r="I981" s="1"/>
  <c r="C982"/>
  <c r="D983"/>
  <c r="E984"/>
  <c r="F985"/>
  <c r="G986"/>
  <c r="H987"/>
  <c r="B989"/>
  <c r="A989" s="1"/>
  <c r="I989" s="1"/>
  <c r="C990"/>
  <c r="D991"/>
  <c r="E992"/>
  <c r="F993"/>
  <c r="G994"/>
  <c r="H995"/>
  <c r="B997"/>
  <c r="A997" s="1"/>
  <c r="I997" s="1"/>
  <c r="C998"/>
  <c r="D999"/>
  <c r="E1000"/>
  <c r="F1001"/>
  <c r="G1002"/>
  <c r="H1003"/>
  <c r="B1005"/>
  <c r="A1005" s="1"/>
  <c r="I1005" s="1"/>
  <c r="C1006"/>
  <c r="D1007"/>
  <c r="E1008"/>
  <c r="F1009"/>
  <c r="G1010"/>
  <c r="H1011"/>
  <c r="B1013"/>
  <c r="C1014"/>
  <c r="D1015"/>
  <c r="E1016"/>
  <c r="F1017"/>
  <c r="G1018"/>
  <c r="H1019"/>
  <c r="B1021"/>
  <c r="C1022"/>
  <c r="D1023"/>
  <c r="E1024"/>
  <c r="F1025"/>
  <c r="G1026"/>
  <c r="H1027"/>
  <c r="B1029"/>
  <c r="A1029" s="1"/>
  <c r="I1029" s="1"/>
  <c r="C1030"/>
  <c r="D1031"/>
  <c r="E1032"/>
  <c r="F1033"/>
  <c r="G1034"/>
  <c r="H1035"/>
  <c r="B1037"/>
  <c r="A1037" s="1"/>
  <c r="I1037" s="1"/>
  <c r="C1038"/>
  <c r="D1039"/>
  <c r="E1040"/>
  <c r="F1041"/>
  <c r="G1042"/>
  <c r="H1043"/>
  <c r="B1045"/>
  <c r="A1045" s="1"/>
  <c r="I1045" s="1"/>
  <c r="C1046"/>
  <c r="D1047"/>
  <c r="E1048"/>
  <c r="F1049"/>
  <c r="G1050"/>
  <c r="H1051"/>
  <c r="B1053"/>
  <c r="A1053" s="1"/>
  <c r="I1053" s="1"/>
  <c r="C1054"/>
  <c r="D1055"/>
  <c r="E1056"/>
  <c r="F1057"/>
  <c r="G1058"/>
  <c r="H1059"/>
  <c r="B1061"/>
  <c r="A1061" s="1"/>
  <c r="I1061" s="1"/>
  <c r="C1062"/>
  <c r="D1063"/>
  <c r="E1064"/>
  <c r="F1065"/>
  <c r="G1066"/>
  <c r="H1067"/>
  <c r="B1069"/>
  <c r="A1069" s="1"/>
  <c r="I1069" s="1"/>
  <c r="C1070"/>
  <c r="D1071"/>
  <c r="E1072"/>
  <c r="F1073"/>
  <c r="G1074"/>
  <c r="H1075"/>
  <c r="B1077"/>
  <c r="C1078"/>
  <c r="D1079"/>
  <c r="E1080"/>
  <c r="F1081"/>
  <c r="G1082"/>
  <c r="H1083"/>
  <c r="B1085"/>
  <c r="C1086"/>
  <c r="D1087"/>
  <c r="E1088"/>
  <c r="F1089"/>
  <c r="G1090"/>
  <c r="H1091"/>
  <c r="B1093"/>
  <c r="A1093" s="1"/>
  <c r="I1093" s="1"/>
  <c r="C1094"/>
  <c r="D1095"/>
  <c r="E1096"/>
  <c r="F1097"/>
  <c r="G1098"/>
  <c r="H1099"/>
  <c r="B1101"/>
  <c r="A1101" s="1"/>
  <c r="I1101" s="1"/>
  <c r="H10"/>
  <c r="E26"/>
  <c r="E40"/>
  <c r="C55"/>
  <c r="B70"/>
  <c r="A70" s="1"/>
  <c r="I70" s="1"/>
  <c r="B84"/>
  <c r="A84" s="1"/>
  <c r="I84" s="1"/>
  <c r="F99"/>
  <c r="F113"/>
  <c r="D128"/>
  <c r="C143"/>
  <c r="C157"/>
  <c r="G172"/>
  <c r="G185"/>
  <c r="E197"/>
  <c r="E209"/>
  <c r="F219"/>
  <c r="G227"/>
  <c r="B236"/>
  <c r="D244"/>
  <c r="H252"/>
  <c r="B260"/>
  <c r="A260" s="1"/>
  <c r="I260" s="1"/>
  <c r="B266"/>
  <c r="A266" s="1"/>
  <c r="I266" s="1"/>
  <c r="C272"/>
  <c r="B278"/>
  <c r="A278" s="1"/>
  <c r="I278" s="1"/>
  <c r="B284"/>
  <c r="A284" s="1"/>
  <c r="I284" s="1"/>
  <c r="H289"/>
  <c r="H295"/>
  <c r="C301"/>
  <c r="E306"/>
  <c r="G311"/>
  <c r="H316"/>
  <c r="C322"/>
  <c r="D327"/>
  <c r="F332"/>
  <c r="G337"/>
  <c r="B343"/>
  <c r="A343" s="1"/>
  <c r="I343" s="1"/>
  <c r="D348"/>
  <c r="E353"/>
  <c r="G358"/>
  <c r="H363"/>
  <c r="C369"/>
  <c r="D374"/>
  <c r="F379"/>
  <c r="H384"/>
  <c r="B390"/>
  <c r="A390" s="1"/>
  <c r="I390" s="1"/>
  <c r="H394"/>
  <c r="B399"/>
  <c r="A399" s="1"/>
  <c r="I399" s="1"/>
  <c r="C403"/>
  <c r="C407"/>
  <c r="G411"/>
  <c r="H415"/>
  <c r="G419"/>
  <c r="D423"/>
  <c r="H426"/>
  <c r="H430"/>
  <c r="E434"/>
  <c r="B438"/>
  <c r="F441"/>
  <c r="C445"/>
  <c r="C449"/>
  <c r="G452"/>
  <c r="D456"/>
  <c r="H459"/>
  <c r="E463"/>
  <c r="E467"/>
  <c r="B471"/>
  <c r="F474"/>
  <c r="C478"/>
  <c r="G481"/>
  <c r="G484"/>
  <c r="D487"/>
  <c r="B490"/>
  <c r="A490" s="1"/>
  <c r="I490" s="1"/>
  <c r="F492"/>
  <c r="C495"/>
  <c r="G497"/>
  <c r="E500"/>
  <c r="B503"/>
  <c r="A503" s="1"/>
  <c r="I503" s="1"/>
  <c r="F505"/>
  <c r="D508"/>
  <c r="H510"/>
  <c r="E513"/>
  <c r="B516"/>
  <c r="G518"/>
  <c r="D521"/>
  <c r="H523"/>
  <c r="F526"/>
  <c r="C529"/>
  <c r="G531"/>
  <c r="D534"/>
  <c r="B537"/>
  <c r="F539"/>
  <c r="C542"/>
  <c r="H544"/>
  <c r="E547"/>
  <c r="B550"/>
  <c r="A550" s="1"/>
  <c r="I550" s="1"/>
  <c r="F552"/>
  <c r="D555"/>
  <c r="H557"/>
  <c r="E560"/>
  <c r="C563"/>
  <c r="G565"/>
  <c r="D568"/>
  <c r="H570"/>
  <c r="F573"/>
  <c r="C576"/>
  <c r="G578"/>
  <c r="E581"/>
  <c r="H583"/>
  <c r="B586"/>
  <c r="A586" s="1"/>
  <c r="I586" s="1"/>
  <c r="F587"/>
  <c r="B589"/>
  <c r="A589" s="1"/>
  <c r="I589" s="1"/>
  <c r="F590"/>
  <c r="B592"/>
  <c r="A592" s="1"/>
  <c r="I592" s="1"/>
  <c r="F593"/>
  <c r="C595"/>
  <c r="F596"/>
  <c r="B598"/>
  <c r="A598" s="1"/>
  <c r="I598" s="1"/>
  <c r="E599"/>
  <c r="B601"/>
  <c r="A601" s="1"/>
  <c r="I601" s="1"/>
  <c r="E602"/>
  <c r="B604"/>
  <c r="A604" s="1"/>
  <c r="I604" s="1"/>
  <c r="F605"/>
  <c r="B607"/>
  <c r="E608"/>
  <c r="B610"/>
  <c r="A610" s="1"/>
  <c r="I610" s="1"/>
  <c r="E611"/>
  <c r="H612"/>
  <c r="F614"/>
  <c r="B616"/>
  <c r="A616" s="1"/>
  <c r="I616" s="1"/>
  <c r="E617"/>
  <c r="H618"/>
  <c r="E620"/>
  <c r="H621"/>
  <c r="D623"/>
  <c r="B625"/>
  <c r="A625" s="1"/>
  <c r="I625" s="1"/>
  <c r="E626"/>
  <c r="H627"/>
  <c r="E629"/>
  <c r="H630"/>
  <c r="D632"/>
  <c r="G633"/>
  <c r="E635"/>
  <c r="H636"/>
  <c r="D638"/>
  <c r="H639"/>
  <c r="D641"/>
  <c r="G642"/>
  <c r="D644"/>
  <c r="H645"/>
  <c r="D647"/>
  <c r="H648"/>
  <c r="D650"/>
  <c r="G651"/>
  <c r="C653"/>
  <c r="G654"/>
  <c r="D656"/>
  <c r="G657"/>
  <c r="D659"/>
  <c r="G660"/>
  <c r="C662"/>
  <c r="G663"/>
  <c r="C665"/>
  <c r="G666"/>
  <c r="D668"/>
  <c r="G669"/>
  <c r="C671"/>
  <c r="F672"/>
  <c r="C674"/>
  <c r="F675"/>
  <c r="C677"/>
  <c r="G678"/>
  <c r="C680"/>
  <c r="F681"/>
  <c r="B683"/>
  <c r="A683" s="1"/>
  <c r="I683" s="1"/>
  <c r="D684"/>
  <c r="F685"/>
  <c r="B687"/>
  <c r="A687" s="1"/>
  <c r="I687" s="1"/>
  <c r="D688"/>
  <c r="F689"/>
  <c r="H690"/>
  <c r="C692"/>
  <c r="E693"/>
  <c r="G694"/>
  <c r="C696"/>
  <c r="E697"/>
  <c r="G698"/>
  <c r="B700"/>
  <c r="D701"/>
  <c r="F702"/>
  <c r="H703"/>
  <c r="D705"/>
  <c r="F706"/>
  <c r="H707"/>
  <c r="C709"/>
  <c r="E710"/>
  <c r="G711"/>
  <c r="B713"/>
  <c r="A713" s="1"/>
  <c r="I713" s="1"/>
  <c r="E714"/>
  <c r="G715"/>
  <c r="B717"/>
  <c r="A717" s="1"/>
  <c r="I717" s="1"/>
  <c r="D718"/>
  <c r="F719"/>
  <c r="H720"/>
  <c r="C722"/>
  <c r="F723"/>
  <c r="H724"/>
  <c r="C726"/>
  <c r="E727"/>
  <c r="G728"/>
  <c r="B730"/>
  <c r="D731"/>
  <c r="G732"/>
  <c r="B734"/>
  <c r="A734" s="1"/>
  <c r="I734" s="1"/>
  <c r="D735"/>
  <c r="F736"/>
  <c r="H737"/>
  <c r="C739"/>
  <c r="E740"/>
  <c r="H741"/>
  <c r="C743"/>
  <c r="E744"/>
  <c r="G745"/>
  <c r="B747"/>
  <c r="A747" s="1"/>
  <c r="I747" s="1"/>
  <c r="D748"/>
  <c r="F749"/>
  <c r="B751"/>
  <c r="D752"/>
  <c r="F753"/>
  <c r="H754"/>
  <c r="C756"/>
  <c r="E757"/>
  <c r="G758"/>
  <c r="C760"/>
  <c r="E761"/>
  <c r="G762"/>
  <c r="B764"/>
  <c r="A764" s="1"/>
  <c r="I764" s="1"/>
  <c r="D765"/>
  <c r="F766"/>
  <c r="H767"/>
  <c r="D769"/>
  <c r="F770"/>
  <c r="H771"/>
  <c r="C773"/>
  <c r="E774"/>
  <c r="G775"/>
  <c r="B777"/>
  <c r="A777" s="1"/>
  <c r="I777" s="1"/>
  <c r="E778"/>
  <c r="G779"/>
  <c r="B781"/>
  <c r="A781" s="1"/>
  <c r="I781" s="1"/>
  <c r="D782"/>
  <c r="F783"/>
  <c r="H784"/>
  <c r="C786"/>
  <c r="F787"/>
  <c r="H788"/>
  <c r="C790"/>
  <c r="E791"/>
  <c r="G792"/>
  <c r="B794"/>
  <c r="D795"/>
  <c r="G796"/>
  <c r="B798"/>
  <c r="A798" s="1"/>
  <c r="I798" s="1"/>
  <c r="D799"/>
  <c r="F800"/>
  <c r="H801"/>
  <c r="C803"/>
  <c r="E804"/>
  <c r="H805"/>
  <c r="C807"/>
  <c r="E808"/>
  <c r="G809"/>
  <c r="B811"/>
  <c r="A811" s="1"/>
  <c r="I811" s="1"/>
  <c r="D812"/>
  <c r="F813"/>
  <c r="B815"/>
  <c r="D816"/>
  <c r="F817"/>
  <c r="H818"/>
  <c r="C820"/>
  <c r="E821"/>
  <c r="G822"/>
  <c r="C824"/>
  <c r="E825"/>
  <c r="G826"/>
  <c r="B828"/>
  <c r="A828" s="1"/>
  <c r="I828" s="1"/>
  <c r="D829"/>
  <c r="F830"/>
  <c r="H831"/>
  <c r="D833"/>
  <c r="F834"/>
  <c r="H835"/>
  <c r="C837"/>
  <c r="E838"/>
  <c r="G839"/>
  <c r="B841"/>
  <c r="A841" s="1"/>
  <c r="I841" s="1"/>
  <c r="E842"/>
  <c r="G843"/>
  <c r="B845"/>
  <c r="D846"/>
  <c r="F847"/>
  <c r="H848"/>
  <c r="C850"/>
  <c r="F851"/>
  <c r="H852"/>
  <c r="C854"/>
  <c r="E855"/>
  <c r="G856"/>
  <c r="B858"/>
  <c r="A858" s="1"/>
  <c r="I858" s="1"/>
  <c r="D859"/>
  <c r="G860"/>
  <c r="B862"/>
  <c r="A862" s="1"/>
  <c r="I862" s="1"/>
  <c r="D863"/>
  <c r="F864"/>
  <c r="H865"/>
  <c r="C867"/>
  <c r="E868"/>
  <c r="H869"/>
  <c r="C871"/>
  <c r="E872"/>
  <c r="G873"/>
  <c r="B875"/>
  <c r="A875" s="1"/>
  <c r="I875" s="1"/>
  <c r="D876"/>
  <c r="F877"/>
  <c r="B879"/>
  <c r="A879" s="1"/>
  <c r="I879" s="1"/>
  <c r="D880"/>
  <c r="F881"/>
  <c r="H882"/>
  <c r="C884"/>
  <c r="E885"/>
  <c r="G886"/>
  <c r="C888"/>
  <c r="E889"/>
  <c r="G890"/>
  <c r="B892"/>
  <c r="A892" s="1"/>
  <c r="I892" s="1"/>
  <c r="D893"/>
  <c r="F894"/>
  <c r="H895"/>
  <c r="D897"/>
  <c r="F898"/>
  <c r="H899"/>
  <c r="C901"/>
  <c r="E902"/>
  <c r="G903"/>
  <c r="B905"/>
  <c r="A905" s="1"/>
  <c r="I905" s="1"/>
  <c r="E906"/>
  <c r="G907"/>
  <c r="B909"/>
  <c r="D910"/>
  <c r="F911"/>
  <c r="H912"/>
  <c r="C914"/>
  <c r="F915"/>
  <c r="H916"/>
  <c r="C918"/>
  <c r="E919"/>
  <c r="G920"/>
  <c r="B922"/>
  <c r="A922" s="1"/>
  <c r="I922" s="1"/>
  <c r="D923"/>
  <c r="G924"/>
  <c r="B926"/>
  <c r="A926" s="1"/>
  <c r="I926" s="1"/>
  <c r="D927"/>
  <c r="F928"/>
  <c r="H929"/>
  <c r="C931"/>
  <c r="E932"/>
  <c r="H933"/>
  <c r="C935"/>
  <c r="D936"/>
  <c r="E937"/>
  <c r="F938"/>
  <c r="G939"/>
  <c r="H940"/>
  <c r="B942"/>
  <c r="A942" s="1"/>
  <c r="I942" s="1"/>
  <c r="C943"/>
  <c r="D944"/>
  <c r="E945"/>
  <c r="F946"/>
  <c r="G947"/>
  <c r="H948"/>
  <c r="B950"/>
  <c r="A950" s="1"/>
  <c r="I950" s="1"/>
  <c r="C951"/>
  <c r="D952"/>
  <c r="E953"/>
  <c r="F954"/>
  <c r="G955"/>
  <c r="H956"/>
  <c r="B958"/>
  <c r="C959"/>
  <c r="D960"/>
  <c r="E961"/>
  <c r="F962"/>
  <c r="G963"/>
  <c r="H964"/>
  <c r="B966"/>
  <c r="C967"/>
  <c r="D968"/>
  <c r="E969"/>
  <c r="F970"/>
  <c r="G971"/>
  <c r="H972"/>
  <c r="B974"/>
  <c r="A974" s="1"/>
  <c r="I974" s="1"/>
  <c r="C975"/>
  <c r="D976"/>
  <c r="E977"/>
  <c r="F978"/>
  <c r="G979"/>
  <c r="H980"/>
  <c r="B982"/>
  <c r="A982" s="1"/>
  <c r="I982" s="1"/>
  <c r="C983"/>
  <c r="D984"/>
  <c r="E985"/>
  <c r="F986"/>
  <c r="G987"/>
  <c r="H988"/>
  <c r="B990"/>
  <c r="A990" s="1"/>
  <c r="I990" s="1"/>
  <c r="C991"/>
  <c r="D992"/>
  <c r="E993"/>
  <c r="F994"/>
  <c r="G995"/>
  <c r="H996"/>
  <c r="B998"/>
  <c r="A998" s="1"/>
  <c r="I998" s="1"/>
  <c r="C999"/>
  <c r="D1000"/>
  <c r="E1001"/>
  <c r="F1002"/>
  <c r="G1003"/>
  <c r="H1004"/>
  <c r="B1006"/>
  <c r="A1006" s="1"/>
  <c r="I1006" s="1"/>
  <c r="C1007"/>
  <c r="D1008"/>
  <c r="E1009"/>
  <c r="F1010"/>
  <c r="G1011"/>
  <c r="H1012"/>
  <c r="B1014"/>
  <c r="A1014" s="1"/>
  <c r="I1014" s="1"/>
  <c r="C1015"/>
  <c r="D1016"/>
  <c r="E1017"/>
  <c r="F1018"/>
  <c r="G1019"/>
  <c r="H1020"/>
  <c r="B1022"/>
  <c r="C1023"/>
  <c r="D1024"/>
  <c r="E1025"/>
  <c r="F1026"/>
  <c r="G1027"/>
  <c r="H1028"/>
  <c r="B1030"/>
  <c r="C1031"/>
  <c r="D1032"/>
  <c r="E1033"/>
  <c r="F1034"/>
  <c r="G1035"/>
  <c r="H1036"/>
  <c r="B1038"/>
  <c r="A1038" s="1"/>
  <c r="I1038" s="1"/>
  <c r="C1039"/>
  <c r="D1040"/>
  <c r="E1041"/>
  <c r="F1042"/>
  <c r="G1043"/>
  <c r="H1044"/>
  <c r="B1046"/>
  <c r="A1046" s="1"/>
  <c r="I1046" s="1"/>
  <c r="C1047"/>
  <c r="D1048"/>
  <c r="E1049"/>
  <c r="F1050"/>
  <c r="G1051"/>
  <c r="H1052"/>
  <c r="B1054"/>
  <c r="A1054" s="1"/>
  <c r="I1054" s="1"/>
  <c r="C1055"/>
  <c r="D1056"/>
  <c r="E1057"/>
  <c r="F1058"/>
  <c r="G1059"/>
  <c r="H1060"/>
  <c r="B1062"/>
  <c r="A1062" s="1"/>
  <c r="I1062" s="1"/>
  <c r="C1063"/>
  <c r="D1064"/>
  <c r="E1065"/>
  <c r="F1066"/>
  <c r="G1067"/>
  <c r="H1068"/>
  <c r="B1070"/>
  <c r="A1070" s="1"/>
  <c r="I1070" s="1"/>
  <c r="C1071"/>
  <c r="D1072"/>
  <c r="E1073"/>
  <c r="F1074"/>
  <c r="G1075"/>
  <c r="H1076"/>
  <c r="B1078"/>
  <c r="A1078" s="1"/>
  <c r="I1078" s="1"/>
  <c r="C1079"/>
  <c r="D1080"/>
  <c r="E1081"/>
  <c r="F1082"/>
  <c r="G1083"/>
  <c r="H1084"/>
  <c r="B1086"/>
  <c r="C1087"/>
  <c r="D1088"/>
  <c r="E1089"/>
  <c r="F1090"/>
  <c r="G1091"/>
  <c r="H1092"/>
  <c r="B1094"/>
  <c r="C1095"/>
  <c r="D1096"/>
  <c r="E1097"/>
  <c r="F1098"/>
  <c r="G1099"/>
  <c r="H1100"/>
  <c r="G10"/>
  <c r="E25"/>
  <c r="D40"/>
  <c r="D54"/>
  <c r="H69"/>
  <c r="H83"/>
  <c r="F98"/>
  <c r="E113"/>
  <c r="E127"/>
  <c r="B143"/>
  <c r="B157"/>
  <c r="G171"/>
  <c r="F185"/>
  <c r="B197"/>
  <c r="A197" s="1"/>
  <c r="D209"/>
  <c r="H218"/>
  <c r="F227"/>
  <c r="H235"/>
  <c r="B244"/>
  <c r="G252"/>
  <c r="H259"/>
  <c r="H265"/>
  <c r="G271"/>
  <c r="H277"/>
  <c r="H283"/>
  <c r="G289"/>
  <c r="G295"/>
  <c r="B301"/>
  <c r="A301" s="1"/>
  <c r="I301" s="1"/>
  <c r="D306"/>
  <c r="E311"/>
  <c r="G316"/>
  <c r="B322"/>
  <c r="A322" s="1"/>
  <c r="I322" s="1"/>
  <c r="C327"/>
  <c r="E332"/>
  <c r="F337"/>
  <c r="H342"/>
  <c r="B348"/>
  <c r="A348" s="1"/>
  <c r="I348" s="1"/>
  <c r="D353"/>
  <c r="F358"/>
  <c r="G363"/>
  <c r="B369"/>
  <c r="A369" s="1"/>
  <c r="I369" s="1"/>
  <c r="C374"/>
  <c r="E379"/>
  <c r="F384"/>
  <c r="H389"/>
  <c r="G394"/>
  <c r="H398"/>
  <c r="H402"/>
  <c r="B407"/>
  <c r="A407" s="1"/>
  <c r="I407" s="1"/>
  <c r="C411"/>
  <c r="G415"/>
  <c r="F419"/>
  <c r="C423"/>
  <c r="G426"/>
  <c r="D430"/>
  <c r="D434"/>
  <c r="H437"/>
  <c r="E441"/>
  <c r="B445"/>
  <c r="F448"/>
  <c r="F452"/>
  <c r="C456"/>
  <c r="G459"/>
  <c r="D463"/>
  <c r="H466"/>
  <c r="H470"/>
  <c r="E474"/>
  <c r="B478"/>
  <c r="A478" s="1"/>
  <c r="I478" s="1"/>
  <c r="F481"/>
  <c r="F484"/>
  <c r="C487"/>
  <c r="G489"/>
  <c r="E492"/>
  <c r="B495"/>
  <c r="F497"/>
  <c r="D500"/>
  <c r="H502"/>
  <c r="E505"/>
  <c r="B508"/>
  <c r="A508" s="1"/>
  <c r="I508" s="1"/>
  <c r="G510"/>
  <c r="D513"/>
  <c r="H515"/>
  <c r="F518"/>
  <c r="C521"/>
  <c r="G523"/>
  <c r="D526"/>
  <c r="B529"/>
  <c r="A529" s="1"/>
  <c r="I529" s="1"/>
  <c r="F531"/>
  <c r="C534"/>
  <c r="H536"/>
  <c r="E539"/>
  <c r="B542"/>
  <c r="A542" s="1"/>
  <c r="I542" s="1"/>
  <c r="F544"/>
  <c r="D547"/>
  <c r="H549"/>
  <c r="E552"/>
  <c r="C555"/>
  <c r="G557"/>
  <c r="D560"/>
  <c r="H562"/>
  <c r="F565"/>
  <c r="C568"/>
  <c r="G570"/>
  <c r="E573"/>
  <c r="B576"/>
  <c r="A576" s="1"/>
  <c r="I576" s="1"/>
  <c r="F578"/>
  <c r="C581"/>
  <c r="G583"/>
  <c r="E585"/>
  <c r="E587"/>
  <c r="H588"/>
  <c r="D590"/>
  <c r="H591"/>
  <c r="D593"/>
  <c r="H594"/>
  <c r="E596"/>
  <c r="H597"/>
  <c r="D599"/>
  <c r="H600"/>
  <c r="D602"/>
  <c r="G603"/>
  <c r="E605"/>
  <c r="H606"/>
  <c r="D608"/>
  <c r="G609"/>
  <c r="D611"/>
  <c r="G612"/>
  <c r="C614"/>
  <c r="H615"/>
  <c r="D617"/>
  <c r="G618"/>
  <c r="D620"/>
  <c r="G621"/>
  <c r="C623"/>
  <c r="F624"/>
  <c r="D626"/>
  <c r="G627"/>
  <c r="C629"/>
  <c r="G630"/>
  <c r="C632"/>
  <c r="F633"/>
  <c r="C635"/>
  <c r="G636"/>
  <c r="C638"/>
  <c r="G639"/>
  <c r="C641"/>
  <c r="F642"/>
  <c r="B644"/>
  <c r="A644" s="1"/>
  <c r="I644" s="1"/>
  <c r="F645"/>
  <c r="C647"/>
  <c r="F648"/>
  <c r="C650"/>
  <c r="F651"/>
  <c r="B653"/>
  <c r="F654"/>
  <c r="B656"/>
  <c r="A656" s="1"/>
  <c r="I656" s="1"/>
  <c r="F657"/>
  <c r="C659"/>
  <c r="F660"/>
  <c r="B662"/>
  <c r="A662" s="1"/>
  <c r="I662" s="1"/>
  <c r="E663"/>
  <c r="B665"/>
  <c r="E666"/>
  <c r="B668"/>
  <c r="A668" s="1"/>
  <c r="I668" s="1"/>
  <c r="F669"/>
  <c r="B671"/>
  <c r="A671" s="1"/>
  <c r="I671" s="1"/>
  <c r="E672"/>
  <c r="B674"/>
  <c r="A674" s="1"/>
  <c r="I674" s="1"/>
  <c r="E675"/>
  <c r="H676"/>
  <c r="F678"/>
  <c r="B680"/>
  <c r="A680" s="1"/>
  <c r="I680" s="1"/>
  <c r="E681"/>
  <c r="H682"/>
  <c r="C684"/>
  <c r="E685"/>
  <c r="G686"/>
  <c r="C688"/>
  <c r="E689"/>
  <c r="G690"/>
  <c r="B692"/>
  <c r="A692" s="1"/>
  <c r="I692" s="1"/>
  <c r="D693"/>
  <c r="F694"/>
  <c r="H695"/>
  <c r="D697"/>
  <c r="F698"/>
  <c r="H699"/>
  <c r="C701"/>
  <c r="E702"/>
  <c r="G703"/>
  <c r="B705"/>
  <c r="A705" s="1"/>
  <c r="I705" s="1"/>
  <c r="E706"/>
  <c r="G707"/>
  <c r="B709"/>
  <c r="D710"/>
  <c r="F711"/>
  <c r="H712"/>
  <c r="C714"/>
  <c r="F715"/>
  <c r="H716"/>
  <c r="C718"/>
  <c r="E719"/>
  <c r="G720"/>
  <c r="B722"/>
  <c r="A722" s="1"/>
  <c r="I722" s="1"/>
  <c r="D723"/>
  <c r="G724"/>
  <c r="B726"/>
  <c r="A726" s="1"/>
  <c r="I726" s="1"/>
  <c r="D727"/>
  <c r="F728"/>
  <c r="H729"/>
  <c r="C731"/>
  <c r="E732"/>
  <c r="H733"/>
  <c r="C735"/>
  <c r="E736"/>
  <c r="G737"/>
  <c r="B739"/>
  <c r="A739" s="1"/>
  <c r="I739" s="1"/>
  <c r="D740"/>
  <c r="F741"/>
  <c r="B743"/>
  <c r="A743" s="1"/>
  <c r="I743" s="1"/>
  <c r="D744"/>
  <c r="F745"/>
  <c r="H746"/>
  <c r="C748"/>
  <c r="E749"/>
  <c r="G750"/>
  <c r="C752"/>
  <c r="E753"/>
  <c r="G754"/>
  <c r="B756"/>
  <c r="A756" s="1"/>
  <c r="I756" s="1"/>
  <c r="D757"/>
  <c r="F758"/>
  <c r="H759"/>
  <c r="D761"/>
  <c r="F762"/>
  <c r="H763"/>
  <c r="C765"/>
  <c r="E766"/>
  <c r="G767"/>
  <c r="B769"/>
  <c r="A769" s="1"/>
  <c r="I769" s="1"/>
  <c r="E770"/>
  <c r="G771"/>
  <c r="B773"/>
  <c r="D774"/>
  <c r="F775"/>
  <c r="H776"/>
  <c r="C778"/>
  <c r="F779"/>
  <c r="H780"/>
  <c r="C782"/>
  <c r="E783"/>
  <c r="G784"/>
  <c r="B786"/>
  <c r="A786" s="1"/>
  <c r="I786" s="1"/>
  <c r="D787"/>
  <c r="G788"/>
  <c r="B790"/>
  <c r="A790" s="1"/>
  <c r="I790" s="1"/>
  <c r="D791"/>
  <c r="F792"/>
  <c r="H793"/>
  <c r="C795"/>
  <c r="E796"/>
  <c r="H797"/>
  <c r="C799"/>
  <c r="E800"/>
  <c r="G801"/>
  <c r="B803"/>
  <c r="D804"/>
  <c r="F805"/>
  <c r="B807"/>
  <c r="A807" s="1"/>
  <c r="I807" s="1"/>
  <c r="D808"/>
  <c r="F809"/>
  <c r="H810"/>
  <c r="C812"/>
  <c r="E813"/>
  <c r="G814"/>
  <c r="C816"/>
  <c r="E817"/>
  <c r="G818"/>
  <c r="B820"/>
  <c r="A820" s="1"/>
  <c r="I820" s="1"/>
  <c r="D821"/>
  <c r="F822"/>
  <c r="H823"/>
  <c r="D825"/>
  <c r="F826"/>
  <c r="H827"/>
  <c r="C829"/>
  <c r="E830"/>
  <c r="G831"/>
  <c r="B833"/>
  <c r="A833" s="1"/>
  <c r="I833" s="1"/>
  <c r="E834"/>
  <c r="G835"/>
  <c r="B837"/>
  <c r="A837" s="1"/>
  <c r="I837" s="1"/>
  <c r="D838"/>
  <c r="F839"/>
  <c r="H840"/>
  <c r="C842"/>
  <c r="F843"/>
  <c r="H844"/>
  <c r="C846"/>
  <c r="E847"/>
  <c r="G848"/>
  <c r="B850"/>
  <c r="A850" s="1"/>
  <c r="I850" s="1"/>
  <c r="D851"/>
  <c r="G852"/>
  <c r="B854"/>
  <c r="A854" s="1"/>
  <c r="I854" s="1"/>
  <c r="D855"/>
  <c r="F856"/>
  <c r="H857"/>
  <c r="C859"/>
  <c r="E860"/>
  <c r="H861"/>
  <c r="C863"/>
  <c r="E864"/>
  <c r="G865"/>
  <c r="B867"/>
  <c r="D868"/>
  <c r="F869"/>
  <c r="B871"/>
  <c r="A871" s="1"/>
  <c r="I871" s="1"/>
  <c r="D872"/>
  <c r="F873"/>
  <c r="H874"/>
  <c r="C876"/>
  <c r="E877"/>
  <c r="G878"/>
  <c r="C880"/>
  <c r="E881"/>
  <c r="G882"/>
  <c r="B884"/>
  <c r="A884" s="1"/>
  <c r="I884" s="1"/>
  <c r="D885"/>
  <c r="F886"/>
  <c r="H887"/>
  <c r="D889"/>
  <c r="F890"/>
  <c r="H891"/>
  <c r="C893"/>
  <c r="E894"/>
  <c r="G895"/>
  <c r="B897"/>
  <c r="E898"/>
  <c r="G899"/>
  <c r="B901"/>
  <c r="A901" s="1"/>
  <c r="I901" s="1"/>
  <c r="D902"/>
  <c r="F903"/>
  <c r="H904"/>
  <c r="C906"/>
  <c r="F907"/>
  <c r="H908"/>
  <c r="C910"/>
  <c r="E911"/>
  <c r="G912"/>
  <c r="B914"/>
  <c r="A914" s="1"/>
  <c r="I914" s="1"/>
  <c r="D915"/>
  <c r="G916"/>
  <c r="B918"/>
  <c r="D919"/>
  <c r="F920"/>
  <c r="H921"/>
  <c r="C923"/>
  <c r="E924"/>
  <c r="H925"/>
  <c r="C927"/>
  <c r="E928"/>
  <c r="G929"/>
  <c r="B931"/>
  <c r="A931" s="1"/>
  <c r="I931" s="1"/>
  <c r="D932"/>
  <c r="F933"/>
  <c r="B935"/>
  <c r="A935" s="1"/>
  <c r="I935" s="1"/>
  <c r="C936"/>
  <c r="D937"/>
  <c r="E938"/>
  <c r="F939"/>
  <c r="G940"/>
  <c r="H941"/>
  <c r="B943"/>
  <c r="A943" s="1"/>
  <c r="I943" s="1"/>
  <c r="C944"/>
  <c r="D945"/>
  <c r="E946"/>
  <c r="F947"/>
  <c r="G948"/>
  <c r="H949"/>
  <c r="B951"/>
  <c r="A951" s="1"/>
  <c r="I951" s="1"/>
  <c r="C952"/>
  <c r="D953"/>
  <c r="E954"/>
  <c r="F955"/>
  <c r="G956"/>
  <c r="H957"/>
  <c r="B959"/>
  <c r="A959" s="1"/>
  <c r="I959" s="1"/>
  <c r="C960"/>
  <c r="D961"/>
  <c r="E962"/>
  <c r="F963"/>
  <c r="G964"/>
  <c r="H965"/>
  <c r="B967"/>
  <c r="C968"/>
  <c r="D969"/>
  <c r="E970"/>
  <c r="F971"/>
  <c r="G972"/>
  <c r="H973"/>
  <c r="B975"/>
  <c r="C976"/>
  <c r="D977"/>
  <c r="E978"/>
  <c r="F979"/>
  <c r="G980"/>
  <c r="H981"/>
  <c r="B983"/>
  <c r="A983" s="1"/>
  <c r="I983" s="1"/>
  <c r="C984"/>
  <c r="D985"/>
  <c r="E986"/>
  <c r="F987"/>
  <c r="G988"/>
  <c r="H989"/>
  <c r="B991"/>
  <c r="A991" s="1"/>
  <c r="I991" s="1"/>
  <c r="C992"/>
  <c r="D993"/>
  <c r="E994"/>
  <c r="F995"/>
  <c r="G996"/>
  <c r="H997"/>
  <c r="B999"/>
  <c r="A999" s="1"/>
  <c r="I999" s="1"/>
  <c r="C1000"/>
  <c r="D1001"/>
  <c r="E1002"/>
  <c r="F1003"/>
  <c r="G1004"/>
  <c r="H1005"/>
  <c r="B1007"/>
  <c r="A1007" s="1"/>
  <c r="I1007" s="1"/>
  <c r="C1008"/>
  <c r="D1009"/>
  <c r="E1010"/>
  <c r="F1011"/>
  <c r="G1012"/>
  <c r="H1013"/>
  <c r="B1015"/>
  <c r="A1015" s="1"/>
  <c r="I1015" s="1"/>
  <c r="C1016"/>
  <c r="D1017"/>
  <c r="E1018"/>
  <c r="F1019"/>
  <c r="G1020"/>
  <c r="H1021"/>
  <c r="B1023"/>
  <c r="A1023" s="1"/>
  <c r="I1023" s="1"/>
  <c r="C1024"/>
  <c r="D1025"/>
  <c r="E1026"/>
  <c r="F1027"/>
  <c r="G1028"/>
  <c r="H1029"/>
  <c r="B1031"/>
  <c r="C1032"/>
  <c r="D1033"/>
  <c r="E1034"/>
  <c r="F1035"/>
  <c r="G1036"/>
  <c r="H1037"/>
  <c r="B1039"/>
  <c r="C1040"/>
  <c r="D1041"/>
  <c r="E1042"/>
  <c r="F1043"/>
  <c r="G1044"/>
  <c r="H1045"/>
  <c r="B1047"/>
  <c r="A1047" s="1"/>
  <c r="I1047" s="1"/>
  <c r="C1048"/>
  <c r="D1049"/>
  <c r="E1050"/>
  <c r="F1051"/>
  <c r="G1052"/>
  <c r="H1053"/>
  <c r="B1055"/>
  <c r="A1055" s="1"/>
  <c r="I1055" s="1"/>
  <c r="C1056"/>
  <c r="D1057"/>
  <c r="E1058"/>
  <c r="F1059"/>
  <c r="G1060"/>
  <c r="H1061"/>
  <c r="B1063"/>
  <c r="A1063" s="1"/>
  <c r="I1063" s="1"/>
  <c r="C1064"/>
  <c r="D1065"/>
  <c r="E1066"/>
  <c r="F1067"/>
  <c r="G1068"/>
  <c r="H1069"/>
  <c r="B1071"/>
  <c r="A1071" s="1"/>
  <c r="I1071" s="1"/>
  <c r="C1072"/>
  <c r="D1073"/>
  <c r="E1074"/>
  <c r="F1075"/>
  <c r="G1076"/>
  <c r="H1077"/>
  <c r="B1079"/>
  <c r="A1079" s="1"/>
  <c r="I1079" s="1"/>
  <c r="C1080"/>
  <c r="D1081"/>
  <c r="E1082"/>
  <c r="F1083"/>
  <c r="G1084"/>
  <c r="H1085"/>
  <c r="B1087"/>
  <c r="A1087" s="1"/>
  <c r="I1087" s="1"/>
  <c r="C1088"/>
  <c r="D1089"/>
  <c r="E1090"/>
  <c r="F1091"/>
  <c r="G1092"/>
  <c r="H1093"/>
  <c r="B1095"/>
  <c r="C1096"/>
  <c r="D1097"/>
  <c r="E1098"/>
  <c r="F1099"/>
  <c r="G1100"/>
  <c r="F10"/>
  <c r="F24"/>
  <c r="C40"/>
  <c r="C54"/>
  <c r="H68"/>
  <c r="G83"/>
  <c r="G97"/>
  <c r="D113"/>
  <c r="D127"/>
  <c r="B142"/>
  <c r="H156"/>
  <c r="H170"/>
  <c r="E185"/>
  <c r="H196"/>
  <c r="E208"/>
  <c r="G218"/>
  <c r="C227"/>
  <c r="F235"/>
  <c r="H243"/>
  <c r="D252"/>
  <c r="G259"/>
  <c r="G265"/>
  <c r="F271"/>
  <c r="F277"/>
  <c r="F283"/>
  <c r="F289"/>
  <c r="F295"/>
  <c r="H300"/>
  <c r="C306"/>
  <c r="D311"/>
  <c r="F316"/>
  <c r="G321"/>
  <c r="B327"/>
  <c r="A327" s="1"/>
  <c r="I327" s="1"/>
  <c r="D332"/>
  <c r="E337"/>
  <c r="G342"/>
  <c r="H347"/>
  <c r="C353"/>
  <c r="D358"/>
  <c r="F363"/>
  <c r="H368"/>
  <c r="B374"/>
  <c r="D379"/>
  <c r="E384"/>
  <c r="G389"/>
  <c r="C394"/>
  <c r="G398"/>
  <c r="G402"/>
  <c r="H406"/>
  <c r="H410"/>
  <c r="B415"/>
  <c r="E419"/>
  <c r="B423"/>
  <c r="A423" s="1"/>
  <c r="I423" s="1"/>
  <c r="F426"/>
  <c r="C430"/>
  <c r="G433"/>
  <c r="G437"/>
  <c r="D441"/>
  <c r="H444"/>
  <c r="E448"/>
  <c r="B452"/>
  <c r="A452" s="1"/>
  <c r="I452" s="1"/>
  <c r="B456"/>
  <c r="A456" s="1"/>
  <c r="I456" s="1"/>
  <c r="F459"/>
  <c r="C463"/>
  <c r="G466"/>
  <c r="D470"/>
  <c r="D474"/>
  <c r="H477"/>
  <c r="E481"/>
  <c r="E484"/>
  <c r="B487"/>
  <c r="A487" s="1"/>
  <c r="I487" s="1"/>
  <c r="F489"/>
  <c r="D492"/>
  <c r="H494"/>
  <c r="E497"/>
  <c r="B500"/>
  <c r="A500" s="1"/>
  <c r="I500" s="1"/>
  <c r="G502"/>
  <c r="D505"/>
  <c r="H507"/>
  <c r="F510"/>
  <c r="C513"/>
  <c r="G515"/>
  <c r="D518"/>
  <c r="B521"/>
  <c r="A521" s="1"/>
  <c r="I521" s="1"/>
  <c r="F523"/>
  <c r="C526"/>
  <c r="H528"/>
  <c r="E531"/>
  <c r="B534"/>
  <c r="A534" s="1"/>
  <c r="I534" s="1"/>
  <c r="F536"/>
  <c r="D539"/>
  <c r="H541"/>
  <c r="E544"/>
  <c r="C547"/>
  <c r="G549"/>
  <c r="D552"/>
  <c r="H554"/>
  <c r="F557"/>
  <c r="C560"/>
  <c r="G562"/>
  <c r="E565"/>
  <c r="B568"/>
  <c r="A568" s="1"/>
  <c r="I568" s="1"/>
  <c r="F570"/>
  <c r="C573"/>
  <c r="H575"/>
  <c r="E578"/>
  <c r="B581"/>
  <c r="E583"/>
  <c r="D585"/>
  <c r="D587"/>
  <c r="G588"/>
  <c r="C590"/>
  <c r="G591"/>
  <c r="C593"/>
  <c r="F594"/>
  <c r="D596"/>
  <c r="G597"/>
  <c r="C599"/>
  <c r="F600"/>
  <c r="C602"/>
  <c r="F603"/>
  <c r="B605"/>
  <c r="G606"/>
  <c r="C608"/>
  <c r="F609"/>
  <c r="C611"/>
  <c r="F612"/>
  <c r="B614"/>
  <c r="A614" s="1"/>
  <c r="I614" s="1"/>
  <c r="E615"/>
  <c r="C617"/>
  <c r="F618"/>
  <c r="B620"/>
  <c r="A620" s="1"/>
  <c r="I620" s="1"/>
  <c r="F621"/>
  <c r="B623"/>
  <c r="A623" s="1"/>
  <c r="I623" s="1"/>
  <c r="E624"/>
  <c r="B626"/>
  <c r="A626" s="1"/>
  <c r="I626" s="1"/>
  <c r="F627"/>
  <c r="B629"/>
  <c r="F630"/>
  <c r="B632"/>
  <c r="A632" s="1"/>
  <c r="I632" s="1"/>
  <c r="E633"/>
  <c r="H634"/>
  <c r="E636"/>
  <c r="B638"/>
  <c r="A638" s="1"/>
  <c r="I638" s="1"/>
  <c r="E639"/>
  <c r="B641"/>
  <c r="E642"/>
  <c r="H643"/>
  <c r="E645"/>
  <c r="H646"/>
  <c r="E648"/>
  <c r="B650"/>
  <c r="A650" s="1"/>
  <c r="I650" s="1"/>
  <c r="E651"/>
  <c r="H652"/>
  <c r="D654"/>
  <c r="H655"/>
  <c r="D657"/>
  <c r="H658"/>
  <c r="E660"/>
  <c r="H661"/>
  <c r="D663"/>
  <c r="H664"/>
  <c r="D666"/>
  <c r="G667"/>
  <c r="E669"/>
  <c r="H670"/>
  <c r="D672"/>
  <c r="G673"/>
  <c r="D675"/>
  <c r="G676"/>
  <c r="C678"/>
  <c r="H679"/>
  <c r="D681"/>
  <c r="G682"/>
  <c r="B684"/>
  <c r="A684" s="1"/>
  <c r="I684" s="1"/>
  <c r="D685"/>
  <c r="F686"/>
  <c r="H687"/>
  <c r="D689"/>
  <c r="F690"/>
  <c r="H691"/>
  <c r="C693"/>
  <c r="E694"/>
  <c r="G695"/>
  <c r="B697"/>
  <c r="A697" s="1"/>
  <c r="I697" s="1"/>
  <c r="E698"/>
  <c r="G699"/>
  <c r="B701"/>
  <c r="A701" s="1"/>
  <c r="I701" s="1"/>
  <c r="D702"/>
  <c r="F703"/>
  <c r="H704"/>
  <c r="C706"/>
  <c r="F707"/>
  <c r="H708"/>
  <c r="C710"/>
  <c r="E711"/>
  <c r="G712"/>
  <c r="B714"/>
  <c r="A714" s="1"/>
  <c r="I714" s="1"/>
  <c r="D715"/>
  <c r="G716"/>
  <c r="B718"/>
  <c r="A718" s="1"/>
  <c r="I718" s="1"/>
  <c r="D719"/>
  <c r="F720"/>
  <c r="H721"/>
  <c r="C723"/>
  <c r="E724"/>
  <c r="H725"/>
  <c r="C727"/>
  <c r="E728"/>
  <c r="G729"/>
  <c r="B731"/>
  <c r="D732"/>
  <c r="F733"/>
  <c r="B735"/>
  <c r="A735" s="1"/>
  <c r="I735" s="1"/>
  <c r="D736"/>
  <c r="F737"/>
  <c r="H738"/>
  <c r="C740"/>
  <c r="E741"/>
  <c r="G742"/>
  <c r="C744"/>
  <c r="E745"/>
  <c r="G746"/>
  <c r="B748"/>
  <c r="A748" s="1"/>
  <c r="I748" s="1"/>
  <c r="D749"/>
  <c r="F750"/>
  <c r="H751"/>
  <c r="D753"/>
  <c r="F754"/>
  <c r="H755"/>
  <c r="C757"/>
  <c r="E758"/>
  <c r="G759"/>
  <c r="B761"/>
  <c r="E762"/>
  <c r="G763"/>
  <c r="B765"/>
  <c r="A765" s="1"/>
  <c r="I765" s="1"/>
  <c r="D766"/>
  <c r="F767"/>
  <c r="H768"/>
  <c r="C770"/>
  <c r="F771"/>
  <c r="H772"/>
  <c r="C774"/>
  <c r="E775"/>
  <c r="G776"/>
  <c r="B778"/>
  <c r="A778" s="1"/>
  <c r="I778" s="1"/>
  <c r="D779"/>
  <c r="G780"/>
  <c r="B782"/>
  <c r="D783"/>
  <c r="F784"/>
  <c r="H785"/>
  <c r="C787"/>
  <c r="E788"/>
  <c r="H789"/>
  <c r="C791"/>
  <c r="E792"/>
  <c r="G793"/>
  <c r="B795"/>
  <c r="A795" s="1"/>
  <c r="I795" s="1"/>
  <c r="D796"/>
  <c r="F797"/>
  <c r="B799"/>
  <c r="A799" s="1"/>
  <c r="I799" s="1"/>
  <c r="D800"/>
  <c r="F801"/>
  <c r="H802"/>
  <c r="C804"/>
  <c r="E805"/>
  <c r="G806"/>
  <c r="C808"/>
  <c r="E809"/>
  <c r="G810"/>
  <c r="B812"/>
  <c r="A812" s="1"/>
  <c r="I812" s="1"/>
  <c r="D813"/>
  <c r="F814"/>
  <c r="H815"/>
  <c r="D817"/>
  <c r="F818"/>
  <c r="H819"/>
  <c r="C821"/>
  <c r="E822"/>
  <c r="G823"/>
  <c r="B825"/>
  <c r="E826"/>
  <c r="G827"/>
  <c r="B829"/>
  <c r="A829" s="1"/>
  <c r="I829" s="1"/>
  <c r="D830"/>
  <c r="F831"/>
  <c r="H832"/>
  <c r="C834"/>
  <c r="F835"/>
  <c r="H836"/>
  <c r="C838"/>
  <c r="E839"/>
  <c r="G840"/>
  <c r="B842"/>
  <c r="A842" s="1"/>
  <c r="I842" s="1"/>
  <c r="D843"/>
  <c r="G844"/>
  <c r="B846"/>
  <c r="D847"/>
  <c r="F848"/>
  <c r="H849"/>
  <c r="C851"/>
  <c r="E852"/>
  <c r="H853"/>
  <c r="C855"/>
  <c r="E856"/>
  <c r="G857"/>
  <c r="B859"/>
  <c r="A859" s="1"/>
  <c r="I859" s="1"/>
  <c r="D860"/>
  <c r="F861"/>
  <c r="B863"/>
  <c r="A863" s="1"/>
  <c r="I863" s="1"/>
  <c r="D864"/>
  <c r="F865"/>
  <c r="H866"/>
  <c r="C868"/>
  <c r="E869"/>
  <c r="G870"/>
  <c r="C872"/>
  <c r="E873"/>
  <c r="G874"/>
  <c r="B876"/>
  <c r="D877"/>
  <c r="F878"/>
  <c r="H879"/>
  <c r="D881"/>
  <c r="F882"/>
  <c r="H883"/>
  <c r="C885"/>
  <c r="E886"/>
  <c r="G887"/>
  <c r="B889"/>
  <c r="A889" s="1"/>
  <c r="I889" s="1"/>
  <c r="E890"/>
  <c r="G891"/>
  <c r="B893"/>
  <c r="A893" s="1"/>
  <c r="I893" s="1"/>
  <c r="D894"/>
  <c r="F895"/>
  <c r="H896"/>
  <c r="C898"/>
  <c r="F899"/>
  <c r="H900"/>
  <c r="C902"/>
  <c r="E903"/>
  <c r="G904"/>
  <c r="B906"/>
  <c r="A906" s="1"/>
  <c r="I906" s="1"/>
  <c r="D907"/>
  <c r="G908"/>
  <c r="B910"/>
  <c r="A910" s="1"/>
  <c r="I910" s="1"/>
  <c r="D911"/>
  <c r="F912"/>
  <c r="H913"/>
  <c r="C915"/>
  <c r="E916"/>
  <c r="H917"/>
  <c r="C919"/>
  <c r="E920"/>
  <c r="G921"/>
  <c r="B923"/>
  <c r="A923" s="1"/>
  <c r="I923" s="1"/>
  <c r="D924"/>
  <c r="F925"/>
  <c r="B927"/>
  <c r="A927" s="1"/>
  <c r="I927" s="1"/>
  <c r="D928"/>
  <c r="F929"/>
  <c r="H930"/>
  <c r="C932"/>
  <c r="E933"/>
  <c r="G934"/>
  <c r="B936"/>
  <c r="A936" s="1"/>
  <c r="I936" s="1"/>
  <c r="C937"/>
  <c r="D938"/>
  <c r="E939"/>
  <c r="F940"/>
  <c r="G941"/>
  <c r="H942"/>
  <c r="B944"/>
  <c r="A944" s="1"/>
  <c r="I944" s="1"/>
  <c r="C945"/>
  <c r="D946"/>
  <c r="E947"/>
  <c r="F948"/>
  <c r="G949"/>
  <c r="H950"/>
  <c r="B952"/>
  <c r="A952" s="1"/>
  <c r="I952" s="1"/>
  <c r="C953"/>
  <c r="D954"/>
  <c r="E955"/>
  <c r="F956"/>
  <c r="G957"/>
  <c r="H958"/>
  <c r="B960"/>
  <c r="A960" s="1"/>
  <c r="I960" s="1"/>
  <c r="C961"/>
  <c r="D962"/>
  <c r="E963"/>
  <c r="F964"/>
  <c r="G965"/>
  <c r="H966"/>
  <c r="B968"/>
  <c r="A968" s="1"/>
  <c r="I968" s="1"/>
  <c r="C969"/>
  <c r="D970"/>
  <c r="E971"/>
  <c r="F972"/>
  <c r="G973"/>
  <c r="H974"/>
  <c r="B976"/>
  <c r="C977"/>
  <c r="D978"/>
  <c r="E979"/>
  <c r="F980"/>
  <c r="G981"/>
  <c r="H982"/>
  <c r="B984"/>
  <c r="C985"/>
  <c r="D986"/>
  <c r="E987"/>
  <c r="F988"/>
  <c r="G989"/>
  <c r="H990"/>
  <c r="B992"/>
  <c r="A992" s="1"/>
  <c r="I992" s="1"/>
  <c r="C993"/>
  <c r="D994"/>
  <c r="E995"/>
  <c r="F996"/>
  <c r="G997"/>
  <c r="H998"/>
  <c r="B1000"/>
  <c r="A1000" s="1"/>
  <c r="I1000" s="1"/>
  <c r="C1001"/>
  <c r="D1002"/>
  <c r="E1003"/>
  <c r="F1004"/>
  <c r="G1005"/>
  <c r="H1006"/>
  <c r="B1008"/>
  <c r="A1008" s="1"/>
  <c r="I1008" s="1"/>
  <c r="C1009"/>
  <c r="D1010"/>
  <c r="E1011"/>
  <c r="F1012"/>
  <c r="G1013"/>
  <c r="H1014"/>
  <c r="B1016"/>
  <c r="A1016" s="1"/>
  <c r="I1016" s="1"/>
  <c r="C1017"/>
  <c r="D1018"/>
  <c r="E1019"/>
  <c r="F1020"/>
  <c r="G1021"/>
  <c r="H1022"/>
  <c r="B1024"/>
  <c r="A1024" s="1"/>
  <c r="I1024" s="1"/>
  <c r="C1025"/>
  <c r="D1026"/>
  <c r="E1027"/>
  <c r="F1028"/>
  <c r="G1029"/>
  <c r="H1030"/>
  <c r="B1032"/>
  <c r="A1032" s="1"/>
  <c r="I1032" s="1"/>
  <c r="C1033"/>
  <c r="D1034"/>
  <c r="E1035"/>
  <c r="F1036"/>
  <c r="G1037"/>
  <c r="H1038"/>
  <c r="B1040"/>
  <c r="C1041"/>
  <c r="D1042"/>
  <c r="E1043"/>
  <c r="F1044"/>
  <c r="G1045"/>
  <c r="H1046"/>
  <c r="B1048"/>
  <c r="C1049"/>
  <c r="D1050"/>
  <c r="E1051"/>
  <c r="F1052"/>
  <c r="G1053"/>
  <c r="H1054"/>
  <c r="B1056"/>
  <c r="A1056" s="1"/>
  <c r="I1056" s="1"/>
  <c r="C1057"/>
  <c r="D1058"/>
  <c r="E1059"/>
  <c r="F1060"/>
  <c r="G1061"/>
  <c r="H1062"/>
  <c r="B1064"/>
  <c r="A1064" s="1"/>
  <c r="I1064" s="1"/>
  <c r="C1065"/>
  <c r="D1066"/>
  <c r="E1067"/>
  <c r="F1068"/>
  <c r="G1069"/>
  <c r="H1070"/>
  <c r="B1072"/>
  <c r="A1072" s="1"/>
  <c r="I1072" s="1"/>
  <c r="C1073"/>
  <c r="D1074"/>
  <c r="E1075"/>
  <c r="F1076"/>
  <c r="G1077"/>
  <c r="H1078"/>
  <c r="B1080"/>
  <c r="A1080" s="1"/>
  <c r="I1080" s="1"/>
  <c r="C1081"/>
  <c r="D1082"/>
  <c r="E1083"/>
  <c r="F1084"/>
  <c r="G1085"/>
  <c r="H1086"/>
  <c r="B1088"/>
  <c r="A1088" s="1"/>
  <c r="I1088" s="1"/>
  <c r="C1089"/>
  <c r="D1090"/>
  <c r="E1091"/>
  <c r="F1092"/>
  <c r="G1093"/>
  <c r="H1094"/>
  <c r="B1096"/>
  <c r="A1096" s="1"/>
  <c r="I1096" s="1"/>
  <c r="C1097"/>
  <c r="D1098"/>
  <c r="E1099"/>
  <c r="F1100"/>
  <c r="G1101"/>
  <c r="H1102"/>
  <c r="B1104"/>
  <c r="C1105"/>
  <c r="D1106"/>
  <c r="E1107"/>
  <c r="F1108"/>
  <c r="G1109"/>
  <c r="H1110"/>
  <c r="B1112"/>
  <c r="C1113"/>
  <c r="D1114"/>
  <c r="E1115"/>
  <c r="F1116"/>
  <c r="G1117"/>
  <c r="H1118"/>
  <c r="B1120"/>
  <c r="A1120" s="1"/>
  <c r="I1120" s="1"/>
  <c r="C1121"/>
  <c r="D1122"/>
  <c r="E1123"/>
  <c r="F1124"/>
  <c r="G1125"/>
  <c r="H1126"/>
  <c r="B1128"/>
  <c r="A1128" s="1"/>
  <c r="I1128" s="1"/>
  <c r="C1129"/>
  <c r="D1130"/>
  <c r="E1131"/>
  <c r="F1132"/>
  <c r="G1133"/>
  <c r="H1134"/>
  <c r="B1136"/>
  <c r="A1136" s="1"/>
  <c r="I1136" s="1"/>
  <c r="C1137"/>
  <c r="D1138"/>
  <c r="E1139"/>
  <c r="F1140"/>
  <c r="G1141"/>
  <c r="H1142"/>
  <c r="B1144"/>
  <c r="A1144" s="1"/>
  <c r="I1144" s="1"/>
  <c r="C1145"/>
  <c r="D1146"/>
  <c r="E1147"/>
  <c r="F1148"/>
  <c r="G1149"/>
  <c r="H1150"/>
  <c r="B1152"/>
  <c r="A1152" s="1"/>
  <c r="I1152" s="1"/>
  <c r="C1153"/>
  <c r="D1154"/>
  <c r="E1155"/>
  <c r="F1156"/>
  <c r="G1157"/>
  <c r="H1158"/>
  <c r="B1160"/>
  <c r="A1160" s="1"/>
  <c r="I1160" s="1"/>
  <c r="C1161"/>
  <c r="D1162"/>
  <c r="E1163"/>
  <c r="F1164"/>
  <c r="G1165"/>
  <c r="H1166"/>
  <c r="B1168"/>
  <c r="C1169"/>
  <c r="D1170"/>
  <c r="E1171"/>
  <c r="F1172"/>
  <c r="G1173"/>
  <c r="H1174"/>
  <c r="B1176"/>
  <c r="C1177"/>
  <c r="D1178"/>
  <c r="E1179"/>
  <c r="F1180"/>
  <c r="G1181"/>
  <c r="H1182"/>
  <c r="B1184"/>
  <c r="A1184" s="1"/>
  <c r="I1184" s="1"/>
  <c r="C1185"/>
  <c r="D1186"/>
  <c r="E1187"/>
  <c r="F1188"/>
  <c r="G1189"/>
  <c r="H1190"/>
  <c r="B1192"/>
  <c r="A1192" s="1"/>
  <c r="I1192" s="1"/>
  <c r="C1193"/>
  <c r="D1194"/>
  <c r="E1195"/>
  <c r="F1196"/>
  <c r="G1197"/>
  <c r="H1198"/>
  <c r="B1200"/>
  <c r="A1200" s="1"/>
  <c r="I1200" s="1"/>
  <c r="C1201"/>
  <c r="D1202"/>
  <c r="E1203"/>
  <c r="F1204"/>
  <c r="G1205"/>
  <c r="H1206"/>
  <c r="B1208"/>
  <c r="A1208" s="1"/>
  <c r="I1208" s="1"/>
  <c r="C1209"/>
  <c r="D1210"/>
  <c r="E1211"/>
  <c r="F1212"/>
  <c r="G1213"/>
  <c r="H1214"/>
  <c r="B1216"/>
  <c r="A1216" s="1"/>
  <c r="I1216" s="1"/>
  <c r="C1217"/>
  <c r="D1218"/>
  <c r="E1219"/>
  <c r="F1220"/>
  <c r="G1221"/>
  <c r="H1222"/>
  <c r="B1224"/>
  <c r="A1224" s="1"/>
  <c r="I1224" s="1"/>
  <c r="C1225"/>
  <c r="D1226"/>
  <c r="E1227"/>
  <c r="F1228"/>
  <c r="G1229"/>
  <c r="H1230"/>
  <c r="B1232"/>
  <c r="C1233"/>
  <c r="D1234"/>
  <c r="E1235"/>
  <c r="F1236"/>
  <c r="G1237"/>
  <c r="H1238"/>
  <c r="B1240"/>
  <c r="C1241"/>
  <c r="D1242"/>
  <c r="E1243"/>
  <c r="F1244"/>
  <c r="G1245"/>
  <c r="H1246"/>
  <c r="B1248"/>
  <c r="A1248" s="1"/>
  <c r="I1248" s="1"/>
  <c r="C1249"/>
  <c r="D1250"/>
  <c r="E1251"/>
  <c r="F1252"/>
  <c r="G1253"/>
  <c r="H1254"/>
  <c r="B1256"/>
  <c r="A1256" s="1"/>
  <c r="I1256" s="1"/>
  <c r="C1257"/>
  <c r="D1258"/>
  <c r="E1259"/>
  <c r="F1260"/>
  <c r="G1261"/>
  <c r="H1262"/>
  <c r="B1264"/>
  <c r="A1264" s="1"/>
  <c r="I1264" s="1"/>
  <c r="C1265"/>
  <c r="D1266"/>
  <c r="E1267"/>
  <c r="F1268"/>
  <c r="G1269"/>
  <c r="H1270"/>
  <c r="B1272"/>
  <c r="A1272" s="1"/>
  <c r="I1272" s="1"/>
  <c r="C1273"/>
  <c r="D1274"/>
  <c r="E1275"/>
  <c r="F1276"/>
  <c r="G1277"/>
  <c r="H1278"/>
  <c r="B1280"/>
  <c r="A1280" s="1"/>
  <c r="I1280" s="1"/>
  <c r="C1281"/>
  <c r="D1282"/>
  <c r="E1283"/>
  <c r="F1284"/>
  <c r="G1285"/>
  <c r="H1286"/>
  <c r="B1288"/>
  <c r="A1288" s="1"/>
  <c r="I1288" s="1"/>
  <c r="C1289"/>
  <c r="D1290"/>
  <c r="E1291"/>
  <c r="F1292"/>
  <c r="G1293"/>
  <c r="H1294"/>
  <c r="B1296"/>
  <c r="C1297"/>
  <c r="D1298"/>
  <c r="E1299"/>
  <c r="F1300"/>
  <c r="G1301"/>
  <c r="H1302"/>
  <c r="B1304"/>
  <c r="C1305"/>
  <c r="D1306"/>
  <c r="E1307"/>
  <c r="F1308"/>
  <c r="G1309"/>
  <c r="H1310"/>
  <c r="B1312"/>
  <c r="A1312" s="1"/>
  <c r="I1312" s="1"/>
  <c r="C1313"/>
  <c r="D1314"/>
  <c r="E1315"/>
  <c r="F1316"/>
  <c r="G1317"/>
  <c r="H1318"/>
  <c r="B1320"/>
  <c r="A1320" s="1"/>
  <c r="I1320" s="1"/>
  <c r="C1321"/>
  <c r="D1322"/>
  <c r="E1323"/>
  <c r="F1324"/>
  <c r="G1325"/>
  <c r="H1326"/>
  <c r="B1328"/>
  <c r="A1328" s="1"/>
  <c r="I1328" s="1"/>
  <c r="C1329"/>
  <c r="D1330"/>
  <c r="E1331"/>
  <c r="F1332"/>
  <c r="G1333"/>
  <c r="H1334"/>
  <c r="B1336"/>
  <c r="A1336" s="1"/>
  <c r="I1336" s="1"/>
  <c r="C1337"/>
  <c r="D1338"/>
  <c r="E1339"/>
  <c r="F1340"/>
  <c r="G1341"/>
  <c r="H1342"/>
  <c r="B1344"/>
  <c r="A1344" s="1"/>
  <c r="I1344" s="1"/>
  <c r="C1345"/>
  <c r="D1346"/>
  <c r="E1347"/>
  <c r="F1348"/>
  <c r="G1349"/>
  <c r="H1350"/>
  <c r="B1352"/>
  <c r="A1352" s="1"/>
  <c r="I1352" s="1"/>
  <c r="C1353"/>
  <c r="D1354"/>
  <c r="E1355"/>
  <c r="F1356"/>
  <c r="G1357"/>
  <c r="H1358"/>
  <c r="B1360"/>
  <c r="C1361"/>
  <c r="D1362"/>
  <c r="E1363"/>
  <c r="F1364"/>
  <c r="G1365"/>
  <c r="H1366"/>
  <c r="B1368"/>
  <c r="C1369"/>
  <c r="D1370"/>
  <c r="E1371"/>
  <c r="F1372"/>
  <c r="G1373"/>
  <c r="H1374"/>
  <c r="B1376"/>
  <c r="A1376" s="1"/>
  <c r="I1376" s="1"/>
  <c r="C1377"/>
  <c r="D1378"/>
  <c r="E1379"/>
  <c r="F1380"/>
  <c r="G1381"/>
  <c r="H1382"/>
  <c r="B1384"/>
  <c r="A1384" s="1"/>
  <c r="I1384" s="1"/>
  <c r="C1385"/>
  <c r="D1386"/>
  <c r="E1387"/>
  <c r="F1388"/>
  <c r="G1389"/>
  <c r="H1390"/>
  <c r="B1392"/>
  <c r="A1392" s="1"/>
  <c r="I1392" s="1"/>
  <c r="C1393"/>
  <c r="D1394"/>
  <c r="E1395"/>
  <c r="F1396"/>
  <c r="G1397"/>
  <c r="H1398"/>
  <c r="B1400"/>
  <c r="A1400" s="1"/>
  <c r="I1400" s="1"/>
  <c r="C1401"/>
  <c r="D1402"/>
  <c r="E1403"/>
  <c r="F1404"/>
  <c r="G1405"/>
  <c r="H1406"/>
  <c r="B1408"/>
  <c r="A1408" s="1"/>
  <c r="I1408" s="1"/>
  <c r="C1409"/>
  <c r="D1410"/>
  <c r="E1411"/>
  <c r="F1412"/>
  <c r="G1413"/>
  <c r="H1414"/>
  <c r="B1416"/>
  <c r="A1416" s="1"/>
  <c r="I1416" s="1"/>
  <c r="C1417"/>
  <c r="D1418"/>
  <c r="E1419"/>
  <c r="F1420"/>
  <c r="G1421"/>
  <c r="H1422"/>
  <c r="B1424"/>
  <c r="C1425"/>
  <c r="D1426"/>
  <c r="E1427"/>
  <c r="F1428"/>
  <c r="G1429"/>
  <c r="H1430"/>
  <c r="B1432"/>
  <c r="C1433"/>
  <c r="D1434"/>
  <c r="E1435"/>
  <c r="F1436"/>
  <c r="G1437"/>
  <c r="H1438"/>
  <c r="B1440"/>
  <c r="A1440" s="1"/>
  <c r="I1440" s="1"/>
  <c r="C1441"/>
  <c r="D1442"/>
  <c r="E1443"/>
  <c r="F1444"/>
  <c r="G1445"/>
  <c r="H1446"/>
  <c r="B1448"/>
  <c r="A1448" s="1"/>
  <c r="I1448" s="1"/>
  <c r="C1449"/>
  <c r="D1450"/>
  <c r="E1451"/>
  <c r="F1452"/>
  <c r="G1453"/>
  <c r="H1454"/>
  <c r="B1456"/>
  <c r="A1456" s="1"/>
  <c r="I1456" s="1"/>
  <c r="C1457"/>
  <c r="D1458"/>
  <c r="E1459"/>
  <c r="F1460"/>
  <c r="G1461"/>
  <c r="H1462"/>
  <c r="B1464"/>
  <c r="A1464" s="1"/>
  <c r="I1464" s="1"/>
  <c r="C1465"/>
  <c r="D1466"/>
  <c r="E1467"/>
  <c r="F1468"/>
  <c r="G1469"/>
  <c r="H1470"/>
  <c r="B1472"/>
  <c r="A1472" s="1"/>
  <c r="I1472" s="1"/>
  <c r="C1473"/>
  <c r="D1474"/>
  <c r="E1475"/>
  <c r="F1476"/>
  <c r="G1477"/>
  <c r="H1478"/>
  <c r="B1480"/>
  <c r="A1480" s="1"/>
  <c r="I1480" s="1"/>
  <c r="C1481"/>
  <c r="D1482"/>
  <c r="E1483"/>
  <c r="F1484"/>
  <c r="G1485"/>
  <c r="H1486"/>
  <c r="B1488"/>
  <c r="C1489"/>
  <c r="D1490"/>
  <c r="E1491"/>
  <c r="F1492"/>
  <c r="G1493"/>
  <c r="H1494"/>
  <c r="B1496"/>
  <c r="C1497"/>
  <c r="D1498"/>
  <c r="E1499"/>
  <c r="F1500"/>
  <c r="G1501"/>
  <c r="H1502"/>
  <c r="B1504"/>
  <c r="A1504" s="1"/>
  <c r="I1504" s="1"/>
  <c r="C1505"/>
  <c r="D1506"/>
  <c r="E1507"/>
  <c r="F1508"/>
  <c r="G1509"/>
  <c r="H1510"/>
  <c r="B1512"/>
  <c r="A1512" s="1"/>
  <c r="I1512" s="1"/>
  <c r="C1513"/>
  <c r="D1514"/>
  <c r="E1515"/>
  <c r="F1516"/>
  <c r="G1517"/>
  <c r="H1518"/>
  <c r="B1520"/>
  <c r="A1520" s="1"/>
  <c r="I1520" s="1"/>
  <c r="C1521"/>
  <c r="D1522"/>
  <c r="E1523"/>
  <c r="F1524"/>
  <c r="G1525"/>
  <c r="H1526"/>
  <c r="B1528"/>
  <c r="A1528" s="1"/>
  <c r="I1528" s="1"/>
  <c r="C1529"/>
  <c r="D1530"/>
  <c r="E1531"/>
  <c r="F1532"/>
  <c r="G1533"/>
  <c r="H1534"/>
  <c r="B1536"/>
  <c r="A1536" s="1"/>
  <c r="I1536" s="1"/>
  <c r="C1537"/>
  <c r="D1538"/>
  <c r="E1539"/>
  <c r="F1540"/>
  <c r="G1541"/>
  <c r="H1542"/>
  <c r="B1544"/>
  <c r="A1544" s="1"/>
  <c r="I1544" s="1"/>
  <c r="C1545"/>
  <c r="D1546"/>
  <c r="E1547"/>
  <c r="F1548"/>
  <c r="G1549"/>
  <c r="H1550"/>
  <c r="B1552"/>
  <c r="C1553"/>
  <c r="D1554"/>
  <c r="E1555"/>
  <c r="F1556"/>
  <c r="G1557"/>
  <c r="H1558"/>
  <c r="B1560"/>
  <c r="C1561"/>
  <c r="D1562"/>
  <c r="E1563"/>
  <c r="F1564"/>
  <c r="G1565"/>
  <c r="H1566"/>
  <c r="B1568"/>
  <c r="A1568" s="1"/>
  <c r="I1568" s="1"/>
  <c r="C1569"/>
  <c r="D1570"/>
  <c r="E1571"/>
  <c r="F19"/>
  <c r="D48"/>
  <c r="C77"/>
  <c r="G106"/>
  <c r="D136"/>
  <c r="H165"/>
  <c r="C192"/>
  <c r="D215"/>
  <c r="D232"/>
  <c r="H248"/>
  <c r="D263"/>
  <c r="C275"/>
  <c r="C287"/>
  <c r="G298"/>
  <c r="C309"/>
  <c r="G319"/>
  <c r="C330"/>
  <c r="F340"/>
  <c r="B351"/>
  <c r="A351" s="1"/>
  <c r="I351" s="1"/>
  <c r="E361"/>
  <c r="H371"/>
  <c r="D382"/>
  <c r="H392"/>
  <c r="E401"/>
  <c r="F409"/>
  <c r="D418"/>
  <c r="E425"/>
  <c r="F432"/>
  <c r="C440"/>
  <c r="D447"/>
  <c r="H454"/>
  <c r="B462"/>
  <c r="A462" s="1"/>
  <c r="I462" s="1"/>
  <c r="C469"/>
  <c r="G476"/>
  <c r="F483"/>
  <c r="H488"/>
  <c r="B494"/>
  <c r="A494" s="1"/>
  <c r="I494" s="1"/>
  <c r="D499"/>
  <c r="E504"/>
  <c r="G509"/>
  <c r="H514"/>
  <c r="C520"/>
  <c r="E525"/>
  <c r="F530"/>
  <c r="H535"/>
  <c r="B541"/>
  <c r="D546"/>
  <c r="E551"/>
  <c r="G556"/>
  <c r="B562"/>
  <c r="A562" s="1"/>
  <c r="I562" s="1"/>
  <c r="C567"/>
  <c r="E572"/>
  <c r="F577"/>
  <c r="H582"/>
  <c r="G586"/>
  <c r="B590"/>
  <c r="A590" s="1"/>
  <c r="I590" s="1"/>
  <c r="B593"/>
  <c r="A593" s="1"/>
  <c r="I593" s="1"/>
  <c r="H595"/>
  <c r="B599"/>
  <c r="A599" s="1"/>
  <c r="I599" s="1"/>
  <c r="B602"/>
  <c r="A602" s="1"/>
  <c r="I602" s="1"/>
  <c r="H604"/>
  <c r="B608"/>
  <c r="H610"/>
  <c r="H613"/>
  <c r="H616"/>
  <c r="H619"/>
  <c r="H622"/>
  <c r="G625"/>
  <c r="H628"/>
  <c r="H631"/>
  <c r="G634"/>
  <c r="G637"/>
  <c r="H640"/>
  <c r="G643"/>
  <c r="G646"/>
  <c r="G649"/>
  <c r="G652"/>
  <c r="G655"/>
  <c r="F658"/>
  <c r="G661"/>
  <c r="F664"/>
  <c r="F667"/>
  <c r="G670"/>
  <c r="F673"/>
  <c r="F676"/>
  <c r="E679"/>
  <c r="F682"/>
  <c r="C685"/>
  <c r="G687"/>
  <c r="E690"/>
  <c r="B693"/>
  <c r="A693" s="1"/>
  <c r="I693" s="1"/>
  <c r="F695"/>
  <c r="C698"/>
  <c r="H700"/>
  <c r="E703"/>
  <c r="B706"/>
  <c r="A706" s="1"/>
  <c r="I706" s="1"/>
  <c r="G708"/>
  <c r="D711"/>
  <c r="H713"/>
  <c r="E716"/>
  <c r="C719"/>
  <c r="G721"/>
  <c r="D724"/>
  <c r="B727"/>
  <c r="A727" s="1"/>
  <c r="I727" s="1"/>
  <c r="F729"/>
  <c r="C732"/>
  <c r="G734"/>
  <c r="E737"/>
  <c r="B740"/>
  <c r="A740" s="1"/>
  <c r="I740" s="1"/>
  <c r="F742"/>
  <c r="D745"/>
  <c r="H747"/>
  <c r="E750"/>
  <c r="B753"/>
  <c r="A753" s="1"/>
  <c r="I753" s="1"/>
  <c r="G755"/>
  <c r="D758"/>
  <c r="H760"/>
  <c r="F763"/>
  <c r="C766"/>
  <c r="G768"/>
  <c r="D771"/>
  <c r="B774"/>
  <c r="A774" s="1"/>
  <c r="I774" s="1"/>
  <c r="F776"/>
  <c r="C779"/>
  <c r="H781"/>
  <c r="E784"/>
  <c r="B787"/>
  <c r="F789"/>
  <c r="D792"/>
  <c r="H794"/>
  <c r="E797"/>
  <c r="C800"/>
  <c r="G802"/>
  <c r="D805"/>
  <c r="H807"/>
  <c r="F810"/>
  <c r="C813"/>
  <c r="G815"/>
  <c r="E818"/>
  <c r="B821"/>
  <c r="A821" s="1"/>
  <c r="I821" s="1"/>
  <c r="F823"/>
  <c r="C826"/>
  <c r="H828"/>
  <c r="E831"/>
  <c r="B834"/>
  <c r="A834" s="1"/>
  <c r="I834" s="1"/>
  <c r="G836"/>
  <c r="D839"/>
  <c r="H841"/>
  <c r="E844"/>
  <c r="C847"/>
  <c r="G849"/>
  <c r="D852"/>
  <c r="B855"/>
  <c r="A855" s="1"/>
  <c r="I855" s="1"/>
  <c r="F857"/>
  <c r="C860"/>
  <c r="G862"/>
  <c r="E865"/>
  <c r="B868"/>
  <c r="F870"/>
  <c r="D873"/>
  <c r="H875"/>
  <c r="E878"/>
  <c r="B881"/>
  <c r="A881" s="1"/>
  <c r="I881" s="1"/>
  <c r="G883"/>
  <c r="D886"/>
  <c r="H888"/>
  <c r="F891"/>
  <c r="C894"/>
  <c r="G896"/>
  <c r="D899"/>
  <c r="B902"/>
  <c r="A902" s="1"/>
  <c r="I902" s="1"/>
  <c r="F904"/>
  <c r="C907"/>
  <c r="H909"/>
  <c r="E912"/>
  <c r="B915"/>
  <c r="A915" s="1"/>
  <c r="I915" s="1"/>
  <c r="F917"/>
  <c r="D920"/>
  <c r="H922"/>
  <c r="E925"/>
  <c r="C928"/>
  <c r="G930"/>
  <c r="D933"/>
  <c r="H935"/>
  <c r="C938"/>
  <c r="E940"/>
  <c r="G942"/>
  <c r="B945"/>
  <c r="A945" s="1"/>
  <c r="I945" s="1"/>
  <c r="D947"/>
  <c r="F949"/>
  <c r="H951"/>
  <c r="C954"/>
  <c r="E956"/>
  <c r="G958"/>
  <c r="B961"/>
  <c r="A961" s="1"/>
  <c r="I961" s="1"/>
  <c r="D963"/>
  <c r="F965"/>
  <c r="H967"/>
  <c r="C970"/>
  <c r="E972"/>
  <c r="G974"/>
  <c r="B977"/>
  <c r="A977" s="1"/>
  <c r="I977" s="1"/>
  <c r="D979"/>
  <c r="F981"/>
  <c r="H983"/>
  <c r="C986"/>
  <c r="E988"/>
  <c r="G990"/>
  <c r="B993"/>
  <c r="A993" s="1"/>
  <c r="I993" s="1"/>
  <c r="D995"/>
  <c r="F997"/>
  <c r="H999"/>
  <c r="C1002"/>
  <c r="E1004"/>
  <c r="G1006"/>
  <c r="B1009"/>
  <c r="A1009" s="1"/>
  <c r="I1009" s="1"/>
  <c r="D1011"/>
  <c r="F1013"/>
  <c r="H1015"/>
  <c r="C1018"/>
  <c r="E1020"/>
  <c r="G1022"/>
  <c r="B1025"/>
  <c r="D1027"/>
  <c r="F1029"/>
  <c r="H1031"/>
  <c r="C1034"/>
  <c r="E1036"/>
  <c r="G1038"/>
  <c r="B1041"/>
  <c r="D1043"/>
  <c r="F1045"/>
  <c r="H1047"/>
  <c r="C1050"/>
  <c r="E1052"/>
  <c r="G1054"/>
  <c r="B1057"/>
  <c r="A1057" s="1"/>
  <c r="I1057" s="1"/>
  <c r="D1059"/>
  <c r="F1061"/>
  <c r="H1063"/>
  <c r="C1066"/>
  <c r="E1068"/>
  <c r="G1070"/>
  <c r="B1073"/>
  <c r="A1073" s="1"/>
  <c r="I1073" s="1"/>
  <c r="D1075"/>
  <c r="F1077"/>
  <c r="H1079"/>
  <c r="C1082"/>
  <c r="E1084"/>
  <c r="G1086"/>
  <c r="B1089"/>
  <c r="A1089" s="1"/>
  <c r="I1089" s="1"/>
  <c r="D1091"/>
  <c r="F1093"/>
  <c r="H1095"/>
  <c r="C1098"/>
  <c r="E1100"/>
  <c r="D1102"/>
  <c r="F1103"/>
  <c r="H1104"/>
  <c r="C1106"/>
  <c r="F1107"/>
  <c r="H1108"/>
  <c r="C1110"/>
  <c r="E1111"/>
  <c r="G1112"/>
  <c r="B1114"/>
  <c r="A1114" s="1"/>
  <c r="I1114" s="1"/>
  <c r="D1115"/>
  <c r="G1116"/>
  <c r="B1118"/>
  <c r="A1118" s="1"/>
  <c r="I1118" s="1"/>
  <c r="D1119"/>
  <c r="F1120"/>
  <c r="H1121"/>
  <c r="C1123"/>
  <c r="E1124"/>
  <c r="H1125"/>
  <c r="C1127"/>
  <c r="E1128"/>
  <c r="G1129"/>
  <c r="B1131"/>
  <c r="D1132"/>
  <c r="F1133"/>
  <c r="B1135"/>
  <c r="A1135" s="1"/>
  <c r="I1135" s="1"/>
  <c r="D1136"/>
  <c r="F1137"/>
  <c r="H1138"/>
  <c r="C1140"/>
  <c r="E1141"/>
  <c r="G1142"/>
  <c r="C1144"/>
  <c r="E1145"/>
  <c r="G1146"/>
  <c r="B1148"/>
  <c r="A1148" s="1"/>
  <c r="I1148" s="1"/>
  <c r="D1149"/>
  <c r="F1150"/>
  <c r="H1151"/>
  <c r="D1153"/>
  <c r="F1154"/>
  <c r="H1155"/>
  <c r="C1157"/>
  <c r="E1158"/>
  <c r="G1159"/>
  <c r="B1161"/>
  <c r="E1162"/>
  <c r="G1163"/>
  <c r="B1165"/>
  <c r="A1165" s="1"/>
  <c r="I1165" s="1"/>
  <c r="D1166"/>
  <c r="F1167"/>
  <c r="H1168"/>
  <c r="C1170"/>
  <c r="F1171"/>
  <c r="H1172"/>
  <c r="C1174"/>
  <c r="E1175"/>
  <c r="G1176"/>
  <c r="B1178"/>
  <c r="A1178" s="1"/>
  <c r="I1178" s="1"/>
  <c r="D1179"/>
  <c r="G1180"/>
  <c r="B1182"/>
  <c r="D1183"/>
  <c r="F1184"/>
  <c r="H1185"/>
  <c r="C1187"/>
  <c r="E1188"/>
  <c r="H1189"/>
  <c r="C1191"/>
  <c r="E1192"/>
  <c r="G1193"/>
  <c r="B1195"/>
  <c r="A1195" s="1"/>
  <c r="I1195" s="1"/>
  <c r="D1196"/>
  <c r="F1197"/>
  <c r="B1199"/>
  <c r="A1199" s="1"/>
  <c r="I1199" s="1"/>
  <c r="D1200"/>
  <c r="F1201"/>
  <c r="H1202"/>
  <c r="C1204"/>
  <c r="E1205"/>
  <c r="G1206"/>
  <c r="C1208"/>
  <c r="E1209"/>
  <c r="G1210"/>
  <c r="B1212"/>
  <c r="A1212" s="1"/>
  <c r="I1212" s="1"/>
  <c r="D1213"/>
  <c r="F1214"/>
  <c r="H1215"/>
  <c r="D1217"/>
  <c r="F1218"/>
  <c r="H1219"/>
  <c r="C1221"/>
  <c r="E1222"/>
  <c r="G1223"/>
  <c r="B1225"/>
  <c r="E1226"/>
  <c r="G1227"/>
  <c r="B1229"/>
  <c r="A1229" s="1"/>
  <c r="I1229" s="1"/>
  <c r="D1230"/>
  <c r="F1231"/>
  <c r="H1232"/>
  <c r="C1234"/>
  <c r="F1235"/>
  <c r="H1236"/>
  <c r="C1238"/>
  <c r="E1239"/>
  <c r="G1240"/>
  <c r="B1242"/>
  <c r="A1242" s="1"/>
  <c r="I1242" s="1"/>
  <c r="D1243"/>
  <c r="G1244"/>
  <c r="B1246"/>
  <c r="D1247"/>
  <c r="F1248"/>
  <c r="H1249"/>
  <c r="C1251"/>
  <c r="E1252"/>
  <c r="H1253"/>
  <c r="C1255"/>
  <c r="E1256"/>
  <c r="G1257"/>
  <c r="B1259"/>
  <c r="A1259" s="1"/>
  <c r="I1259" s="1"/>
  <c r="D1260"/>
  <c r="F1261"/>
  <c r="B1263"/>
  <c r="A1263" s="1"/>
  <c r="I1263" s="1"/>
  <c r="D1264"/>
  <c r="F1265"/>
  <c r="H1266"/>
  <c r="C1268"/>
  <c r="E1269"/>
  <c r="G1270"/>
  <c r="C1272"/>
  <c r="E1273"/>
  <c r="G1274"/>
  <c r="B1276"/>
  <c r="D1277"/>
  <c r="F1278"/>
  <c r="H1279"/>
  <c r="D1281"/>
  <c r="F1282"/>
  <c r="H1283"/>
  <c r="C1285"/>
  <c r="E1286"/>
  <c r="G1287"/>
  <c r="B1289"/>
  <c r="A1289" s="1"/>
  <c r="I1289" s="1"/>
  <c r="E1290"/>
  <c r="G1291"/>
  <c r="B1293"/>
  <c r="A1293" s="1"/>
  <c r="I1293" s="1"/>
  <c r="D1294"/>
  <c r="F1295"/>
  <c r="H1296"/>
  <c r="C1298"/>
  <c r="F1299"/>
  <c r="H1300"/>
  <c r="C1302"/>
  <c r="E1303"/>
  <c r="G1304"/>
  <c r="B1306"/>
  <c r="A1306" s="1"/>
  <c r="I1306" s="1"/>
  <c r="D1307"/>
  <c r="G1308"/>
  <c r="B1310"/>
  <c r="A1310" s="1"/>
  <c r="I1310" s="1"/>
  <c r="D1311"/>
  <c r="F1312"/>
  <c r="H1313"/>
  <c r="C1315"/>
  <c r="E1316"/>
  <c r="H1317"/>
  <c r="C1319"/>
  <c r="E1320"/>
  <c r="G1321"/>
  <c r="B1323"/>
  <c r="A1323" s="1"/>
  <c r="I1323" s="1"/>
  <c r="D1324"/>
  <c r="F1325"/>
  <c r="B1327"/>
  <c r="A1327" s="1"/>
  <c r="I1327" s="1"/>
  <c r="D1328"/>
  <c r="F1329"/>
  <c r="H1330"/>
  <c r="C1332"/>
  <c r="E1333"/>
  <c r="G1334"/>
  <c r="C1336"/>
  <c r="E1337"/>
  <c r="G1338"/>
  <c r="B1340"/>
  <c r="D1341"/>
  <c r="F1342"/>
  <c r="H1343"/>
  <c r="D1345"/>
  <c r="F1346"/>
  <c r="H1347"/>
  <c r="C1349"/>
  <c r="E1350"/>
  <c r="G1351"/>
  <c r="B1353"/>
  <c r="A1353" s="1"/>
  <c r="I1353" s="1"/>
  <c r="E1354"/>
  <c r="G1355"/>
  <c r="B1357"/>
  <c r="A1357" s="1"/>
  <c r="I1357" s="1"/>
  <c r="D1358"/>
  <c r="F1359"/>
  <c r="H1360"/>
  <c r="C1362"/>
  <c r="F1363"/>
  <c r="H1364"/>
  <c r="C1366"/>
  <c r="E1367"/>
  <c r="G1368"/>
  <c r="B1370"/>
  <c r="D1371"/>
  <c r="G1372"/>
  <c r="B1374"/>
  <c r="A1374" s="1"/>
  <c r="I1374" s="1"/>
  <c r="D1375"/>
  <c r="F1376"/>
  <c r="H1377"/>
  <c r="C1379"/>
  <c r="E1380"/>
  <c r="H1381"/>
  <c r="C1383"/>
  <c r="E1384"/>
  <c r="G1385"/>
  <c r="B1387"/>
  <c r="A1387" s="1"/>
  <c r="I1387" s="1"/>
  <c r="D1388"/>
  <c r="F1389"/>
  <c r="B1391"/>
  <c r="D1392"/>
  <c r="F1393"/>
  <c r="H1394"/>
  <c r="C1396"/>
  <c r="E1397"/>
  <c r="G1398"/>
  <c r="C1400"/>
  <c r="E1401"/>
  <c r="G1402"/>
  <c r="B1404"/>
  <c r="A1404" s="1"/>
  <c r="I1404" s="1"/>
  <c r="D1405"/>
  <c r="F1406"/>
  <c r="H1407"/>
  <c r="D1409"/>
  <c r="F1410"/>
  <c r="H1411"/>
  <c r="C1413"/>
  <c r="E1414"/>
  <c r="G1415"/>
  <c r="B1417"/>
  <c r="A1417" s="1"/>
  <c r="I1417" s="1"/>
  <c r="E1418"/>
  <c r="G1419"/>
  <c r="B1421"/>
  <c r="A1421" s="1"/>
  <c r="I1421" s="1"/>
  <c r="D1422"/>
  <c r="F1423"/>
  <c r="H1424"/>
  <c r="C1426"/>
  <c r="F1427"/>
  <c r="H1428"/>
  <c r="C1430"/>
  <c r="E1431"/>
  <c r="G1432"/>
  <c r="B1434"/>
  <c r="D1435"/>
  <c r="G1436"/>
  <c r="B1438"/>
  <c r="A1438" s="1"/>
  <c r="I1438" s="1"/>
  <c r="D1439"/>
  <c r="F1440"/>
  <c r="H1441"/>
  <c r="C1443"/>
  <c r="E1444"/>
  <c r="H1445"/>
  <c r="C1447"/>
  <c r="E1448"/>
  <c r="G1449"/>
  <c r="B1451"/>
  <c r="A1451" s="1"/>
  <c r="I1451" s="1"/>
  <c r="D1452"/>
  <c r="F1453"/>
  <c r="B1455"/>
  <c r="D1456"/>
  <c r="F1457"/>
  <c r="H1458"/>
  <c r="C1460"/>
  <c r="E1461"/>
  <c r="G1462"/>
  <c r="C1464"/>
  <c r="E1465"/>
  <c r="G1466"/>
  <c r="B1468"/>
  <c r="A1468" s="1"/>
  <c r="I1468" s="1"/>
  <c r="D1469"/>
  <c r="F1470"/>
  <c r="H1471"/>
  <c r="D1473"/>
  <c r="F1474"/>
  <c r="H1475"/>
  <c r="C1477"/>
  <c r="E1478"/>
  <c r="G1479"/>
  <c r="B1481"/>
  <c r="A1481" s="1"/>
  <c r="I1481" s="1"/>
  <c r="E1482"/>
  <c r="G1483"/>
  <c r="B1485"/>
  <c r="D1486"/>
  <c r="F1487"/>
  <c r="H1488"/>
  <c r="C1490"/>
  <c r="F1491"/>
  <c r="H1492"/>
  <c r="C1494"/>
  <c r="E1495"/>
  <c r="G1496"/>
  <c r="B1498"/>
  <c r="A1498" s="1"/>
  <c r="I1498" s="1"/>
  <c r="D1499"/>
  <c r="G1500"/>
  <c r="B1502"/>
  <c r="A1502" s="1"/>
  <c r="I1502" s="1"/>
  <c r="D1503"/>
  <c r="F1504"/>
  <c r="H1505"/>
  <c r="C1507"/>
  <c r="E1508"/>
  <c r="H1509"/>
  <c r="F18"/>
  <c r="E47"/>
  <c r="B77"/>
  <c r="A77" s="1"/>
  <c r="I77" s="1"/>
  <c r="F106"/>
  <c r="C136"/>
  <c r="H164"/>
  <c r="E191"/>
  <c r="C215"/>
  <c r="G231"/>
  <c r="F248"/>
  <c r="C263"/>
  <c r="B275"/>
  <c r="A275" s="1"/>
  <c r="I275" s="1"/>
  <c r="B287"/>
  <c r="F298"/>
  <c r="B309"/>
  <c r="A309" s="1"/>
  <c r="I309" s="1"/>
  <c r="E319"/>
  <c r="B330"/>
  <c r="A330" s="1"/>
  <c r="I330" s="1"/>
  <c r="E340"/>
  <c r="H350"/>
  <c r="D361"/>
  <c r="G371"/>
  <c r="C382"/>
  <c r="F392"/>
  <c r="D401"/>
  <c r="E409"/>
  <c r="F417"/>
  <c r="D425"/>
  <c r="E432"/>
  <c r="B440"/>
  <c r="C447"/>
  <c r="D454"/>
  <c r="H461"/>
  <c r="B469"/>
  <c r="A469" s="1"/>
  <c r="I469" s="1"/>
  <c r="F476"/>
  <c r="E483"/>
  <c r="F488"/>
  <c r="H493"/>
  <c r="C499"/>
  <c r="D504"/>
  <c r="F509"/>
  <c r="G514"/>
  <c r="B520"/>
  <c r="A520" s="1"/>
  <c r="I520" s="1"/>
  <c r="C525"/>
  <c r="E530"/>
  <c r="G535"/>
  <c r="H540"/>
  <c r="C546"/>
  <c r="D551"/>
  <c r="F556"/>
  <c r="G561"/>
  <c r="B567"/>
  <c r="A567" s="1"/>
  <c r="I567" s="1"/>
  <c r="D572"/>
  <c r="E577"/>
  <c r="G582"/>
  <c r="F586"/>
  <c r="H589"/>
  <c r="H592"/>
  <c r="G595"/>
  <c r="H598"/>
  <c r="G601"/>
  <c r="G604"/>
  <c r="G607"/>
  <c r="G610"/>
  <c r="G613"/>
  <c r="F616"/>
  <c r="G619"/>
  <c r="G622"/>
  <c r="F625"/>
  <c r="F628"/>
  <c r="G631"/>
  <c r="F634"/>
  <c r="F637"/>
  <c r="F640"/>
  <c r="F643"/>
  <c r="F646"/>
  <c r="E649"/>
  <c r="F652"/>
  <c r="E655"/>
  <c r="E658"/>
  <c r="F661"/>
  <c r="E664"/>
  <c r="E667"/>
  <c r="D670"/>
  <c r="E673"/>
  <c r="E676"/>
  <c r="D679"/>
  <c r="E682"/>
  <c r="B685"/>
  <c r="A685" s="1"/>
  <c r="I685" s="1"/>
  <c r="F687"/>
  <c r="C690"/>
  <c r="H692"/>
  <c r="E695"/>
  <c r="B698"/>
  <c r="G700"/>
  <c r="D703"/>
  <c r="H705"/>
  <c r="E708"/>
  <c r="C711"/>
  <c r="G713"/>
  <c r="D716"/>
  <c r="B719"/>
  <c r="F721"/>
  <c r="C724"/>
  <c r="G726"/>
  <c r="E729"/>
  <c r="B732"/>
  <c r="A732" s="1"/>
  <c r="I732" s="1"/>
  <c r="F734"/>
  <c r="D737"/>
  <c r="H739"/>
  <c r="E742"/>
  <c r="B745"/>
  <c r="A745" s="1"/>
  <c r="I745" s="1"/>
  <c r="G747"/>
  <c r="D750"/>
  <c r="H752"/>
  <c r="F755"/>
  <c r="C758"/>
  <c r="G760"/>
  <c r="D763"/>
  <c r="B766"/>
  <c r="A766" s="1"/>
  <c r="I766" s="1"/>
  <c r="F768"/>
  <c r="C771"/>
  <c r="H773"/>
  <c r="E776"/>
  <c r="B779"/>
  <c r="A779" s="1"/>
  <c r="I779" s="1"/>
  <c r="F781"/>
  <c r="D784"/>
  <c r="H786"/>
  <c r="E789"/>
  <c r="C792"/>
  <c r="G794"/>
  <c r="D797"/>
  <c r="H799"/>
  <c r="F802"/>
  <c r="C805"/>
  <c r="G807"/>
  <c r="E810"/>
  <c r="B813"/>
  <c r="A813" s="1"/>
  <c r="I813" s="1"/>
  <c r="F815"/>
  <c r="C818"/>
  <c r="H820"/>
  <c r="E823"/>
  <c r="B826"/>
  <c r="G828"/>
  <c r="D831"/>
  <c r="H833"/>
  <c r="E836"/>
  <c r="C839"/>
  <c r="G841"/>
  <c r="D844"/>
  <c r="B847"/>
  <c r="F849"/>
  <c r="C852"/>
  <c r="G854"/>
  <c r="E857"/>
  <c r="B860"/>
  <c r="A860" s="1"/>
  <c r="I860" s="1"/>
  <c r="F862"/>
  <c r="D865"/>
  <c r="H867"/>
  <c r="E870"/>
  <c r="B873"/>
  <c r="A873" s="1"/>
  <c r="I873" s="1"/>
  <c r="G875"/>
  <c r="D878"/>
  <c r="H880"/>
  <c r="F883"/>
  <c r="C886"/>
  <c r="G888"/>
  <c r="D891"/>
  <c r="B894"/>
  <c r="A894" s="1"/>
  <c r="I894" s="1"/>
  <c r="F896"/>
  <c r="C899"/>
  <c r="H901"/>
  <c r="E904"/>
  <c r="B907"/>
  <c r="F909"/>
  <c r="D912"/>
  <c r="H914"/>
  <c r="E917"/>
  <c r="C920"/>
  <c r="G922"/>
  <c r="D925"/>
  <c r="H927"/>
  <c r="F930"/>
  <c r="C933"/>
  <c r="G935"/>
  <c r="B938"/>
  <c r="A938" s="1"/>
  <c r="I938" s="1"/>
  <c r="D940"/>
  <c r="F942"/>
  <c r="H944"/>
  <c r="C947"/>
  <c r="E949"/>
  <c r="G951"/>
  <c r="B954"/>
  <c r="A954" s="1"/>
  <c r="I954" s="1"/>
  <c r="D956"/>
  <c r="F958"/>
  <c r="H960"/>
  <c r="C963"/>
  <c r="E965"/>
  <c r="G967"/>
  <c r="B970"/>
  <c r="A970" s="1"/>
  <c r="I970" s="1"/>
  <c r="D972"/>
  <c r="F974"/>
  <c r="H976"/>
  <c r="C979"/>
  <c r="E981"/>
  <c r="G983"/>
  <c r="B986"/>
  <c r="D988"/>
  <c r="F990"/>
  <c r="H992"/>
  <c r="C995"/>
  <c r="E997"/>
  <c r="G999"/>
  <c r="B1002"/>
  <c r="D1004"/>
  <c r="F1006"/>
  <c r="H1008"/>
  <c r="C1011"/>
  <c r="E1013"/>
  <c r="G1015"/>
  <c r="B1018"/>
  <c r="A1018" s="1"/>
  <c r="I1018" s="1"/>
  <c r="D1020"/>
  <c r="F1022"/>
  <c r="H1024"/>
  <c r="C1027"/>
  <c r="E1029"/>
  <c r="G1031"/>
  <c r="B1034"/>
  <c r="A1034" s="1"/>
  <c r="I1034" s="1"/>
  <c r="D1036"/>
  <c r="F1038"/>
  <c r="H1040"/>
  <c r="C1043"/>
  <c r="E1045"/>
  <c r="G1047"/>
  <c r="B1050"/>
  <c r="A1050" s="1"/>
  <c r="I1050" s="1"/>
  <c r="D1052"/>
  <c r="F1054"/>
  <c r="H1056"/>
  <c r="C1059"/>
  <c r="E1061"/>
  <c r="G1063"/>
  <c r="B1066"/>
  <c r="A1066" s="1"/>
  <c r="I1066" s="1"/>
  <c r="D1068"/>
  <c r="F1070"/>
  <c r="H1072"/>
  <c r="C1075"/>
  <c r="E1077"/>
  <c r="G1079"/>
  <c r="B1082"/>
  <c r="A1082" s="1"/>
  <c r="I1082" s="1"/>
  <c r="D1084"/>
  <c r="F1086"/>
  <c r="H1088"/>
  <c r="C1091"/>
  <c r="E1093"/>
  <c r="G1095"/>
  <c r="B1098"/>
  <c r="A1098" s="1"/>
  <c r="I1098" s="1"/>
  <c r="D1100"/>
  <c r="C1102"/>
  <c r="E1103"/>
  <c r="G1104"/>
  <c r="B1106"/>
  <c r="A1106" s="1"/>
  <c r="I1106" s="1"/>
  <c r="D1107"/>
  <c r="G1108"/>
  <c r="B1110"/>
  <c r="A1110" s="1"/>
  <c r="I1110" s="1"/>
  <c r="D1111"/>
  <c r="F1112"/>
  <c r="H1113"/>
  <c r="C1115"/>
  <c r="E1116"/>
  <c r="H1117"/>
  <c r="C1119"/>
  <c r="E1120"/>
  <c r="G1121"/>
  <c r="B1123"/>
  <c r="A1123" s="1"/>
  <c r="I1123" s="1"/>
  <c r="D1124"/>
  <c r="F1125"/>
  <c r="B1127"/>
  <c r="A1127" s="1"/>
  <c r="I1127" s="1"/>
  <c r="D1128"/>
  <c r="F1129"/>
  <c r="H1130"/>
  <c r="C1132"/>
  <c r="E1133"/>
  <c r="G1134"/>
  <c r="C1136"/>
  <c r="E1137"/>
  <c r="G1138"/>
  <c r="B1140"/>
  <c r="D1141"/>
  <c r="F1142"/>
  <c r="H1143"/>
  <c r="D1145"/>
  <c r="F1146"/>
  <c r="H1147"/>
  <c r="C1149"/>
  <c r="E1150"/>
  <c r="G1151"/>
  <c r="B1153"/>
  <c r="A1153" s="1"/>
  <c r="I1153" s="1"/>
  <c r="E1154"/>
  <c r="G1155"/>
  <c r="B1157"/>
  <c r="A1157" s="1"/>
  <c r="I1157" s="1"/>
  <c r="D1158"/>
  <c r="F1159"/>
  <c r="H1160"/>
  <c r="C1162"/>
  <c r="F1163"/>
  <c r="H1164"/>
  <c r="C1166"/>
  <c r="E1167"/>
  <c r="G1168"/>
  <c r="B1170"/>
  <c r="D1171"/>
  <c r="G1172"/>
  <c r="B1174"/>
  <c r="A1174" s="1"/>
  <c r="I1174" s="1"/>
  <c r="D1175"/>
  <c r="F1176"/>
  <c r="H1177"/>
  <c r="C1179"/>
  <c r="E1180"/>
  <c r="H1181"/>
  <c r="C1183"/>
  <c r="E1184"/>
  <c r="G1185"/>
  <c r="B1187"/>
  <c r="A1187" s="1"/>
  <c r="I1187" s="1"/>
  <c r="D1188"/>
  <c r="F1189"/>
  <c r="B1191"/>
  <c r="D1192"/>
  <c r="F1193"/>
  <c r="H1194"/>
  <c r="C1196"/>
  <c r="E1197"/>
  <c r="G1198"/>
  <c r="C1200"/>
  <c r="E1201"/>
  <c r="G1202"/>
  <c r="B1204"/>
  <c r="A1204" s="1"/>
  <c r="I1204" s="1"/>
  <c r="D1205"/>
  <c r="F1206"/>
  <c r="H1207"/>
  <c r="D1209"/>
  <c r="F1210"/>
  <c r="H1211"/>
  <c r="C1213"/>
  <c r="E1214"/>
  <c r="G1215"/>
  <c r="B1217"/>
  <c r="A1217" s="1"/>
  <c r="I1217" s="1"/>
  <c r="E1218"/>
  <c r="G1219"/>
  <c r="B1221"/>
  <c r="A1221" s="1"/>
  <c r="I1221" s="1"/>
  <c r="D1222"/>
  <c r="F1223"/>
  <c r="H1224"/>
  <c r="C1226"/>
  <c r="F1227"/>
  <c r="H1228"/>
  <c r="C1230"/>
  <c r="E1231"/>
  <c r="G1232"/>
  <c r="B1234"/>
  <c r="D1235"/>
  <c r="G1236"/>
  <c r="B1238"/>
  <c r="A1238" s="1"/>
  <c r="I1238" s="1"/>
  <c r="D1239"/>
  <c r="F1240"/>
  <c r="H1241"/>
  <c r="C1243"/>
  <c r="E1244"/>
  <c r="H1245"/>
  <c r="C1247"/>
  <c r="E1248"/>
  <c r="G1249"/>
  <c r="B1251"/>
  <c r="A1251" s="1"/>
  <c r="I1251" s="1"/>
  <c r="D1252"/>
  <c r="F1253"/>
  <c r="B1255"/>
  <c r="D1256"/>
  <c r="F1257"/>
  <c r="H1258"/>
  <c r="C1260"/>
  <c r="E1261"/>
  <c r="G1262"/>
  <c r="C1264"/>
  <c r="E1265"/>
  <c r="G1266"/>
  <c r="B1268"/>
  <c r="A1268" s="1"/>
  <c r="I1268" s="1"/>
  <c r="D1269"/>
  <c r="F1270"/>
  <c r="H1271"/>
  <c r="D1273"/>
  <c r="F1274"/>
  <c r="H1275"/>
  <c r="C1277"/>
  <c r="E1278"/>
  <c r="G1279"/>
  <c r="B1281"/>
  <c r="A1281" s="1"/>
  <c r="I1281" s="1"/>
  <c r="E1282"/>
  <c r="G1283"/>
  <c r="B1285"/>
  <c r="D1286"/>
  <c r="F1287"/>
  <c r="H1288"/>
  <c r="C1290"/>
  <c r="F1291"/>
  <c r="H1292"/>
  <c r="C1294"/>
  <c r="E1295"/>
  <c r="G1296"/>
  <c r="B1298"/>
  <c r="A1298" s="1"/>
  <c r="I1298" s="1"/>
  <c r="D1299"/>
  <c r="G1300"/>
  <c r="B1302"/>
  <c r="A1302" s="1"/>
  <c r="I1302" s="1"/>
  <c r="D1303"/>
  <c r="F1304"/>
  <c r="H1305"/>
  <c r="C1307"/>
  <c r="E1308"/>
  <c r="H1309"/>
  <c r="C1311"/>
  <c r="E1312"/>
  <c r="G1313"/>
  <c r="B1315"/>
  <c r="A1315" s="1"/>
  <c r="I1315" s="1"/>
  <c r="D1316"/>
  <c r="F1317"/>
  <c r="B1319"/>
  <c r="A1319" s="1"/>
  <c r="I1319" s="1"/>
  <c r="D1320"/>
  <c r="F1321"/>
  <c r="H1322"/>
  <c r="C1324"/>
  <c r="E1325"/>
  <c r="G1326"/>
  <c r="C1328"/>
  <c r="E1329"/>
  <c r="G1330"/>
  <c r="B1332"/>
  <c r="A1332" s="1"/>
  <c r="I1332" s="1"/>
  <c r="D1333"/>
  <c r="F1334"/>
  <c r="H1335"/>
  <c r="D1337"/>
  <c r="F1338"/>
  <c r="H1339"/>
  <c r="C1341"/>
  <c r="E1342"/>
  <c r="G1343"/>
  <c r="B1345"/>
  <c r="A1345" s="1"/>
  <c r="I1345" s="1"/>
  <c r="E1346"/>
  <c r="G1347"/>
  <c r="B1349"/>
  <c r="D1350"/>
  <c r="F1351"/>
  <c r="H1352"/>
  <c r="C1354"/>
  <c r="F1355"/>
  <c r="H1356"/>
  <c r="C1358"/>
  <c r="E1359"/>
  <c r="G1360"/>
  <c r="B1362"/>
  <c r="A1362" s="1"/>
  <c r="I1362" s="1"/>
  <c r="D1363"/>
  <c r="G1364"/>
  <c r="B1366"/>
  <c r="A1366" s="1"/>
  <c r="I1366" s="1"/>
  <c r="D1367"/>
  <c r="F1368"/>
  <c r="H1369"/>
  <c r="C1371"/>
  <c r="E1372"/>
  <c r="H1373"/>
  <c r="C1375"/>
  <c r="E1376"/>
  <c r="G1377"/>
  <c r="B1379"/>
  <c r="D1380"/>
  <c r="F1381"/>
  <c r="B1383"/>
  <c r="A1383" s="1"/>
  <c r="I1383" s="1"/>
  <c r="D1384"/>
  <c r="F1385"/>
  <c r="H1386"/>
  <c r="C1388"/>
  <c r="E1389"/>
  <c r="G1390"/>
  <c r="C1392"/>
  <c r="E1393"/>
  <c r="G1394"/>
  <c r="B1396"/>
  <c r="A1396" s="1"/>
  <c r="I1396" s="1"/>
  <c r="D1397"/>
  <c r="F1398"/>
  <c r="H1399"/>
  <c r="D1401"/>
  <c r="F1402"/>
  <c r="H1403"/>
  <c r="C1405"/>
  <c r="E1406"/>
  <c r="G1407"/>
  <c r="B1409"/>
  <c r="A1409" s="1"/>
  <c r="I1409" s="1"/>
  <c r="E1410"/>
  <c r="G1411"/>
  <c r="B1413"/>
  <c r="A1413" s="1"/>
  <c r="I1413" s="1"/>
  <c r="D1414"/>
  <c r="F1415"/>
  <c r="H1416"/>
  <c r="C1418"/>
  <c r="F1419"/>
  <c r="H1420"/>
  <c r="C1422"/>
  <c r="E1423"/>
  <c r="G1424"/>
  <c r="B1426"/>
  <c r="A1426" s="1"/>
  <c r="I1426" s="1"/>
  <c r="D1427"/>
  <c r="G1428"/>
  <c r="B1430"/>
  <c r="A1430" s="1"/>
  <c r="I1430" s="1"/>
  <c r="D1431"/>
  <c r="F1432"/>
  <c r="H1433"/>
  <c r="C1435"/>
  <c r="E1436"/>
  <c r="H1437"/>
  <c r="C1439"/>
  <c r="E1440"/>
  <c r="G1441"/>
  <c r="B1443"/>
  <c r="D1444"/>
  <c r="F1445"/>
  <c r="B1447"/>
  <c r="A1447" s="1"/>
  <c r="I1447" s="1"/>
  <c r="D1448"/>
  <c r="F1449"/>
  <c r="H1450"/>
  <c r="C1452"/>
  <c r="E1453"/>
  <c r="G1454"/>
  <c r="C1456"/>
  <c r="E1457"/>
  <c r="G1458"/>
  <c r="B1460"/>
  <c r="A1460" s="1"/>
  <c r="I1460" s="1"/>
  <c r="D1461"/>
  <c r="F1462"/>
  <c r="H1463"/>
  <c r="D1465"/>
  <c r="F1466"/>
  <c r="H1467"/>
  <c r="C1469"/>
  <c r="E1470"/>
  <c r="G1471"/>
  <c r="B1473"/>
  <c r="E1474"/>
  <c r="G1475"/>
  <c r="B1477"/>
  <c r="A1477" s="1"/>
  <c r="I1477" s="1"/>
  <c r="D1478"/>
  <c r="F1479"/>
  <c r="H1480"/>
  <c r="C1482"/>
  <c r="F1483"/>
  <c r="H1484"/>
  <c r="C1486"/>
  <c r="E1487"/>
  <c r="G1488"/>
  <c r="B1490"/>
  <c r="A1490" s="1"/>
  <c r="I1490" s="1"/>
  <c r="D1491"/>
  <c r="G1492"/>
  <c r="B1494"/>
  <c r="D1495"/>
  <c r="F1496"/>
  <c r="H1497"/>
  <c r="C1499"/>
  <c r="E1500"/>
  <c r="H1501"/>
  <c r="C1503"/>
  <c r="E1504"/>
  <c r="G1505"/>
  <c r="B1507"/>
  <c r="A1507" s="1"/>
  <c r="I1507" s="1"/>
  <c r="D1508"/>
  <c r="F1509"/>
  <c r="B1511"/>
  <c r="A1511" s="1"/>
  <c r="I1511" s="1"/>
  <c r="G17"/>
  <c r="D47"/>
  <c r="H76"/>
  <c r="E106"/>
  <c r="C135"/>
  <c r="B164"/>
  <c r="A164" s="1"/>
  <c r="I164" s="1"/>
  <c r="D191"/>
  <c r="B215"/>
  <c r="A215" s="1"/>
  <c r="I215" s="1"/>
  <c r="E231"/>
  <c r="D248"/>
  <c r="B263"/>
  <c r="H274"/>
  <c r="G286"/>
  <c r="E298"/>
  <c r="H308"/>
  <c r="D319"/>
  <c r="G329"/>
  <c r="D340"/>
  <c r="G350"/>
  <c r="C361"/>
  <c r="F371"/>
  <c r="B382"/>
  <c r="A382" s="1"/>
  <c r="I382" s="1"/>
  <c r="E392"/>
  <c r="F400"/>
  <c r="D409"/>
  <c r="E417"/>
  <c r="C425"/>
  <c r="D432"/>
  <c r="E439"/>
  <c r="B447"/>
  <c r="A447" s="1"/>
  <c r="I447" s="1"/>
  <c r="C454"/>
  <c r="G461"/>
  <c r="H468"/>
  <c r="B476"/>
  <c r="A476" s="1"/>
  <c r="I476" s="1"/>
  <c r="D483"/>
  <c r="E488"/>
  <c r="G493"/>
  <c r="H498"/>
  <c r="C504"/>
  <c r="E509"/>
  <c r="F514"/>
  <c r="H519"/>
  <c r="B525"/>
  <c r="D530"/>
  <c r="E535"/>
  <c r="G540"/>
  <c r="B546"/>
  <c r="A546" s="1"/>
  <c r="I546" s="1"/>
  <c r="C551"/>
  <c r="E556"/>
  <c r="F561"/>
  <c r="H566"/>
  <c r="B572"/>
  <c r="D577"/>
  <c r="F582"/>
  <c r="E586"/>
  <c r="G589"/>
  <c r="F592"/>
  <c r="F595"/>
  <c r="F598"/>
  <c r="F601"/>
  <c r="F604"/>
  <c r="E607"/>
  <c r="F610"/>
  <c r="F613"/>
  <c r="E616"/>
  <c r="E619"/>
  <c r="F622"/>
  <c r="E625"/>
  <c r="E628"/>
  <c r="E631"/>
  <c r="E634"/>
  <c r="E637"/>
  <c r="D640"/>
  <c r="E643"/>
  <c r="D646"/>
  <c r="D649"/>
  <c r="E652"/>
  <c r="D655"/>
  <c r="D658"/>
  <c r="C661"/>
  <c r="D664"/>
  <c r="D667"/>
  <c r="C670"/>
  <c r="D673"/>
  <c r="D676"/>
  <c r="C679"/>
  <c r="C682"/>
  <c r="H684"/>
  <c r="E687"/>
  <c r="B690"/>
  <c r="A690" s="1"/>
  <c r="I690" s="1"/>
  <c r="G692"/>
  <c r="D695"/>
  <c r="H697"/>
  <c r="E700"/>
  <c r="C703"/>
  <c r="G705"/>
  <c r="D708"/>
  <c r="B711"/>
  <c r="A711" s="1"/>
  <c r="I711" s="1"/>
  <c r="F713"/>
  <c r="C716"/>
  <c r="G718"/>
  <c r="E721"/>
  <c r="B724"/>
  <c r="A724" s="1"/>
  <c r="I724" s="1"/>
  <c r="F726"/>
  <c r="D729"/>
  <c r="H731"/>
  <c r="E734"/>
  <c r="B737"/>
  <c r="G739"/>
  <c r="D742"/>
  <c r="H744"/>
  <c r="F747"/>
  <c r="C750"/>
  <c r="G752"/>
  <c r="D755"/>
  <c r="B758"/>
  <c r="F760"/>
  <c r="C763"/>
  <c r="H765"/>
  <c r="E768"/>
  <c r="B771"/>
  <c r="A771" s="1"/>
  <c r="I771" s="1"/>
  <c r="F773"/>
  <c r="D776"/>
  <c r="H778"/>
  <c r="E781"/>
  <c r="C784"/>
  <c r="G786"/>
  <c r="D789"/>
  <c r="H791"/>
  <c r="F794"/>
  <c r="C797"/>
  <c r="G799"/>
  <c r="E802"/>
  <c r="B805"/>
  <c r="A805" s="1"/>
  <c r="I805" s="1"/>
  <c r="F807"/>
  <c r="C810"/>
  <c r="H812"/>
  <c r="E815"/>
  <c r="B818"/>
  <c r="G820"/>
  <c r="D823"/>
  <c r="H825"/>
  <c r="E828"/>
  <c r="C831"/>
  <c r="G833"/>
  <c r="D836"/>
  <c r="B839"/>
  <c r="F841"/>
  <c r="C844"/>
  <c r="G846"/>
  <c r="E849"/>
  <c r="B852"/>
  <c r="A852" s="1"/>
  <c r="I852" s="1"/>
  <c r="F854"/>
  <c r="D857"/>
  <c r="H859"/>
  <c r="E862"/>
  <c r="B865"/>
  <c r="A865" s="1"/>
  <c r="I865" s="1"/>
  <c r="G867"/>
  <c r="D870"/>
  <c r="H872"/>
  <c r="F875"/>
  <c r="C878"/>
  <c r="G880"/>
  <c r="D883"/>
  <c r="B886"/>
  <c r="A886" s="1"/>
  <c r="I886" s="1"/>
  <c r="F888"/>
  <c r="C891"/>
  <c r="H893"/>
  <c r="E896"/>
  <c r="B899"/>
  <c r="A899" s="1"/>
  <c r="I899" s="1"/>
  <c r="F901"/>
  <c r="D904"/>
  <c r="H906"/>
  <c r="E909"/>
  <c r="C912"/>
  <c r="G914"/>
  <c r="D917"/>
  <c r="H919"/>
  <c r="F922"/>
  <c r="C925"/>
  <c r="G927"/>
  <c r="E930"/>
  <c r="B933"/>
  <c r="A933" s="1"/>
  <c r="I933" s="1"/>
  <c r="F935"/>
  <c r="H937"/>
  <c r="C940"/>
  <c r="E942"/>
  <c r="G944"/>
  <c r="B947"/>
  <c r="A947" s="1"/>
  <c r="I947" s="1"/>
  <c r="D949"/>
  <c r="F951"/>
  <c r="H953"/>
  <c r="C956"/>
  <c r="E958"/>
  <c r="G960"/>
  <c r="B963"/>
  <c r="D965"/>
  <c r="F967"/>
  <c r="H969"/>
  <c r="C972"/>
  <c r="E974"/>
  <c r="G976"/>
  <c r="B979"/>
  <c r="D981"/>
  <c r="F983"/>
  <c r="H985"/>
  <c r="C988"/>
  <c r="E990"/>
  <c r="G992"/>
  <c r="B995"/>
  <c r="A995" s="1"/>
  <c r="I995" s="1"/>
  <c r="D997"/>
  <c r="F999"/>
  <c r="H1001"/>
  <c r="C1004"/>
  <c r="E1006"/>
  <c r="G1008"/>
  <c r="B1011"/>
  <c r="A1011" s="1"/>
  <c r="I1011" s="1"/>
  <c r="D1013"/>
  <c r="F1015"/>
  <c r="H1017"/>
  <c r="C1020"/>
  <c r="E1022"/>
  <c r="G1024"/>
  <c r="B1027"/>
  <c r="A1027" s="1"/>
  <c r="I1027" s="1"/>
  <c r="D1029"/>
  <c r="F1031"/>
  <c r="H1033"/>
  <c r="C1036"/>
  <c r="E1038"/>
  <c r="G1040"/>
  <c r="B1043"/>
  <c r="A1043" s="1"/>
  <c r="I1043" s="1"/>
  <c r="D1045"/>
  <c r="F1047"/>
  <c r="H1049"/>
  <c r="C1052"/>
  <c r="E1054"/>
  <c r="G1056"/>
  <c r="B1059"/>
  <c r="A1059" s="1"/>
  <c r="I1059" s="1"/>
  <c r="D1061"/>
  <c r="F1063"/>
  <c r="H1065"/>
  <c r="C1068"/>
  <c r="E1070"/>
  <c r="G1072"/>
  <c r="B1075"/>
  <c r="A1075" s="1"/>
  <c r="I1075" s="1"/>
  <c r="D1077"/>
  <c r="F1079"/>
  <c r="H1081"/>
  <c r="C1084"/>
  <c r="E1086"/>
  <c r="G1088"/>
  <c r="B1091"/>
  <c r="D1093"/>
  <c r="F1095"/>
  <c r="H1097"/>
  <c r="C1100"/>
  <c r="B1102"/>
  <c r="A1102" s="1"/>
  <c r="I1102" s="1"/>
  <c r="D1103"/>
  <c r="F1104"/>
  <c r="H1105"/>
  <c r="C1107"/>
  <c r="E1108"/>
  <c r="H1109"/>
  <c r="C1111"/>
  <c r="E1112"/>
  <c r="G1113"/>
  <c r="B1115"/>
  <c r="D1116"/>
  <c r="F1117"/>
  <c r="B1119"/>
  <c r="A1119" s="1"/>
  <c r="I1119" s="1"/>
  <c r="D1120"/>
  <c r="F1121"/>
  <c r="H1122"/>
  <c r="C1124"/>
  <c r="E1125"/>
  <c r="G1126"/>
  <c r="C1128"/>
  <c r="E1129"/>
  <c r="G1130"/>
  <c r="B1132"/>
  <c r="A1132" s="1"/>
  <c r="I1132" s="1"/>
  <c r="D1133"/>
  <c r="F1134"/>
  <c r="H1135"/>
  <c r="D1137"/>
  <c r="F1138"/>
  <c r="H1139"/>
  <c r="C1141"/>
  <c r="E1142"/>
  <c r="G1143"/>
  <c r="B1145"/>
  <c r="A1145" s="1"/>
  <c r="I1145" s="1"/>
  <c r="E1146"/>
  <c r="G1147"/>
  <c r="B1149"/>
  <c r="A1149" s="1"/>
  <c r="I1149" s="1"/>
  <c r="D1150"/>
  <c r="F1151"/>
  <c r="H1152"/>
  <c r="C1154"/>
  <c r="F1155"/>
  <c r="H1156"/>
  <c r="C1158"/>
  <c r="E1159"/>
  <c r="G1160"/>
  <c r="B1162"/>
  <c r="A1162" s="1"/>
  <c r="I1162" s="1"/>
  <c r="D1163"/>
  <c r="G1164"/>
  <c r="B1166"/>
  <c r="A1166" s="1"/>
  <c r="I1166" s="1"/>
  <c r="D1167"/>
  <c r="F1168"/>
  <c r="H1169"/>
  <c r="C1171"/>
  <c r="E1172"/>
  <c r="H1173"/>
  <c r="C1175"/>
  <c r="E1176"/>
  <c r="G1177"/>
  <c r="B1179"/>
  <c r="D1180"/>
  <c r="F1181"/>
  <c r="B1183"/>
  <c r="A1183" s="1"/>
  <c r="I1183" s="1"/>
  <c r="D1184"/>
  <c r="F1185"/>
  <c r="H1186"/>
  <c r="C1188"/>
  <c r="E1189"/>
  <c r="G1190"/>
  <c r="C1192"/>
  <c r="E1193"/>
  <c r="G1194"/>
  <c r="B1196"/>
  <c r="A1196" s="1"/>
  <c r="I1196" s="1"/>
  <c r="D1197"/>
  <c r="F1198"/>
  <c r="H1199"/>
  <c r="D1201"/>
  <c r="F1202"/>
  <c r="H1203"/>
  <c r="C1205"/>
  <c r="E1206"/>
  <c r="G1207"/>
  <c r="B1209"/>
  <c r="E1210"/>
  <c r="G1211"/>
  <c r="B1213"/>
  <c r="A1213" s="1"/>
  <c r="I1213" s="1"/>
  <c r="D1214"/>
  <c r="F1215"/>
  <c r="H1216"/>
  <c r="C1218"/>
  <c r="F1219"/>
  <c r="H1220"/>
  <c r="C1222"/>
  <c r="E1223"/>
  <c r="G1224"/>
  <c r="B1226"/>
  <c r="A1226" s="1"/>
  <c r="I1226" s="1"/>
  <c r="D1227"/>
  <c r="G1228"/>
  <c r="B1230"/>
  <c r="D1231"/>
  <c r="F1232"/>
  <c r="H1233"/>
  <c r="C1235"/>
  <c r="E1236"/>
  <c r="H1237"/>
  <c r="C1239"/>
  <c r="E1240"/>
  <c r="G1241"/>
  <c r="B1243"/>
  <c r="A1243" s="1"/>
  <c r="I1243" s="1"/>
  <c r="D1244"/>
  <c r="F1245"/>
  <c r="B1247"/>
  <c r="A1247" s="1"/>
  <c r="I1247" s="1"/>
  <c r="D1248"/>
  <c r="F1249"/>
  <c r="H1250"/>
  <c r="C1252"/>
  <c r="E1253"/>
  <c r="G1254"/>
  <c r="C1256"/>
  <c r="E1257"/>
  <c r="G1258"/>
  <c r="B1260"/>
  <c r="A1260" s="1"/>
  <c r="I1260" s="1"/>
  <c r="D1261"/>
  <c r="F1262"/>
  <c r="H1263"/>
  <c r="D1265"/>
  <c r="F1266"/>
  <c r="H1267"/>
  <c r="C1269"/>
  <c r="E1270"/>
  <c r="G1271"/>
  <c r="B1273"/>
  <c r="E1274"/>
  <c r="G1275"/>
  <c r="B1277"/>
  <c r="A1277" s="1"/>
  <c r="I1277" s="1"/>
  <c r="D1278"/>
  <c r="F1279"/>
  <c r="H1280"/>
  <c r="C1282"/>
  <c r="F1283"/>
  <c r="H1284"/>
  <c r="C1286"/>
  <c r="E1287"/>
  <c r="G1288"/>
  <c r="B1290"/>
  <c r="A1290" s="1"/>
  <c r="I1290" s="1"/>
  <c r="D1291"/>
  <c r="G1292"/>
  <c r="B1294"/>
  <c r="D1295"/>
  <c r="F1296"/>
  <c r="H1297"/>
  <c r="C1299"/>
  <c r="E1300"/>
  <c r="H1301"/>
  <c r="C1303"/>
  <c r="E1304"/>
  <c r="G1305"/>
  <c r="B1307"/>
  <c r="A1307" s="1"/>
  <c r="I1307" s="1"/>
  <c r="D1308"/>
  <c r="F1309"/>
  <c r="B1311"/>
  <c r="A1311" s="1"/>
  <c r="I1311" s="1"/>
  <c r="D1312"/>
  <c r="F1313"/>
  <c r="H1314"/>
  <c r="C1316"/>
  <c r="E1317"/>
  <c r="G1318"/>
  <c r="C1320"/>
  <c r="E1321"/>
  <c r="G1322"/>
  <c r="B1324"/>
  <c r="D1325"/>
  <c r="F1326"/>
  <c r="H1327"/>
  <c r="D1329"/>
  <c r="F1330"/>
  <c r="H1331"/>
  <c r="C1333"/>
  <c r="E1334"/>
  <c r="G1335"/>
  <c r="B1337"/>
  <c r="A1337" s="1"/>
  <c r="I1337" s="1"/>
  <c r="E1338"/>
  <c r="G1339"/>
  <c r="B1341"/>
  <c r="A1341" s="1"/>
  <c r="I1341" s="1"/>
  <c r="D1342"/>
  <c r="F1343"/>
  <c r="H1344"/>
  <c r="C1346"/>
  <c r="F1347"/>
  <c r="H1348"/>
  <c r="C1350"/>
  <c r="E1351"/>
  <c r="G1352"/>
  <c r="B1354"/>
  <c r="A1354" s="1"/>
  <c r="I1354" s="1"/>
  <c r="D1355"/>
  <c r="G1356"/>
  <c r="B1358"/>
  <c r="A1358" s="1"/>
  <c r="I1358" s="1"/>
  <c r="D1359"/>
  <c r="F1360"/>
  <c r="H1361"/>
  <c r="C1363"/>
  <c r="E1364"/>
  <c r="H1365"/>
  <c r="C1367"/>
  <c r="E1368"/>
  <c r="G1369"/>
  <c r="B1371"/>
  <c r="A1371" s="1"/>
  <c r="I1371" s="1"/>
  <c r="D1372"/>
  <c r="F1373"/>
  <c r="B1375"/>
  <c r="A1375" s="1"/>
  <c r="I1375" s="1"/>
  <c r="D1376"/>
  <c r="F1377"/>
  <c r="H1378"/>
  <c r="C1380"/>
  <c r="E1381"/>
  <c r="G1382"/>
  <c r="C1384"/>
  <c r="E1385"/>
  <c r="G1386"/>
  <c r="B1388"/>
  <c r="D1389"/>
  <c r="F1390"/>
  <c r="H1391"/>
  <c r="D1393"/>
  <c r="F1394"/>
  <c r="H1395"/>
  <c r="C1397"/>
  <c r="E1398"/>
  <c r="G1399"/>
  <c r="B1401"/>
  <c r="A1401" s="1"/>
  <c r="I1401" s="1"/>
  <c r="E1402"/>
  <c r="G1403"/>
  <c r="B1405"/>
  <c r="A1405" s="1"/>
  <c r="I1405" s="1"/>
  <c r="D1406"/>
  <c r="F1407"/>
  <c r="H1408"/>
  <c r="C1410"/>
  <c r="F1411"/>
  <c r="H1412"/>
  <c r="C1414"/>
  <c r="E1415"/>
  <c r="G1416"/>
  <c r="B1418"/>
  <c r="D1419"/>
  <c r="G1420"/>
  <c r="B1422"/>
  <c r="A1422" s="1"/>
  <c r="I1422" s="1"/>
  <c r="D1423"/>
  <c r="F1424"/>
  <c r="H1425"/>
  <c r="C1427"/>
  <c r="E1428"/>
  <c r="H1429"/>
  <c r="C1431"/>
  <c r="E1432"/>
  <c r="G1433"/>
  <c r="B1435"/>
  <c r="A1435" s="1"/>
  <c r="I1435" s="1"/>
  <c r="D1436"/>
  <c r="F1437"/>
  <c r="B1439"/>
  <c r="D1440"/>
  <c r="F1441"/>
  <c r="H1442"/>
  <c r="C1444"/>
  <c r="E1445"/>
  <c r="G1446"/>
  <c r="C1448"/>
  <c r="E1449"/>
  <c r="G1450"/>
  <c r="B1452"/>
  <c r="A1452" s="1"/>
  <c r="I1452" s="1"/>
  <c r="D1453"/>
  <c r="F1454"/>
  <c r="H1455"/>
  <c r="D1457"/>
  <c r="F1458"/>
  <c r="H1459"/>
  <c r="C1461"/>
  <c r="E1462"/>
  <c r="G1463"/>
  <c r="B1465"/>
  <c r="A1465" s="1"/>
  <c r="I1465" s="1"/>
  <c r="E1466"/>
  <c r="G1467"/>
  <c r="B1469"/>
  <c r="A1469" s="1"/>
  <c r="I1469" s="1"/>
  <c r="D1470"/>
  <c r="F1471"/>
  <c r="H1472"/>
  <c r="C1474"/>
  <c r="F1475"/>
  <c r="H1476"/>
  <c r="C1478"/>
  <c r="E1479"/>
  <c r="G1480"/>
  <c r="B1482"/>
  <c r="D1483"/>
  <c r="G1484"/>
  <c r="B1486"/>
  <c r="A1486" s="1"/>
  <c r="I1486" s="1"/>
  <c r="D1487"/>
  <c r="F1488"/>
  <c r="H1489"/>
  <c r="C1491"/>
  <c r="E1492"/>
  <c r="H1493"/>
  <c r="C1495"/>
  <c r="E1496"/>
  <c r="G1497"/>
  <c r="B1499"/>
  <c r="A1499" s="1"/>
  <c r="I1499" s="1"/>
  <c r="D1500"/>
  <c r="F1501"/>
  <c r="B1503"/>
  <c r="D1504"/>
  <c r="F1505"/>
  <c r="H1506"/>
  <c r="C1508"/>
  <c r="E1509"/>
  <c r="F17"/>
  <c r="C47"/>
  <c r="G76"/>
  <c r="E105"/>
  <c r="D134"/>
  <c r="H163"/>
  <c r="C191"/>
  <c r="F214"/>
  <c r="D231"/>
  <c r="C248"/>
  <c r="F262"/>
  <c r="G274"/>
  <c r="F286"/>
  <c r="D298"/>
  <c r="G308"/>
  <c r="C319"/>
  <c r="F329"/>
  <c r="B340"/>
  <c r="F350"/>
  <c r="B361"/>
  <c r="A361" s="1"/>
  <c r="I361" s="1"/>
  <c r="E371"/>
  <c r="H381"/>
  <c r="D392"/>
  <c r="E400"/>
  <c r="C409"/>
  <c r="D417"/>
  <c r="F424"/>
  <c r="C432"/>
  <c r="D439"/>
  <c r="H446"/>
  <c r="B454"/>
  <c r="A454" s="1"/>
  <c r="I454" s="1"/>
  <c r="C461"/>
  <c r="G468"/>
  <c r="H475"/>
  <c r="C483"/>
  <c r="D488"/>
  <c r="F493"/>
  <c r="G498"/>
  <c r="B504"/>
  <c r="A504" s="1"/>
  <c r="I504" s="1"/>
  <c r="C509"/>
  <c r="E514"/>
  <c r="G519"/>
  <c r="H524"/>
  <c r="C530"/>
  <c r="D535"/>
  <c r="F540"/>
  <c r="G545"/>
  <c r="B551"/>
  <c r="A551" s="1"/>
  <c r="I551" s="1"/>
  <c r="D556"/>
  <c r="E561"/>
  <c r="G566"/>
  <c r="H571"/>
  <c r="C577"/>
  <c r="D582"/>
  <c r="D586"/>
  <c r="E589"/>
  <c r="E592"/>
  <c r="E595"/>
  <c r="D598"/>
  <c r="E601"/>
  <c r="E604"/>
  <c r="D607"/>
  <c r="D610"/>
  <c r="E613"/>
  <c r="D616"/>
  <c r="D619"/>
  <c r="D622"/>
  <c r="D625"/>
  <c r="D628"/>
  <c r="C631"/>
  <c r="D634"/>
  <c r="C637"/>
  <c r="C640"/>
  <c r="D643"/>
  <c r="C646"/>
  <c r="C649"/>
  <c r="B652"/>
  <c r="A652" s="1"/>
  <c r="I652" s="1"/>
  <c r="C655"/>
  <c r="C658"/>
  <c r="B661"/>
  <c r="A661" s="1"/>
  <c r="I661" s="1"/>
  <c r="C664"/>
  <c r="C667"/>
  <c r="B670"/>
  <c r="B673"/>
  <c r="A673" s="1"/>
  <c r="I673" s="1"/>
  <c r="B676"/>
  <c r="A676" s="1"/>
  <c r="I676" s="1"/>
  <c r="B679"/>
  <c r="A679" s="1"/>
  <c r="I679" s="1"/>
  <c r="B682"/>
  <c r="A682" s="1"/>
  <c r="I682" s="1"/>
  <c r="G684"/>
  <c r="D687"/>
  <c r="H689"/>
  <c r="E692"/>
  <c r="C695"/>
  <c r="G697"/>
  <c r="D700"/>
  <c r="B703"/>
  <c r="A703" s="1"/>
  <c r="I703" s="1"/>
  <c r="F705"/>
  <c r="C708"/>
  <c r="G710"/>
  <c r="E713"/>
  <c r="B716"/>
  <c r="A716" s="1"/>
  <c r="I716" s="1"/>
  <c r="F718"/>
  <c r="D721"/>
  <c r="H723"/>
  <c r="E726"/>
  <c r="B729"/>
  <c r="A729" s="1"/>
  <c r="I729" s="1"/>
  <c r="G731"/>
  <c r="D734"/>
  <c r="H736"/>
  <c r="F739"/>
  <c r="C742"/>
  <c r="G744"/>
  <c r="D747"/>
  <c r="B750"/>
  <c r="A750" s="1"/>
  <c r="I750" s="1"/>
  <c r="F752"/>
  <c r="C755"/>
  <c r="H757"/>
  <c r="E760"/>
  <c r="B763"/>
  <c r="A763" s="1"/>
  <c r="I763" s="1"/>
  <c r="F765"/>
  <c r="D768"/>
  <c r="H770"/>
  <c r="E773"/>
  <c r="C776"/>
  <c r="G778"/>
  <c r="D781"/>
  <c r="H783"/>
  <c r="F786"/>
  <c r="C789"/>
  <c r="G791"/>
  <c r="E794"/>
  <c r="B797"/>
  <c r="F799"/>
  <c r="C802"/>
  <c r="H804"/>
  <c r="E807"/>
  <c r="B810"/>
  <c r="A810" s="1"/>
  <c r="I810" s="1"/>
  <c r="G812"/>
  <c r="D815"/>
  <c r="H817"/>
  <c r="E820"/>
  <c r="C823"/>
  <c r="G825"/>
  <c r="D828"/>
  <c r="B831"/>
  <c r="A831" s="1"/>
  <c r="I831" s="1"/>
  <c r="F833"/>
  <c r="C836"/>
  <c r="G838"/>
  <c r="E841"/>
  <c r="B844"/>
  <c r="A844" s="1"/>
  <c r="I844" s="1"/>
  <c r="F846"/>
  <c r="D849"/>
  <c r="H851"/>
  <c r="E854"/>
  <c r="B857"/>
  <c r="G859"/>
  <c r="D862"/>
  <c r="H864"/>
  <c r="F867"/>
  <c r="C870"/>
  <c r="G872"/>
  <c r="D875"/>
  <c r="B878"/>
  <c r="F880"/>
  <c r="C883"/>
  <c r="H885"/>
  <c r="E888"/>
  <c r="B891"/>
  <c r="A891" s="1"/>
  <c r="I891" s="1"/>
  <c r="F893"/>
  <c r="D896"/>
  <c r="H898"/>
  <c r="E901"/>
  <c r="C904"/>
  <c r="G906"/>
  <c r="D909"/>
  <c r="H911"/>
  <c r="F914"/>
  <c r="C917"/>
  <c r="G919"/>
  <c r="E922"/>
  <c r="B925"/>
  <c r="A925" s="1"/>
  <c r="I925" s="1"/>
  <c r="F927"/>
  <c r="C930"/>
  <c r="H932"/>
  <c r="E935"/>
  <c r="G937"/>
  <c r="B940"/>
  <c r="D942"/>
  <c r="F944"/>
  <c r="H946"/>
  <c r="C949"/>
  <c r="E951"/>
  <c r="G953"/>
  <c r="B956"/>
  <c r="A956" s="1"/>
  <c r="I956" s="1"/>
  <c r="D958"/>
  <c r="F960"/>
  <c r="H962"/>
  <c r="C965"/>
  <c r="E967"/>
  <c r="G969"/>
  <c r="B972"/>
  <c r="A972" s="1"/>
  <c r="I972" s="1"/>
  <c r="D974"/>
  <c r="F976"/>
  <c r="H978"/>
  <c r="C981"/>
  <c r="E983"/>
  <c r="G985"/>
  <c r="B988"/>
  <c r="A988" s="1"/>
  <c r="I988" s="1"/>
  <c r="D990"/>
  <c r="F992"/>
  <c r="H994"/>
  <c r="C997"/>
  <c r="E999"/>
  <c r="G1001"/>
  <c r="B1004"/>
  <c r="A1004" s="1"/>
  <c r="I1004" s="1"/>
  <c r="D1006"/>
  <c r="F1008"/>
  <c r="H1010"/>
  <c r="C1013"/>
  <c r="E1015"/>
  <c r="G1017"/>
  <c r="B1020"/>
  <c r="A1020" s="1"/>
  <c r="I1020" s="1"/>
  <c r="D1022"/>
  <c r="F1024"/>
  <c r="H1026"/>
  <c r="C1029"/>
  <c r="E1031"/>
  <c r="G1033"/>
  <c r="B1036"/>
  <c r="A1036" s="1"/>
  <c r="I1036" s="1"/>
  <c r="D1038"/>
  <c r="F1040"/>
  <c r="H1042"/>
  <c r="C1045"/>
  <c r="E1047"/>
  <c r="G1049"/>
  <c r="B1052"/>
  <c r="D1054"/>
  <c r="F1056"/>
  <c r="H1058"/>
  <c r="C1061"/>
  <c r="E1063"/>
  <c r="G1065"/>
  <c r="B1068"/>
  <c r="D1070"/>
  <c r="F1072"/>
  <c r="H1074"/>
  <c r="C1077"/>
  <c r="E1079"/>
  <c r="G1081"/>
  <c r="B1084"/>
  <c r="A1084" s="1"/>
  <c r="I1084" s="1"/>
  <c r="D1086"/>
  <c r="F1088"/>
  <c r="H1090"/>
  <c r="C1093"/>
  <c r="E1095"/>
  <c r="G1097"/>
  <c r="B1100"/>
  <c r="A1100" s="1"/>
  <c r="I1100" s="1"/>
  <c r="H1101"/>
  <c r="C1103"/>
  <c r="E1104"/>
  <c r="G1105"/>
  <c r="B1107"/>
  <c r="A1107" s="1"/>
  <c r="I1107" s="1"/>
  <c r="D1108"/>
  <c r="F1109"/>
  <c r="B1111"/>
  <c r="A1111" s="1"/>
  <c r="I1111" s="1"/>
  <c r="D1112"/>
  <c r="F1113"/>
  <c r="H1114"/>
  <c r="C1116"/>
  <c r="E1117"/>
  <c r="G1118"/>
  <c r="C1120"/>
  <c r="E1121"/>
  <c r="G1122"/>
  <c r="B1124"/>
  <c r="D1125"/>
  <c r="F1126"/>
  <c r="H1127"/>
  <c r="D1129"/>
  <c r="F1130"/>
  <c r="H1131"/>
  <c r="C1133"/>
  <c r="E1134"/>
  <c r="G1135"/>
  <c r="B1137"/>
  <c r="A1137" s="1"/>
  <c r="I1137" s="1"/>
  <c r="E1138"/>
  <c r="G1139"/>
  <c r="B1141"/>
  <c r="A1141" s="1"/>
  <c r="I1141" s="1"/>
  <c r="D1142"/>
  <c r="F1143"/>
  <c r="H1144"/>
  <c r="C1146"/>
  <c r="F1147"/>
  <c r="H1148"/>
  <c r="C1150"/>
  <c r="E1151"/>
  <c r="G1152"/>
  <c r="B1154"/>
  <c r="A1154" s="1"/>
  <c r="I1154" s="1"/>
  <c r="D1155"/>
  <c r="G1156"/>
  <c r="B1158"/>
  <c r="A1158" s="1"/>
  <c r="I1158" s="1"/>
  <c r="D1159"/>
  <c r="F1160"/>
  <c r="H1161"/>
  <c r="C1163"/>
  <c r="E1164"/>
  <c r="H1165"/>
  <c r="C1167"/>
  <c r="E1168"/>
  <c r="G1169"/>
  <c r="B1171"/>
  <c r="A1171" s="1"/>
  <c r="I1171" s="1"/>
  <c r="D1172"/>
  <c r="F1173"/>
  <c r="B1175"/>
  <c r="A1175" s="1"/>
  <c r="I1175" s="1"/>
  <c r="D1176"/>
  <c r="F1177"/>
  <c r="H1178"/>
  <c r="C1180"/>
  <c r="E1181"/>
  <c r="G1182"/>
  <c r="C1184"/>
  <c r="E1185"/>
  <c r="G1186"/>
  <c r="B1188"/>
  <c r="D1189"/>
  <c r="F1190"/>
  <c r="H1191"/>
  <c r="D1193"/>
  <c r="F1194"/>
  <c r="H1195"/>
  <c r="C1197"/>
  <c r="E1198"/>
  <c r="G1199"/>
  <c r="B1201"/>
  <c r="A1201" s="1"/>
  <c r="I1201" s="1"/>
  <c r="E1202"/>
  <c r="G1203"/>
  <c r="B1205"/>
  <c r="A1205" s="1"/>
  <c r="I1205" s="1"/>
  <c r="D1206"/>
  <c r="F1207"/>
  <c r="H1208"/>
  <c r="C1210"/>
  <c r="F1211"/>
  <c r="H1212"/>
  <c r="C1214"/>
  <c r="E1215"/>
  <c r="G1216"/>
  <c r="B1218"/>
  <c r="D1219"/>
  <c r="G1220"/>
  <c r="B1222"/>
  <c r="A1222" s="1"/>
  <c r="I1222" s="1"/>
  <c r="D1223"/>
  <c r="F1224"/>
  <c r="H1225"/>
  <c r="C1227"/>
  <c r="E1228"/>
  <c r="H1229"/>
  <c r="C1231"/>
  <c r="E1232"/>
  <c r="G1233"/>
  <c r="B1235"/>
  <c r="A1235" s="1"/>
  <c r="I1235" s="1"/>
  <c r="D1236"/>
  <c r="F1237"/>
  <c r="B1239"/>
  <c r="D1240"/>
  <c r="F1241"/>
  <c r="H1242"/>
  <c r="C1244"/>
  <c r="E1245"/>
  <c r="G1246"/>
  <c r="C1248"/>
  <c r="E1249"/>
  <c r="G1250"/>
  <c r="B1252"/>
  <c r="A1252" s="1"/>
  <c r="I1252" s="1"/>
  <c r="D1253"/>
  <c r="F1254"/>
  <c r="H1255"/>
  <c r="D1257"/>
  <c r="F1258"/>
  <c r="H1259"/>
  <c r="C1261"/>
  <c r="E1262"/>
  <c r="G1263"/>
  <c r="B1265"/>
  <c r="A1265" s="1"/>
  <c r="I1265" s="1"/>
  <c r="E1266"/>
  <c r="G1267"/>
  <c r="B1269"/>
  <c r="A1269" s="1"/>
  <c r="I1269" s="1"/>
  <c r="D1270"/>
  <c r="F1271"/>
  <c r="H1272"/>
  <c r="C1274"/>
  <c r="F1275"/>
  <c r="H1276"/>
  <c r="C1278"/>
  <c r="E1279"/>
  <c r="G1280"/>
  <c r="B1282"/>
  <c r="D1283"/>
  <c r="G1284"/>
  <c r="B1286"/>
  <c r="A1286" s="1"/>
  <c r="I1286" s="1"/>
  <c r="D1287"/>
  <c r="F1288"/>
  <c r="H1289"/>
  <c r="C1291"/>
  <c r="E1292"/>
  <c r="H1293"/>
  <c r="C1295"/>
  <c r="E1296"/>
  <c r="G1297"/>
  <c r="B1299"/>
  <c r="A1299" s="1"/>
  <c r="I1299" s="1"/>
  <c r="D1300"/>
  <c r="F1301"/>
  <c r="B1303"/>
  <c r="D1304"/>
  <c r="F1305"/>
  <c r="H1306"/>
  <c r="C1308"/>
  <c r="E1309"/>
  <c r="G1310"/>
  <c r="C1312"/>
  <c r="E1313"/>
  <c r="G1314"/>
  <c r="B1316"/>
  <c r="A1316" s="1"/>
  <c r="I1316" s="1"/>
  <c r="D1317"/>
  <c r="F1318"/>
  <c r="H1319"/>
  <c r="D1321"/>
  <c r="F1322"/>
  <c r="H1323"/>
  <c r="C1325"/>
  <c r="E1326"/>
  <c r="G1327"/>
  <c r="B1329"/>
  <c r="A1329" s="1"/>
  <c r="I1329" s="1"/>
  <c r="E1330"/>
  <c r="G1331"/>
  <c r="B1333"/>
  <c r="D1334"/>
  <c r="F1335"/>
  <c r="H1336"/>
  <c r="C1338"/>
  <c r="F1339"/>
  <c r="H1340"/>
  <c r="C1342"/>
  <c r="E1343"/>
  <c r="G1344"/>
  <c r="B1346"/>
  <c r="A1346" s="1"/>
  <c r="I1346" s="1"/>
  <c r="D1347"/>
  <c r="G1348"/>
  <c r="B1350"/>
  <c r="A1350" s="1"/>
  <c r="I1350" s="1"/>
  <c r="D1351"/>
  <c r="F1352"/>
  <c r="H1353"/>
  <c r="C1355"/>
  <c r="E1356"/>
  <c r="H1357"/>
  <c r="C1359"/>
  <c r="E1360"/>
  <c r="G1361"/>
  <c r="B1363"/>
  <c r="A1363" s="1"/>
  <c r="I1363" s="1"/>
  <c r="D1364"/>
  <c r="F1365"/>
  <c r="B1367"/>
  <c r="A1367" s="1"/>
  <c r="I1367" s="1"/>
  <c r="D1368"/>
  <c r="F1369"/>
  <c r="H1370"/>
  <c r="C1372"/>
  <c r="E1373"/>
  <c r="G1374"/>
  <c r="C1376"/>
  <c r="E1377"/>
  <c r="G1378"/>
  <c r="B1380"/>
  <c r="A1380" s="1"/>
  <c r="I1380" s="1"/>
  <c r="D1381"/>
  <c r="F1382"/>
  <c r="H1383"/>
  <c r="D1385"/>
  <c r="F1386"/>
  <c r="H1387"/>
  <c r="C1389"/>
  <c r="E1390"/>
  <c r="G1391"/>
  <c r="B1393"/>
  <c r="A1393" s="1"/>
  <c r="I1393" s="1"/>
  <c r="E1394"/>
  <c r="G1395"/>
  <c r="B1397"/>
  <c r="D1398"/>
  <c r="F1399"/>
  <c r="H1400"/>
  <c r="C1402"/>
  <c r="F1403"/>
  <c r="H1404"/>
  <c r="C1406"/>
  <c r="E1407"/>
  <c r="G1408"/>
  <c r="B1410"/>
  <c r="A1410" s="1"/>
  <c r="I1410" s="1"/>
  <c r="D1411"/>
  <c r="G1412"/>
  <c r="B1414"/>
  <c r="A1414" s="1"/>
  <c r="I1414" s="1"/>
  <c r="D1415"/>
  <c r="F1416"/>
  <c r="H1417"/>
  <c r="C1419"/>
  <c r="E1420"/>
  <c r="H1421"/>
  <c r="C1423"/>
  <c r="E1424"/>
  <c r="G1425"/>
  <c r="B1427"/>
  <c r="D1428"/>
  <c r="F1429"/>
  <c r="B1431"/>
  <c r="A1431" s="1"/>
  <c r="I1431" s="1"/>
  <c r="D1432"/>
  <c r="F1433"/>
  <c r="H1434"/>
  <c r="C1436"/>
  <c r="E1437"/>
  <c r="G1438"/>
  <c r="C1440"/>
  <c r="E1441"/>
  <c r="G1442"/>
  <c r="B1444"/>
  <c r="A1444" s="1"/>
  <c r="I1444" s="1"/>
  <c r="D1445"/>
  <c r="F1446"/>
  <c r="H1447"/>
  <c r="D1449"/>
  <c r="F1450"/>
  <c r="H1451"/>
  <c r="C1453"/>
  <c r="E1454"/>
  <c r="G1455"/>
  <c r="B1457"/>
  <c r="A1457" s="1"/>
  <c r="I1457" s="1"/>
  <c r="E1458"/>
  <c r="G1459"/>
  <c r="B1461"/>
  <c r="A1461" s="1"/>
  <c r="I1461" s="1"/>
  <c r="D1462"/>
  <c r="F1463"/>
  <c r="H1464"/>
  <c r="C1466"/>
  <c r="F1467"/>
  <c r="H1468"/>
  <c r="C1470"/>
  <c r="E1471"/>
  <c r="G1472"/>
  <c r="B1474"/>
  <c r="A1474" s="1"/>
  <c r="I1474" s="1"/>
  <c r="D1475"/>
  <c r="G1476"/>
  <c r="B1478"/>
  <c r="A1478" s="1"/>
  <c r="I1478" s="1"/>
  <c r="D1479"/>
  <c r="F1480"/>
  <c r="H1481"/>
  <c r="C1483"/>
  <c r="E1484"/>
  <c r="H1485"/>
  <c r="C1487"/>
  <c r="E1488"/>
  <c r="G1489"/>
  <c r="B1491"/>
  <c r="D1492"/>
  <c r="F1493"/>
  <c r="B1495"/>
  <c r="A1495" s="1"/>
  <c r="I1495" s="1"/>
  <c r="D1496"/>
  <c r="F1497"/>
  <c r="H1498"/>
  <c r="C1500"/>
  <c r="E1501"/>
  <c r="G1502"/>
  <c r="C1504"/>
  <c r="E1505"/>
  <c r="G1506"/>
  <c r="B1508"/>
  <c r="A1508" s="1"/>
  <c r="I1508" s="1"/>
  <c r="D1509"/>
  <c r="F1510"/>
  <c r="H1511"/>
  <c r="D1513"/>
  <c r="F1514"/>
  <c r="H1515"/>
  <c r="C1517"/>
  <c r="E1518"/>
  <c r="G1519"/>
  <c r="B1521"/>
  <c r="E1522"/>
  <c r="G1523"/>
  <c r="B1525"/>
  <c r="A1525" s="1"/>
  <c r="I1525" s="1"/>
  <c r="D1526"/>
  <c r="F1527"/>
  <c r="H1528"/>
  <c r="C1530"/>
  <c r="F1531"/>
  <c r="H1532"/>
  <c r="C1534"/>
  <c r="E1535"/>
  <c r="G1536"/>
  <c r="B1538"/>
  <c r="A1538" s="1"/>
  <c r="I1538" s="1"/>
  <c r="D1539"/>
  <c r="G1540"/>
  <c r="B1542"/>
  <c r="D1543"/>
  <c r="F1544"/>
  <c r="H1545"/>
  <c r="C1547"/>
  <c r="E1548"/>
  <c r="H1549"/>
  <c r="C1551"/>
  <c r="E1552"/>
  <c r="G1553"/>
  <c r="B1555"/>
  <c r="A1555" s="1"/>
  <c r="I1555" s="1"/>
  <c r="D1556"/>
  <c r="F1557"/>
  <c r="B1559"/>
  <c r="A1559" s="1"/>
  <c r="I1559" s="1"/>
  <c r="D1560"/>
  <c r="F1561"/>
  <c r="H1562"/>
  <c r="C1564"/>
  <c r="E1565"/>
  <c r="G1566"/>
  <c r="C1568"/>
  <c r="E1569"/>
  <c r="G1570"/>
  <c r="B1572"/>
  <c r="A1572" s="1"/>
  <c r="I1572" s="1"/>
  <c r="C1573"/>
  <c r="D1574"/>
  <c r="E1575"/>
  <c r="F1576"/>
  <c r="G1577"/>
  <c r="H1578"/>
  <c r="B1580"/>
  <c r="A1580" s="1"/>
  <c r="I1580" s="1"/>
  <c r="C1581"/>
  <c r="D1582"/>
  <c r="E1583"/>
  <c r="F1584"/>
  <c r="G1585"/>
  <c r="H1586"/>
  <c r="B1588"/>
  <c r="A1588" s="1"/>
  <c r="I1588" s="1"/>
  <c r="C1589"/>
  <c r="D1590"/>
  <c r="E1591"/>
  <c r="F1592"/>
  <c r="G1593"/>
  <c r="H1594"/>
  <c r="B1596"/>
  <c r="A1596" s="1"/>
  <c r="I1596" s="1"/>
  <c r="C1597"/>
  <c r="D1598"/>
  <c r="E1599"/>
  <c r="F1600"/>
  <c r="G1601"/>
  <c r="H1602"/>
  <c r="B1604"/>
  <c r="A1604" s="1"/>
  <c r="I1604" s="1"/>
  <c r="C1605"/>
  <c r="D1606"/>
  <c r="E1607"/>
  <c r="F1608"/>
  <c r="G1609"/>
  <c r="H1610"/>
  <c r="B1612"/>
  <c r="A1612" s="1"/>
  <c r="I1612" s="1"/>
  <c r="C1613"/>
  <c r="D1614"/>
  <c r="E1615"/>
  <c r="F1616"/>
  <c r="G1617"/>
  <c r="H1618"/>
  <c r="B1620"/>
  <c r="C1621"/>
  <c r="D1622"/>
  <c r="E1623"/>
  <c r="F1624"/>
  <c r="G1625"/>
  <c r="H1626"/>
  <c r="B1628"/>
  <c r="C1629"/>
  <c r="D1630"/>
  <c r="E1631"/>
  <c r="F1632"/>
  <c r="G1633"/>
  <c r="H1634"/>
  <c r="B1636"/>
  <c r="A1636" s="1"/>
  <c r="I1636" s="1"/>
  <c r="C1637"/>
  <c r="D1638"/>
  <c r="E1639"/>
  <c r="F1640"/>
  <c r="G1641"/>
  <c r="H1642"/>
  <c r="B1644"/>
  <c r="A1644" s="1"/>
  <c r="I1644" s="1"/>
  <c r="C1645"/>
  <c r="D1646"/>
  <c r="E1647"/>
  <c r="F1648"/>
  <c r="G1649"/>
  <c r="H1650"/>
  <c r="B1652"/>
  <c r="A1652" s="1"/>
  <c r="I1652" s="1"/>
  <c r="C1653"/>
  <c r="D1654"/>
  <c r="E1655"/>
  <c r="F1656"/>
  <c r="G1657"/>
  <c r="H1658"/>
  <c r="B1660"/>
  <c r="A1660" s="1"/>
  <c r="I1660" s="1"/>
  <c r="C1661"/>
  <c r="D1662"/>
  <c r="E1663"/>
  <c r="F1664"/>
  <c r="G1665"/>
  <c r="H1666"/>
  <c r="B1668"/>
  <c r="A1668" s="1"/>
  <c r="I1668" s="1"/>
  <c r="C1669"/>
  <c r="D1670"/>
  <c r="E1671"/>
  <c r="F1672"/>
  <c r="G1673"/>
  <c r="H1674"/>
  <c r="B1676"/>
  <c r="A1676" s="1"/>
  <c r="I1676" s="1"/>
  <c r="C1677"/>
  <c r="D1678"/>
  <c r="E1679"/>
  <c r="F1680"/>
  <c r="G1681"/>
  <c r="H1682"/>
  <c r="B1684"/>
  <c r="C1685"/>
  <c r="D1686"/>
  <c r="E1687"/>
  <c r="F1688"/>
  <c r="G1689"/>
  <c r="H1690"/>
  <c r="B1692"/>
  <c r="C1693"/>
  <c r="D1694"/>
  <c r="E1695"/>
  <c r="F1696"/>
  <c r="G1697"/>
  <c r="H1698"/>
  <c r="B1700"/>
  <c r="A1700" s="1"/>
  <c r="I1700" s="1"/>
  <c r="C1701"/>
  <c r="D1702"/>
  <c r="E1703"/>
  <c r="F1704"/>
  <c r="G1705"/>
  <c r="H1706"/>
  <c r="B1708"/>
  <c r="A1708" s="1"/>
  <c r="I1708" s="1"/>
  <c r="C1709"/>
  <c r="D1710"/>
  <c r="E1711"/>
  <c r="F1712"/>
  <c r="G1713"/>
  <c r="H1714"/>
  <c r="B1716"/>
  <c r="A1716" s="1"/>
  <c r="I1716" s="1"/>
  <c r="C1717"/>
  <c r="D1718"/>
  <c r="E1719"/>
  <c r="F1720"/>
  <c r="G1721"/>
  <c r="H1722"/>
  <c r="B1724"/>
  <c r="A1724" s="1"/>
  <c r="I1724" s="1"/>
  <c r="C1725"/>
  <c r="D1726"/>
  <c r="E1727"/>
  <c r="F1728"/>
  <c r="G1729"/>
  <c r="H1730"/>
  <c r="B1732"/>
  <c r="A1732" s="1"/>
  <c r="I1732" s="1"/>
  <c r="C1733"/>
  <c r="D1734"/>
  <c r="E1735"/>
  <c r="F1736"/>
  <c r="G1737"/>
  <c r="H1738"/>
  <c r="B1740"/>
  <c r="A1740" s="1"/>
  <c r="I1740" s="1"/>
  <c r="C1741"/>
  <c r="D1742"/>
  <c r="E1743"/>
  <c r="F1744"/>
  <c r="G1745"/>
  <c r="H1746"/>
  <c r="B1748"/>
  <c r="C1749"/>
  <c r="D1750"/>
  <c r="E1751"/>
  <c r="F1752"/>
  <c r="G1753"/>
  <c r="H1754"/>
  <c r="B1756"/>
  <c r="C1757"/>
  <c r="D1758"/>
  <c r="E1759"/>
  <c r="F1760"/>
  <c r="G1761"/>
  <c r="H1762"/>
  <c r="B1764"/>
  <c r="A1764" s="1"/>
  <c r="I1764" s="1"/>
  <c r="C1765"/>
  <c r="D1766"/>
  <c r="E1767"/>
  <c r="F1768"/>
  <c r="G1769"/>
  <c r="H1770"/>
  <c r="B1772"/>
  <c r="A1772" s="1"/>
  <c r="I1772" s="1"/>
  <c r="C1773"/>
  <c r="D1774"/>
  <c r="E1775"/>
  <c r="F1776"/>
  <c r="G1777"/>
  <c r="H1778"/>
  <c r="B1780"/>
  <c r="A1780" s="1"/>
  <c r="I1780" s="1"/>
  <c r="C1781"/>
  <c r="D1782"/>
  <c r="E1783"/>
  <c r="F1784"/>
  <c r="G1785"/>
  <c r="H1786"/>
  <c r="B1788"/>
  <c r="A1788" s="1"/>
  <c r="I1788" s="1"/>
  <c r="C1789"/>
  <c r="D1790"/>
  <c r="E1791"/>
  <c r="F1792"/>
  <c r="G1793"/>
  <c r="H1794"/>
  <c r="B1796"/>
  <c r="A1796" s="1"/>
  <c r="I1796" s="1"/>
  <c r="C1797"/>
  <c r="D1798"/>
  <c r="E1799"/>
  <c r="F1800"/>
  <c r="G1801"/>
  <c r="H1802"/>
  <c r="B1804"/>
  <c r="A1804" s="1"/>
  <c r="I1804" s="1"/>
  <c r="C1805"/>
  <c r="D1806"/>
  <c r="E1807"/>
  <c r="F1808"/>
  <c r="G1809"/>
  <c r="H1810"/>
  <c r="B1812"/>
  <c r="C1813"/>
  <c r="D1814"/>
  <c r="E1815"/>
  <c r="F1816"/>
  <c r="G1817"/>
  <c r="H1818"/>
  <c r="B1820"/>
  <c r="C1821"/>
  <c r="D1822"/>
  <c r="E1823"/>
  <c r="F1824"/>
  <c r="G1825"/>
  <c r="H1826"/>
  <c r="B1828"/>
  <c r="A1828" s="1"/>
  <c r="I1828" s="1"/>
  <c r="C1829"/>
  <c r="D1830"/>
  <c r="E1831"/>
  <c r="F1832"/>
  <c r="G1833"/>
  <c r="H1834"/>
  <c r="B1836"/>
  <c r="A1836" s="1"/>
  <c r="I1836" s="1"/>
  <c r="C1837"/>
  <c r="D1838"/>
  <c r="E1839"/>
  <c r="F1840"/>
  <c r="G1841"/>
  <c r="H1842"/>
  <c r="B1844"/>
  <c r="A1844" s="1"/>
  <c r="I1844" s="1"/>
  <c r="C1845"/>
  <c r="D1846"/>
  <c r="E1847"/>
  <c r="F1848"/>
  <c r="G1849"/>
  <c r="H1850"/>
  <c r="B1852"/>
  <c r="A1852" s="1"/>
  <c r="I1852" s="1"/>
  <c r="C1853"/>
  <c r="D1854"/>
  <c r="E1855"/>
  <c r="F1856"/>
  <c r="G1857"/>
  <c r="H1858"/>
  <c r="B1860"/>
  <c r="A1860" s="1"/>
  <c r="I1860" s="1"/>
  <c r="C1861"/>
  <c r="D1862"/>
  <c r="E1863"/>
  <c r="F1864"/>
  <c r="G1865"/>
  <c r="H1866"/>
  <c r="B1868"/>
  <c r="A1868" s="1"/>
  <c r="I1868" s="1"/>
  <c r="C1869"/>
  <c r="D1870"/>
  <c r="E1871"/>
  <c r="F1872"/>
  <c r="G1873"/>
  <c r="H1874"/>
  <c r="B1876"/>
  <c r="C1877"/>
  <c r="D1878"/>
  <c r="E1879"/>
  <c r="F1880"/>
  <c r="G1881"/>
  <c r="H1882"/>
  <c r="B1884"/>
  <c r="C1885"/>
  <c r="D1886"/>
  <c r="E1887"/>
  <c r="F1888"/>
  <c r="G1889"/>
  <c r="H1890"/>
  <c r="B1892"/>
  <c r="A1892" s="1"/>
  <c r="I1892" s="1"/>
  <c r="C1893"/>
  <c r="D1894"/>
  <c r="E1895"/>
  <c r="F1896"/>
  <c r="G1897"/>
  <c r="H1898"/>
  <c r="B1900"/>
  <c r="A1900" s="1"/>
  <c r="I1900" s="1"/>
  <c r="C1901"/>
  <c r="D1902"/>
  <c r="E1903"/>
  <c r="F1904"/>
  <c r="G1905"/>
  <c r="H1906"/>
  <c r="B1908"/>
  <c r="A1908" s="1"/>
  <c r="I1908" s="1"/>
  <c r="C1909"/>
  <c r="D1910"/>
  <c r="E1911"/>
  <c r="F1912"/>
  <c r="G1913"/>
  <c r="H1914"/>
  <c r="B1916"/>
  <c r="A1916" s="1"/>
  <c r="I1916" s="1"/>
  <c r="C1917"/>
  <c r="D1918"/>
  <c r="E1919"/>
  <c r="F1920"/>
  <c r="G1921"/>
  <c r="H1922"/>
  <c r="B1924"/>
  <c r="A1924" s="1"/>
  <c r="I1924" s="1"/>
  <c r="C1925"/>
  <c r="D1926"/>
  <c r="E1927"/>
  <c r="F1928"/>
  <c r="G1929"/>
  <c r="H1930"/>
  <c r="B1932"/>
  <c r="A1932" s="1"/>
  <c r="I1932" s="1"/>
  <c r="C1933"/>
  <c r="D1934"/>
  <c r="E1935"/>
  <c r="F1936"/>
  <c r="G1937"/>
  <c r="H1938"/>
  <c r="B1940"/>
  <c r="C1941"/>
  <c r="D1942"/>
  <c r="E1943"/>
  <c r="F1944"/>
  <c r="G1945"/>
  <c r="H1946"/>
  <c r="B1948"/>
  <c r="C1949"/>
  <c r="D1950"/>
  <c r="E1951"/>
  <c r="F1952"/>
  <c r="G1953"/>
  <c r="H1954"/>
  <c r="B1956"/>
  <c r="A1956" s="1"/>
  <c r="I1956" s="1"/>
  <c r="C1957"/>
  <c r="D1958"/>
  <c r="E1959"/>
  <c r="F1960"/>
  <c r="G1961"/>
  <c r="H1962"/>
  <c r="B1964"/>
  <c r="A1964" s="1"/>
  <c r="I1964" s="1"/>
  <c r="C1965"/>
  <c r="D1966"/>
  <c r="E1967"/>
  <c r="F1968"/>
  <c r="G1969"/>
  <c r="H1970"/>
  <c r="B1972"/>
  <c r="A1972" s="1"/>
  <c r="I1972" s="1"/>
  <c r="C1973"/>
  <c r="D1974"/>
  <c r="E1975"/>
  <c r="F1976"/>
  <c r="G1977"/>
  <c r="H1978"/>
  <c r="B1980"/>
  <c r="A1980" s="1"/>
  <c r="I1980" s="1"/>
  <c r="C1981"/>
  <c r="D1982"/>
  <c r="E1983"/>
  <c r="F1984"/>
  <c r="G1985"/>
  <c r="H1986"/>
  <c r="B1988"/>
  <c r="A1988" s="1"/>
  <c r="I1988" s="1"/>
  <c r="C1989"/>
  <c r="D1990"/>
  <c r="E1991"/>
  <c r="F1992"/>
  <c r="G1993"/>
  <c r="H1994"/>
  <c r="B1996"/>
  <c r="A1996" s="1"/>
  <c r="I1996" s="1"/>
  <c r="C1997"/>
  <c r="D1998"/>
  <c r="E1999"/>
  <c r="F2000"/>
  <c r="G2001"/>
  <c r="H2002"/>
  <c r="B2004"/>
  <c r="C2005"/>
  <c r="D2006"/>
  <c r="E2007"/>
  <c r="F2008"/>
  <c r="G2009"/>
  <c r="H2010"/>
  <c r="B2012"/>
  <c r="C2013"/>
  <c r="D2014"/>
  <c r="E2015"/>
  <c r="F2016"/>
  <c r="G2017"/>
  <c r="H2018"/>
  <c r="B2020"/>
  <c r="A2020" s="1"/>
  <c r="I2020" s="1"/>
  <c r="C2021"/>
  <c r="D2022"/>
  <c r="E2023"/>
  <c r="F2024"/>
  <c r="G2025"/>
  <c r="H2026"/>
  <c r="B2028"/>
  <c r="A2028" s="1"/>
  <c r="I2028" s="1"/>
  <c r="C2029"/>
  <c r="D2030"/>
  <c r="E2031"/>
  <c r="F2032"/>
  <c r="G2033"/>
  <c r="H2034"/>
  <c r="B2036"/>
  <c r="A2036" s="1"/>
  <c r="I2036" s="1"/>
  <c r="C2037"/>
  <c r="F33"/>
  <c r="G92"/>
  <c r="D150"/>
  <c r="H203"/>
  <c r="E240"/>
  <c r="C269"/>
  <c r="C293"/>
  <c r="E314"/>
  <c r="D335"/>
  <c r="D356"/>
  <c r="C377"/>
  <c r="E397"/>
  <c r="G413"/>
  <c r="B429"/>
  <c r="A429" s="1"/>
  <c r="I429" s="1"/>
  <c r="G443"/>
  <c r="E458"/>
  <c r="C473"/>
  <c r="C486"/>
  <c r="F496"/>
  <c r="C507"/>
  <c r="F517"/>
  <c r="B528"/>
  <c r="A528" s="1"/>
  <c r="I528" s="1"/>
  <c r="E538"/>
  <c r="H548"/>
  <c r="D559"/>
  <c r="G569"/>
  <c r="D580"/>
  <c r="F588"/>
  <c r="E594"/>
  <c r="E600"/>
  <c r="D606"/>
  <c r="E612"/>
  <c r="E618"/>
  <c r="D624"/>
  <c r="D630"/>
  <c r="D636"/>
  <c r="D642"/>
  <c r="C648"/>
  <c r="C654"/>
  <c r="D660"/>
  <c r="C666"/>
  <c r="C672"/>
  <c r="B678"/>
  <c r="H683"/>
  <c r="B689"/>
  <c r="A689" s="1"/>
  <c r="I689" s="1"/>
  <c r="D694"/>
  <c r="F699"/>
  <c r="G704"/>
  <c r="B710"/>
  <c r="A710" s="1"/>
  <c r="I710" s="1"/>
  <c r="C715"/>
  <c r="E720"/>
  <c r="F725"/>
  <c r="H730"/>
  <c r="C736"/>
  <c r="D741"/>
  <c r="F746"/>
  <c r="G751"/>
  <c r="B757"/>
  <c r="C762"/>
  <c r="E767"/>
  <c r="G772"/>
  <c r="H777"/>
  <c r="C783"/>
  <c r="D788"/>
  <c r="F793"/>
  <c r="G798"/>
  <c r="B804"/>
  <c r="D809"/>
  <c r="E814"/>
  <c r="G819"/>
  <c r="H824"/>
  <c r="C830"/>
  <c r="D835"/>
  <c r="F840"/>
  <c r="H845"/>
  <c r="B851"/>
  <c r="A851" s="1"/>
  <c r="I851" s="1"/>
  <c r="D856"/>
  <c r="E861"/>
  <c r="G866"/>
  <c r="H871"/>
  <c r="C877"/>
  <c r="E882"/>
  <c r="F887"/>
  <c r="H892"/>
  <c r="B898"/>
  <c r="A898" s="1"/>
  <c r="I898" s="1"/>
  <c r="D903"/>
  <c r="E908"/>
  <c r="G913"/>
  <c r="B919"/>
  <c r="A919" s="1"/>
  <c r="I919" s="1"/>
  <c r="C924"/>
  <c r="E929"/>
  <c r="F934"/>
  <c r="D939"/>
  <c r="H943"/>
  <c r="E948"/>
  <c r="B953"/>
  <c r="A953" s="1"/>
  <c r="I953" s="1"/>
  <c r="F957"/>
  <c r="C962"/>
  <c r="G966"/>
  <c r="D971"/>
  <c r="H975"/>
  <c r="E980"/>
  <c r="B985"/>
  <c r="A985" s="1"/>
  <c r="I985" s="1"/>
  <c r="F989"/>
  <c r="C994"/>
  <c r="G998"/>
  <c r="D1003"/>
  <c r="H1007"/>
  <c r="E1012"/>
  <c r="B1017"/>
  <c r="A1017" s="1"/>
  <c r="I1017" s="1"/>
  <c r="F1021"/>
  <c r="C1026"/>
  <c r="G1030"/>
  <c r="D1035"/>
  <c r="H1039"/>
  <c r="E1044"/>
  <c r="B1049"/>
  <c r="A1049" s="1"/>
  <c r="I1049" s="1"/>
  <c r="F1053"/>
  <c r="C1058"/>
  <c r="G1062"/>
  <c r="D1067"/>
  <c r="H1071"/>
  <c r="E1076"/>
  <c r="B1081"/>
  <c r="A1081" s="1"/>
  <c r="I1081" s="1"/>
  <c r="F1085"/>
  <c r="C1090"/>
  <c r="G1094"/>
  <c r="D1099"/>
  <c r="B1103"/>
  <c r="A1103" s="1"/>
  <c r="I1103" s="1"/>
  <c r="F1105"/>
  <c r="C1108"/>
  <c r="G1110"/>
  <c r="E1113"/>
  <c r="B1116"/>
  <c r="A1116" s="1"/>
  <c r="I1116" s="1"/>
  <c r="F1118"/>
  <c r="D1121"/>
  <c r="H1123"/>
  <c r="E1126"/>
  <c r="B1129"/>
  <c r="G1131"/>
  <c r="D1134"/>
  <c r="H1136"/>
  <c r="F1139"/>
  <c r="C1142"/>
  <c r="G1144"/>
  <c r="D1147"/>
  <c r="B1150"/>
  <c r="F1152"/>
  <c r="C1155"/>
  <c r="H1157"/>
  <c r="E1160"/>
  <c r="B1163"/>
  <c r="A1163" s="1"/>
  <c r="I1163" s="1"/>
  <c r="F1165"/>
  <c r="D1168"/>
  <c r="H1170"/>
  <c r="E1173"/>
  <c r="C1176"/>
  <c r="G1178"/>
  <c r="D1181"/>
  <c r="H1183"/>
  <c r="F1186"/>
  <c r="C1189"/>
  <c r="G1191"/>
  <c r="E1194"/>
  <c r="B1197"/>
  <c r="A1197" s="1"/>
  <c r="I1197" s="1"/>
  <c r="F1199"/>
  <c r="C1202"/>
  <c r="H1204"/>
  <c r="E1207"/>
  <c r="B1210"/>
  <c r="G1212"/>
  <c r="D1215"/>
  <c r="H1217"/>
  <c r="E1220"/>
  <c r="C1223"/>
  <c r="G1225"/>
  <c r="D1228"/>
  <c r="B1231"/>
  <c r="F1233"/>
  <c r="C1236"/>
  <c r="G1238"/>
  <c r="E1241"/>
  <c r="B1244"/>
  <c r="A1244" s="1"/>
  <c r="I1244" s="1"/>
  <c r="F1246"/>
  <c r="D1249"/>
  <c r="H1251"/>
  <c r="E1254"/>
  <c r="B1257"/>
  <c r="A1257" s="1"/>
  <c r="I1257" s="1"/>
  <c r="G1259"/>
  <c r="D1262"/>
  <c r="H1264"/>
  <c r="F1267"/>
  <c r="C1270"/>
  <c r="G1272"/>
  <c r="D1275"/>
  <c r="B1278"/>
  <c r="A1278" s="1"/>
  <c r="I1278" s="1"/>
  <c r="F1280"/>
  <c r="C1283"/>
  <c r="H1285"/>
  <c r="E1288"/>
  <c r="B1291"/>
  <c r="A1291" s="1"/>
  <c r="I1291" s="1"/>
  <c r="F1293"/>
  <c r="D1296"/>
  <c r="H1298"/>
  <c r="E1301"/>
  <c r="C1304"/>
  <c r="G1306"/>
  <c r="D1309"/>
  <c r="H1311"/>
  <c r="F1314"/>
  <c r="C1317"/>
  <c r="G1319"/>
  <c r="E1322"/>
  <c r="B1325"/>
  <c r="A1325" s="1"/>
  <c r="I1325" s="1"/>
  <c r="F1327"/>
  <c r="C1330"/>
  <c r="H1332"/>
  <c r="E1335"/>
  <c r="B1338"/>
  <c r="G1340"/>
  <c r="D1343"/>
  <c r="H1345"/>
  <c r="E1348"/>
  <c r="C1351"/>
  <c r="G1353"/>
  <c r="D1356"/>
  <c r="B1359"/>
  <c r="F1361"/>
  <c r="C1364"/>
  <c r="G1366"/>
  <c r="E1369"/>
  <c r="B1372"/>
  <c r="A1372" s="1"/>
  <c r="I1372" s="1"/>
  <c r="F1374"/>
  <c r="D1377"/>
  <c r="H1379"/>
  <c r="E1382"/>
  <c r="B1385"/>
  <c r="A1385" s="1"/>
  <c r="I1385" s="1"/>
  <c r="G1387"/>
  <c r="D1390"/>
  <c r="H1392"/>
  <c r="F1395"/>
  <c r="C1398"/>
  <c r="G1400"/>
  <c r="D1403"/>
  <c r="B1406"/>
  <c r="A1406" s="1"/>
  <c r="I1406" s="1"/>
  <c r="F1408"/>
  <c r="C1411"/>
  <c r="H1413"/>
  <c r="E1416"/>
  <c r="B1419"/>
  <c r="F1421"/>
  <c r="D1424"/>
  <c r="H1426"/>
  <c r="E1429"/>
  <c r="C1432"/>
  <c r="G1434"/>
  <c r="D1437"/>
  <c r="H1439"/>
  <c r="F1442"/>
  <c r="C1445"/>
  <c r="G1447"/>
  <c r="E1450"/>
  <c r="B1453"/>
  <c r="A1453" s="1"/>
  <c r="I1453" s="1"/>
  <c r="F1455"/>
  <c r="C1458"/>
  <c r="H1460"/>
  <c r="E1463"/>
  <c r="B1466"/>
  <c r="A1466" s="1"/>
  <c r="I1466" s="1"/>
  <c r="G1468"/>
  <c r="D1471"/>
  <c r="H1473"/>
  <c r="E1476"/>
  <c r="C1479"/>
  <c r="G1481"/>
  <c r="D1484"/>
  <c r="B1487"/>
  <c r="A1487" s="1"/>
  <c r="I1487" s="1"/>
  <c r="F1489"/>
  <c r="C1492"/>
  <c r="G1494"/>
  <c r="E1497"/>
  <c r="B1500"/>
  <c r="A1500" s="1"/>
  <c r="I1500" s="1"/>
  <c r="F1502"/>
  <c r="D1505"/>
  <c r="H1507"/>
  <c r="E1510"/>
  <c r="D1512"/>
  <c r="G1513"/>
  <c r="C1515"/>
  <c r="G1516"/>
  <c r="C1518"/>
  <c r="F1519"/>
  <c r="D1521"/>
  <c r="G1522"/>
  <c r="C1524"/>
  <c r="F1525"/>
  <c r="C1527"/>
  <c r="F1528"/>
  <c r="B1530"/>
  <c r="G1531"/>
  <c r="C1533"/>
  <c r="F1534"/>
  <c r="C1536"/>
  <c r="F1537"/>
  <c r="B1539"/>
  <c r="A1539" s="1"/>
  <c r="I1539" s="1"/>
  <c r="E1540"/>
  <c r="C1542"/>
  <c r="F1543"/>
  <c r="B1545"/>
  <c r="A1545" s="1"/>
  <c r="I1545" s="1"/>
  <c r="F1546"/>
  <c r="B1548"/>
  <c r="A1548" s="1"/>
  <c r="I1548" s="1"/>
  <c r="E1549"/>
  <c r="B1551"/>
  <c r="A1551" s="1"/>
  <c r="I1551" s="1"/>
  <c r="F1552"/>
  <c r="B1554"/>
  <c r="F1555"/>
  <c r="B1557"/>
  <c r="A1557" s="1"/>
  <c r="I1557" s="1"/>
  <c r="E1558"/>
  <c r="H1559"/>
  <c r="E1561"/>
  <c r="B1563"/>
  <c r="A1563" s="1"/>
  <c r="I1563" s="1"/>
  <c r="E1564"/>
  <c r="B1566"/>
  <c r="E1567"/>
  <c r="H1568"/>
  <c r="E1570"/>
  <c r="H1571"/>
  <c r="D1573"/>
  <c r="F1574"/>
  <c r="H1575"/>
  <c r="C1577"/>
  <c r="E1578"/>
  <c r="G1579"/>
  <c r="B1581"/>
  <c r="A1581" s="1"/>
  <c r="I1581" s="1"/>
  <c r="E1582"/>
  <c r="G1583"/>
  <c r="B1585"/>
  <c r="A1585" s="1"/>
  <c r="I1585" s="1"/>
  <c r="D1586"/>
  <c r="F1587"/>
  <c r="H1588"/>
  <c r="C1590"/>
  <c r="F1591"/>
  <c r="H1592"/>
  <c r="C1594"/>
  <c r="E1595"/>
  <c r="G1596"/>
  <c r="B1598"/>
  <c r="D1599"/>
  <c r="G1600"/>
  <c r="B1602"/>
  <c r="A1602" s="1"/>
  <c r="I1602" s="1"/>
  <c r="D1603"/>
  <c r="F1604"/>
  <c r="H1605"/>
  <c r="C1607"/>
  <c r="E1608"/>
  <c r="H1609"/>
  <c r="C1611"/>
  <c r="E1612"/>
  <c r="G1613"/>
  <c r="B1615"/>
  <c r="A1615" s="1"/>
  <c r="I1615" s="1"/>
  <c r="D1616"/>
  <c r="F1617"/>
  <c r="B1619"/>
  <c r="D1620"/>
  <c r="F1621"/>
  <c r="H1622"/>
  <c r="C1624"/>
  <c r="E1625"/>
  <c r="G1626"/>
  <c r="C1628"/>
  <c r="E1629"/>
  <c r="G1630"/>
  <c r="B1632"/>
  <c r="A1632" s="1"/>
  <c r="I1632" s="1"/>
  <c r="D1633"/>
  <c r="F1634"/>
  <c r="H1635"/>
  <c r="D1637"/>
  <c r="F1638"/>
  <c r="H1639"/>
  <c r="C1641"/>
  <c r="E1642"/>
  <c r="G1643"/>
  <c r="B1645"/>
  <c r="A1645" s="1"/>
  <c r="I1645" s="1"/>
  <c r="E1646"/>
  <c r="G1647"/>
  <c r="B1649"/>
  <c r="A1649" s="1"/>
  <c r="I1649" s="1"/>
  <c r="D1650"/>
  <c r="F1651"/>
  <c r="H1652"/>
  <c r="C1654"/>
  <c r="F1655"/>
  <c r="H1656"/>
  <c r="C1658"/>
  <c r="E1659"/>
  <c r="G1660"/>
  <c r="B1662"/>
  <c r="D1663"/>
  <c r="G1664"/>
  <c r="B1666"/>
  <c r="A1666" s="1"/>
  <c r="I1666" s="1"/>
  <c r="D1667"/>
  <c r="F1668"/>
  <c r="H1669"/>
  <c r="C1671"/>
  <c r="E1672"/>
  <c r="H1673"/>
  <c r="C1675"/>
  <c r="E1676"/>
  <c r="G1677"/>
  <c r="B1679"/>
  <c r="A1679" s="1"/>
  <c r="I1679" s="1"/>
  <c r="D1680"/>
  <c r="F1681"/>
  <c r="B1683"/>
  <c r="D1684"/>
  <c r="F1685"/>
  <c r="H1686"/>
  <c r="C1688"/>
  <c r="E1689"/>
  <c r="G1690"/>
  <c r="C1692"/>
  <c r="E1693"/>
  <c r="G1694"/>
  <c r="B1696"/>
  <c r="A1696" s="1"/>
  <c r="I1696" s="1"/>
  <c r="D1697"/>
  <c r="F1698"/>
  <c r="H1699"/>
  <c r="D1701"/>
  <c r="F1702"/>
  <c r="H1703"/>
  <c r="C1705"/>
  <c r="E1706"/>
  <c r="G1707"/>
  <c r="B1709"/>
  <c r="A1709" s="1"/>
  <c r="I1709" s="1"/>
  <c r="E1710"/>
  <c r="G1711"/>
  <c r="B1713"/>
  <c r="D1714"/>
  <c r="F1715"/>
  <c r="H1716"/>
  <c r="C1718"/>
  <c r="F1719"/>
  <c r="H1720"/>
  <c r="C1722"/>
  <c r="E1723"/>
  <c r="G1724"/>
  <c r="B1726"/>
  <c r="A1726" s="1"/>
  <c r="I1726" s="1"/>
  <c r="D1727"/>
  <c r="G1728"/>
  <c r="B1730"/>
  <c r="A1730" s="1"/>
  <c r="I1730" s="1"/>
  <c r="D1731"/>
  <c r="F1732"/>
  <c r="H1733"/>
  <c r="C1735"/>
  <c r="E1736"/>
  <c r="H1737"/>
  <c r="C1739"/>
  <c r="E1740"/>
  <c r="G1741"/>
  <c r="B1743"/>
  <c r="A1743" s="1"/>
  <c r="I1743" s="1"/>
  <c r="D1744"/>
  <c r="F1745"/>
  <c r="B1747"/>
  <c r="A1747" s="1"/>
  <c r="I1747" s="1"/>
  <c r="D1748"/>
  <c r="F1749"/>
  <c r="H1750"/>
  <c r="C1752"/>
  <c r="E1753"/>
  <c r="G1754"/>
  <c r="C1756"/>
  <c r="E1757"/>
  <c r="G1758"/>
  <c r="B1760"/>
  <c r="A1760" s="1"/>
  <c r="I1760" s="1"/>
  <c r="D1761"/>
  <c r="F1762"/>
  <c r="H1763"/>
  <c r="D1765"/>
  <c r="F1766"/>
  <c r="H1767"/>
  <c r="C1769"/>
  <c r="E1770"/>
  <c r="G1771"/>
  <c r="B1773"/>
  <c r="A1773" s="1"/>
  <c r="I1773" s="1"/>
  <c r="E1774"/>
  <c r="G1775"/>
  <c r="B1777"/>
  <c r="D1778"/>
  <c r="F1779"/>
  <c r="H1780"/>
  <c r="C1782"/>
  <c r="F1783"/>
  <c r="H1784"/>
  <c r="C1786"/>
  <c r="E1787"/>
  <c r="G1788"/>
  <c r="B1790"/>
  <c r="A1790" s="1"/>
  <c r="I1790" s="1"/>
  <c r="D1791"/>
  <c r="G1792"/>
  <c r="B1794"/>
  <c r="A1794" s="1"/>
  <c r="I1794" s="1"/>
  <c r="D1795"/>
  <c r="F1796"/>
  <c r="H1797"/>
  <c r="C1799"/>
  <c r="E1800"/>
  <c r="H1801"/>
  <c r="C1803"/>
  <c r="E1804"/>
  <c r="G1805"/>
  <c r="B1807"/>
  <c r="D1808"/>
  <c r="F1809"/>
  <c r="B1811"/>
  <c r="A1811" s="1"/>
  <c r="I1811" s="1"/>
  <c r="D1812"/>
  <c r="F1813"/>
  <c r="H1814"/>
  <c r="C1816"/>
  <c r="E1817"/>
  <c r="G1818"/>
  <c r="C1820"/>
  <c r="E1821"/>
  <c r="G1822"/>
  <c r="B1824"/>
  <c r="A1824" s="1"/>
  <c r="I1824" s="1"/>
  <c r="D1825"/>
  <c r="F1826"/>
  <c r="H1827"/>
  <c r="D1829"/>
  <c r="F1830"/>
  <c r="H1831"/>
  <c r="C1833"/>
  <c r="E1834"/>
  <c r="G1835"/>
  <c r="B1837"/>
  <c r="A1837" s="1"/>
  <c r="I1837" s="1"/>
  <c r="E1838"/>
  <c r="G1839"/>
  <c r="B1841"/>
  <c r="A1841" s="1"/>
  <c r="I1841" s="1"/>
  <c r="D1842"/>
  <c r="F1843"/>
  <c r="H1844"/>
  <c r="C1846"/>
  <c r="F1847"/>
  <c r="H1848"/>
  <c r="C1850"/>
  <c r="E1851"/>
  <c r="G1852"/>
  <c r="B1854"/>
  <c r="A1854" s="1"/>
  <c r="I1854" s="1"/>
  <c r="D1855"/>
  <c r="G1856"/>
  <c r="B1858"/>
  <c r="A1858" s="1"/>
  <c r="I1858" s="1"/>
  <c r="D1859"/>
  <c r="F1860"/>
  <c r="H1861"/>
  <c r="C1863"/>
  <c r="E1864"/>
  <c r="H1865"/>
  <c r="C1867"/>
  <c r="E1868"/>
  <c r="G1869"/>
  <c r="B1871"/>
  <c r="D1872"/>
  <c r="F1873"/>
  <c r="B1875"/>
  <c r="A1875" s="1"/>
  <c r="I1875" s="1"/>
  <c r="D1876"/>
  <c r="F1877"/>
  <c r="H1878"/>
  <c r="C1880"/>
  <c r="E1881"/>
  <c r="G1882"/>
  <c r="C1884"/>
  <c r="E1885"/>
  <c r="G1886"/>
  <c r="B1888"/>
  <c r="A1888" s="1"/>
  <c r="I1888" s="1"/>
  <c r="D1889"/>
  <c r="F1890"/>
  <c r="H1891"/>
  <c r="D1893"/>
  <c r="F1894"/>
  <c r="H1895"/>
  <c r="C1897"/>
  <c r="E1898"/>
  <c r="G1899"/>
  <c r="B1901"/>
  <c r="E1902"/>
  <c r="G1903"/>
  <c r="B1905"/>
  <c r="A1905" s="1"/>
  <c r="I1905" s="1"/>
  <c r="D1906"/>
  <c r="F1907"/>
  <c r="H1908"/>
  <c r="C1910"/>
  <c r="F1911"/>
  <c r="H1912"/>
  <c r="C1914"/>
  <c r="E1915"/>
  <c r="G1916"/>
  <c r="B1918"/>
  <c r="A1918" s="1"/>
  <c r="I1918" s="1"/>
  <c r="D1919"/>
  <c r="G1920"/>
  <c r="B1922"/>
  <c r="D1923"/>
  <c r="F1924"/>
  <c r="H1925"/>
  <c r="C1927"/>
  <c r="E1928"/>
  <c r="H1929"/>
  <c r="C1931"/>
  <c r="E1932"/>
  <c r="G1933"/>
  <c r="B1935"/>
  <c r="A1935" s="1"/>
  <c r="I1935" s="1"/>
  <c r="D1936"/>
  <c r="F1937"/>
  <c r="B1939"/>
  <c r="A1939" s="1"/>
  <c r="I1939" s="1"/>
  <c r="D1940"/>
  <c r="F1941"/>
  <c r="H1942"/>
  <c r="C1944"/>
  <c r="E1945"/>
  <c r="G1946"/>
  <c r="C1948"/>
  <c r="E1949"/>
  <c r="G1950"/>
  <c r="B1952"/>
  <c r="A1952" s="1"/>
  <c r="I1952" s="1"/>
  <c r="D1953"/>
  <c r="F1954"/>
  <c r="H1955"/>
  <c r="D1957"/>
  <c r="F1958"/>
  <c r="H1959"/>
  <c r="C1961"/>
  <c r="E1962"/>
  <c r="G1963"/>
  <c r="B1965"/>
  <c r="E1966"/>
  <c r="G1967"/>
  <c r="B1969"/>
  <c r="A1969" s="1"/>
  <c r="I1969" s="1"/>
  <c r="D1970"/>
  <c r="F1971"/>
  <c r="H1972"/>
  <c r="C1974"/>
  <c r="F1975"/>
  <c r="H1976"/>
  <c r="C1978"/>
  <c r="E1979"/>
  <c r="G1980"/>
  <c r="B1982"/>
  <c r="A1982" s="1"/>
  <c r="I1982" s="1"/>
  <c r="D1983"/>
  <c r="G1984"/>
  <c r="B1986"/>
  <c r="D1987"/>
  <c r="F1988"/>
  <c r="H1989"/>
  <c r="C1991"/>
  <c r="E1992"/>
  <c r="H1993"/>
  <c r="C1995"/>
  <c r="E1996"/>
  <c r="G1997"/>
  <c r="B1999"/>
  <c r="A1999" s="1"/>
  <c r="I1999" s="1"/>
  <c r="D2000"/>
  <c r="F2001"/>
  <c r="B2003"/>
  <c r="A2003" s="1"/>
  <c r="I2003" s="1"/>
  <c r="D2004"/>
  <c r="F2005"/>
  <c r="H2006"/>
  <c r="C2008"/>
  <c r="E2009"/>
  <c r="G2010"/>
  <c r="C2012"/>
  <c r="E2013"/>
  <c r="G2014"/>
  <c r="B2016"/>
  <c r="D2017"/>
  <c r="F2018"/>
  <c r="H2019"/>
  <c r="D2021"/>
  <c r="F2022"/>
  <c r="H2023"/>
  <c r="C2025"/>
  <c r="E2026"/>
  <c r="G2027"/>
  <c r="B2029"/>
  <c r="A2029" s="1"/>
  <c r="I2029" s="1"/>
  <c r="E2030"/>
  <c r="G2031"/>
  <c r="B2033"/>
  <c r="A2033" s="1"/>
  <c r="I2033" s="1"/>
  <c r="D2034"/>
  <c r="F2035"/>
  <c r="H2036"/>
  <c r="C2038"/>
  <c r="D2039"/>
  <c r="E2040"/>
  <c r="F2041"/>
  <c r="G2042"/>
  <c r="H2043"/>
  <c r="B2045"/>
  <c r="A2045" s="1"/>
  <c r="I2045" s="1"/>
  <c r="C2046"/>
  <c r="D2047"/>
  <c r="E2048"/>
  <c r="F2049"/>
  <c r="G2050"/>
  <c r="H2051"/>
  <c r="B2053"/>
  <c r="A2053" s="1"/>
  <c r="I2053" s="1"/>
  <c r="C2054"/>
  <c r="D2055"/>
  <c r="E2056"/>
  <c r="F2057"/>
  <c r="G2058"/>
  <c r="H2059"/>
  <c r="B2061"/>
  <c r="A2061" s="1"/>
  <c r="I2061" s="1"/>
  <c r="C2062"/>
  <c r="D2063"/>
  <c r="E2064"/>
  <c r="F2065"/>
  <c r="G2066"/>
  <c r="H2067"/>
  <c r="B2069"/>
  <c r="A2069" s="1"/>
  <c r="I2069" s="1"/>
  <c r="C2070"/>
  <c r="D2071"/>
  <c r="E2072"/>
  <c r="F2073"/>
  <c r="G2074"/>
  <c r="H2075"/>
  <c r="B2077"/>
  <c r="A2077" s="1"/>
  <c r="I2077" s="1"/>
  <c r="C2078"/>
  <c r="D2079"/>
  <c r="E2080"/>
  <c r="F2081"/>
  <c r="G2082"/>
  <c r="H2083"/>
  <c r="B2085"/>
  <c r="A2085" s="1"/>
  <c r="I2085" s="1"/>
  <c r="C2086"/>
  <c r="D2087"/>
  <c r="E2088"/>
  <c r="F2089"/>
  <c r="G2090"/>
  <c r="H2091"/>
  <c r="B2093"/>
  <c r="C2094"/>
  <c r="D2095"/>
  <c r="E2096"/>
  <c r="F2097"/>
  <c r="G2098"/>
  <c r="H2099"/>
  <c r="B2101"/>
  <c r="C2102"/>
  <c r="D2103"/>
  <c r="E2104"/>
  <c r="F2105"/>
  <c r="G2106"/>
  <c r="H2107"/>
  <c r="B2109"/>
  <c r="A2109" s="1"/>
  <c r="I2109" s="1"/>
  <c r="C2110"/>
  <c r="D2111"/>
  <c r="E2112"/>
  <c r="F2113"/>
  <c r="G2114"/>
  <c r="H2115"/>
  <c r="B2117"/>
  <c r="A2117" s="1"/>
  <c r="I2117" s="1"/>
  <c r="C2118"/>
  <c r="D2119"/>
  <c r="E2120"/>
  <c r="F2121"/>
  <c r="G2122"/>
  <c r="H2123"/>
  <c r="B2125"/>
  <c r="A2125" s="1"/>
  <c r="I2125" s="1"/>
  <c r="C2126"/>
  <c r="D2127"/>
  <c r="E2128"/>
  <c r="F2129"/>
  <c r="G2130"/>
  <c r="H2131"/>
  <c r="B2133"/>
  <c r="A2133" s="1"/>
  <c r="I2133" s="1"/>
  <c r="C2134"/>
  <c r="D2135"/>
  <c r="E2136"/>
  <c r="F2137"/>
  <c r="G2138"/>
  <c r="H2139"/>
  <c r="B2141"/>
  <c r="A2141" s="1"/>
  <c r="I2141" s="1"/>
  <c r="C2142"/>
  <c r="D2143"/>
  <c r="E2144"/>
  <c r="F2145"/>
  <c r="G2146"/>
  <c r="H2147"/>
  <c r="B2149"/>
  <c r="A2149" s="1"/>
  <c r="I2149" s="1"/>
  <c r="C2150"/>
  <c r="D2151"/>
  <c r="E2152"/>
  <c r="F2153"/>
  <c r="G2154"/>
  <c r="H2155"/>
  <c r="B2157"/>
  <c r="C2158"/>
  <c r="D2159"/>
  <c r="E2160"/>
  <c r="F2161"/>
  <c r="G2162"/>
  <c r="H2163"/>
  <c r="B2165"/>
  <c r="C2166"/>
  <c r="D2167"/>
  <c r="E2168"/>
  <c r="F2169"/>
  <c r="G2170"/>
  <c r="H2171"/>
  <c r="B2173"/>
  <c r="A2173" s="1"/>
  <c r="I2173" s="1"/>
  <c r="C2174"/>
  <c r="D2175"/>
  <c r="E2176"/>
  <c r="F2177"/>
  <c r="G2178"/>
  <c r="H2179"/>
  <c r="B2181"/>
  <c r="A2181" s="1"/>
  <c r="I2181" s="1"/>
  <c r="C2182"/>
  <c r="D2183"/>
  <c r="E2184"/>
  <c r="F2185"/>
  <c r="G2186"/>
  <c r="H2187"/>
  <c r="B2189"/>
  <c r="A2189" s="1"/>
  <c r="I2189" s="1"/>
  <c r="C2190"/>
  <c r="D2191"/>
  <c r="E2192"/>
  <c r="F2193"/>
  <c r="G2194"/>
  <c r="H2195"/>
  <c r="B2197"/>
  <c r="A2197" s="1"/>
  <c r="I2197" s="1"/>
  <c r="C2198"/>
  <c r="D2199"/>
  <c r="E2200"/>
  <c r="F2201"/>
  <c r="G2202"/>
  <c r="H2203"/>
  <c r="B2205"/>
  <c r="A2205" s="1"/>
  <c r="I2205" s="1"/>
  <c r="C2206"/>
  <c r="D2207"/>
  <c r="E2208"/>
  <c r="F2209"/>
  <c r="G2210"/>
  <c r="H2211"/>
  <c r="B2213"/>
  <c r="A2213" s="1"/>
  <c r="I2213" s="1"/>
  <c r="C2214"/>
  <c r="D2215"/>
  <c r="E2216"/>
  <c r="F2217"/>
  <c r="G2218"/>
  <c r="H2219"/>
  <c r="B2221"/>
  <c r="C2222"/>
  <c r="D2223"/>
  <c r="E2224"/>
  <c r="F2225"/>
  <c r="G2226"/>
  <c r="H2227"/>
  <c r="B2229"/>
  <c r="C2230"/>
  <c r="D2231"/>
  <c r="E2232"/>
  <c r="F2233"/>
  <c r="G2234"/>
  <c r="H2235"/>
  <c r="B2237"/>
  <c r="A2237" s="1"/>
  <c r="I2237" s="1"/>
  <c r="C2238"/>
  <c r="D2239"/>
  <c r="E2240"/>
  <c r="F2241"/>
  <c r="G2242"/>
  <c r="H2243"/>
  <c r="B2245"/>
  <c r="A2245" s="1"/>
  <c r="I2245" s="1"/>
  <c r="C2246"/>
  <c r="D2247"/>
  <c r="E2248"/>
  <c r="F2249"/>
  <c r="G2250"/>
  <c r="H2251"/>
  <c r="B2253"/>
  <c r="A2253" s="1"/>
  <c r="I2253" s="1"/>
  <c r="C2254"/>
  <c r="D2255"/>
  <c r="E2256"/>
  <c r="F2257"/>
  <c r="G2258"/>
  <c r="H2259"/>
  <c r="B2261"/>
  <c r="A2261" s="1"/>
  <c r="I2261" s="1"/>
  <c r="C2262"/>
  <c r="D2263"/>
  <c r="E2264"/>
  <c r="F2265"/>
  <c r="G2266"/>
  <c r="H2267"/>
  <c r="B2269"/>
  <c r="A2269" s="1"/>
  <c r="I2269" s="1"/>
  <c r="C2270"/>
  <c r="D2271"/>
  <c r="E2272"/>
  <c r="F2273"/>
  <c r="G2274"/>
  <c r="H2275"/>
  <c r="B2277"/>
  <c r="A2277" s="1"/>
  <c r="I2277" s="1"/>
  <c r="C2278"/>
  <c r="D2279"/>
  <c r="E2280"/>
  <c r="F2281"/>
  <c r="G2282"/>
  <c r="H2283"/>
  <c r="B2285"/>
  <c r="C2286"/>
  <c r="D2287"/>
  <c r="E2288"/>
  <c r="F2289"/>
  <c r="G2290"/>
  <c r="H2291"/>
  <c r="B2293"/>
  <c r="C2294"/>
  <c r="D2295"/>
  <c r="E2296"/>
  <c r="F2297"/>
  <c r="G2298"/>
  <c r="H2299"/>
  <c r="B2301"/>
  <c r="A2301" s="1"/>
  <c r="I2301" s="1"/>
  <c r="C2302"/>
  <c r="D2303"/>
  <c r="E2304"/>
  <c r="F2305"/>
  <c r="G2306"/>
  <c r="H2307"/>
  <c r="B2309"/>
  <c r="A2309" s="1"/>
  <c r="I2309" s="1"/>
  <c r="C2310"/>
  <c r="D2311"/>
  <c r="E2312"/>
  <c r="F2313"/>
  <c r="G2314"/>
  <c r="H2315"/>
  <c r="B2317"/>
  <c r="A2317" s="1"/>
  <c r="I2317" s="1"/>
  <c r="C2318"/>
  <c r="D2319"/>
  <c r="E2320"/>
  <c r="F2321"/>
  <c r="G2322"/>
  <c r="H2323"/>
  <c r="B2325"/>
  <c r="A2325" s="1"/>
  <c r="I2325" s="1"/>
  <c r="C2326"/>
  <c r="D2327"/>
  <c r="E2328"/>
  <c r="F2329"/>
  <c r="G2330"/>
  <c r="H2331"/>
  <c r="B2333"/>
  <c r="A2333" s="1"/>
  <c r="I2333" s="1"/>
  <c r="C2334"/>
  <c r="D2335"/>
  <c r="E2336"/>
  <c r="F2337"/>
  <c r="G2338"/>
  <c r="H2339"/>
  <c r="B2341"/>
  <c r="A2341" s="1"/>
  <c r="I2341" s="1"/>
  <c r="C2342"/>
  <c r="D2343"/>
  <c r="E2344"/>
  <c r="F2345"/>
  <c r="G2346"/>
  <c r="H2347"/>
  <c r="B2349"/>
  <c r="C2350"/>
  <c r="D2351"/>
  <c r="E2352"/>
  <c r="F2353"/>
  <c r="G2354"/>
  <c r="H2355"/>
  <c r="B2357"/>
  <c r="C2358"/>
  <c r="D2359"/>
  <c r="E2360"/>
  <c r="F2361"/>
  <c r="G2362"/>
  <c r="H2363"/>
  <c r="B2365"/>
  <c r="A2365" s="1"/>
  <c r="I2365" s="1"/>
  <c r="C2366"/>
  <c r="D2367"/>
  <c r="E2368"/>
  <c r="F2369"/>
  <c r="G2370"/>
  <c r="H2371"/>
  <c r="B2373"/>
  <c r="A2373" s="1"/>
  <c r="I2373" s="1"/>
  <c r="C2374"/>
  <c r="D2375"/>
  <c r="E2376"/>
  <c r="F2377"/>
  <c r="G2378"/>
  <c r="H2379"/>
  <c r="B2381"/>
  <c r="A2381" s="1"/>
  <c r="I2381" s="1"/>
  <c r="C2382"/>
  <c r="D2383"/>
  <c r="E2384"/>
  <c r="F2385"/>
  <c r="G2386"/>
  <c r="H2387"/>
  <c r="B2389"/>
  <c r="A2389" s="1"/>
  <c r="I2389" s="1"/>
  <c r="C2390"/>
  <c r="D2391"/>
  <c r="E2392"/>
  <c r="F2393"/>
  <c r="G2394"/>
  <c r="H2395"/>
  <c r="B2397"/>
  <c r="A2397" s="1"/>
  <c r="I2397" s="1"/>
  <c r="C2398"/>
  <c r="D2399"/>
  <c r="E2400"/>
  <c r="F2401"/>
  <c r="G2402"/>
  <c r="H2403"/>
  <c r="B2405"/>
  <c r="A2405" s="1"/>
  <c r="I2405" s="1"/>
  <c r="C2406"/>
  <c r="D2407"/>
  <c r="E2408"/>
  <c r="F2409"/>
  <c r="G2410"/>
  <c r="H2411"/>
  <c r="B2413"/>
  <c r="C2414"/>
  <c r="D2415"/>
  <c r="E2416"/>
  <c r="F2417"/>
  <c r="G2418"/>
  <c r="H2419"/>
  <c r="B2421"/>
  <c r="C2422"/>
  <c r="D2423"/>
  <c r="E2424"/>
  <c r="F2425"/>
  <c r="G2426"/>
  <c r="H2427"/>
  <c r="E33"/>
  <c r="G91"/>
  <c r="C150"/>
  <c r="G203"/>
  <c r="D240"/>
  <c r="B269"/>
  <c r="A269" s="1"/>
  <c r="I269" s="1"/>
  <c r="B293"/>
  <c r="A293" s="1"/>
  <c r="I293" s="1"/>
  <c r="D314"/>
  <c r="C335"/>
  <c r="B356"/>
  <c r="B377"/>
  <c r="G396"/>
  <c r="F413"/>
  <c r="H428"/>
  <c r="F443"/>
  <c r="D458"/>
  <c r="F472"/>
  <c r="B486"/>
  <c r="E496"/>
  <c r="H506"/>
  <c r="E517"/>
  <c r="H527"/>
  <c r="D538"/>
  <c r="G548"/>
  <c r="C559"/>
  <c r="F569"/>
  <c r="B580"/>
  <c r="E588"/>
  <c r="D594"/>
  <c r="D600"/>
  <c r="C606"/>
  <c r="D612"/>
  <c r="C618"/>
  <c r="C624"/>
  <c r="C630"/>
  <c r="B636"/>
  <c r="A636" s="1"/>
  <c r="I636" s="1"/>
  <c r="C642"/>
  <c r="B648"/>
  <c r="A648" s="1"/>
  <c r="I648" s="1"/>
  <c r="B654"/>
  <c r="A654" s="1"/>
  <c r="I654" s="1"/>
  <c r="H659"/>
  <c r="B666"/>
  <c r="A666" s="1"/>
  <c r="I666" s="1"/>
  <c r="B672"/>
  <c r="H677"/>
  <c r="G683"/>
  <c r="H688"/>
  <c r="C694"/>
  <c r="D699"/>
  <c r="F704"/>
  <c r="H709"/>
  <c r="B715"/>
  <c r="D720"/>
  <c r="E725"/>
  <c r="G730"/>
  <c r="H735"/>
  <c r="C741"/>
  <c r="E746"/>
  <c r="F751"/>
  <c r="H756"/>
  <c r="B762"/>
  <c r="D767"/>
  <c r="E772"/>
  <c r="G777"/>
  <c r="B783"/>
  <c r="A783" s="1"/>
  <c r="I783" s="1"/>
  <c r="C788"/>
  <c r="E793"/>
  <c r="F798"/>
  <c r="H803"/>
  <c r="B809"/>
  <c r="A809" s="1"/>
  <c r="I809" s="1"/>
  <c r="D814"/>
  <c r="F819"/>
  <c r="G824"/>
  <c r="B830"/>
  <c r="A830" s="1"/>
  <c r="I830" s="1"/>
  <c r="C835"/>
  <c r="E840"/>
  <c r="F845"/>
  <c r="H850"/>
  <c r="C856"/>
  <c r="D861"/>
  <c r="F866"/>
  <c r="G871"/>
  <c r="B877"/>
  <c r="A877" s="1"/>
  <c r="I877" s="1"/>
  <c r="C882"/>
  <c r="E887"/>
  <c r="G892"/>
  <c r="H897"/>
  <c r="C903"/>
  <c r="D908"/>
  <c r="F913"/>
  <c r="G918"/>
  <c r="B924"/>
  <c r="D929"/>
  <c r="E934"/>
  <c r="C939"/>
  <c r="G943"/>
  <c r="D948"/>
  <c r="H952"/>
  <c r="E957"/>
  <c r="B962"/>
  <c r="F966"/>
  <c r="C971"/>
  <c r="G975"/>
  <c r="D980"/>
  <c r="H984"/>
  <c r="E989"/>
  <c r="B994"/>
  <c r="A994" s="1"/>
  <c r="I994" s="1"/>
  <c r="F998"/>
  <c r="C1003"/>
  <c r="G1007"/>
  <c r="D1012"/>
  <c r="H1016"/>
  <c r="E1021"/>
  <c r="B1026"/>
  <c r="A1026" s="1"/>
  <c r="I1026" s="1"/>
  <c r="F1030"/>
  <c r="C1035"/>
  <c r="G1039"/>
  <c r="D1044"/>
  <c r="H1048"/>
  <c r="E1053"/>
  <c r="B1058"/>
  <c r="A1058" s="1"/>
  <c r="I1058" s="1"/>
  <c r="F1062"/>
  <c r="C1067"/>
  <c r="G1071"/>
  <c r="D1076"/>
  <c r="H1080"/>
  <c r="E1085"/>
  <c r="B1090"/>
  <c r="A1090" s="1"/>
  <c r="I1090" s="1"/>
  <c r="F1094"/>
  <c r="C1099"/>
  <c r="G1102"/>
  <c r="E1105"/>
  <c r="B1108"/>
  <c r="F1110"/>
  <c r="D1113"/>
  <c r="H1115"/>
  <c r="E1118"/>
  <c r="B1121"/>
  <c r="A1121" s="1"/>
  <c r="I1121" s="1"/>
  <c r="G1123"/>
  <c r="D1126"/>
  <c r="H1128"/>
  <c r="F1131"/>
  <c r="C1134"/>
  <c r="G1136"/>
  <c r="D1139"/>
  <c r="B1142"/>
  <c r="A1142" s="1"/>
  <c r="I1142" s="1"/>
  <c r="F1144"/>
  <c r="C1147"/>
  <c r="H1149"/>
  <c r="E1152"/>
  <c r="B1155"/>
  <c r="A1155" s="1"/>
  <c r="I1155" s="1"/>
  <c r="F1157"/>
  <c r="D1160"/>
  <c r="H1162"/>
  <c r="E1165"/>
  <c r="C1168"/>
  <c r="G1170"/>
  <c r="D1173"/>
  <c r="H1175"/>
  <c r="F1178"/>
  <c r="C1181"/>
  <c r="G1183"/>
  <c r="E1186"/>
  <c r="B1189"/>
  <c r="F1191"/>
  <c r="C1194"/>
  <c r="H1196"/>
  <c r="E1199"/>
  <c r="B1202"/>
  <c r="A1202" s="1"/>
  <c r="I1202" s="1"/>
  <c r="G1204"/>
  <c r="D1207"/>
  <c r="H1209"/>
  <c r="E1212"/>
  <c r="C1215"/>
  <c r="G1217"/>
  <c r="D1220"/>
  <c r="B1223"/>
  <c r="A1223" s="1"/>
  <c r="I1223" s="1"/>
  <c r="F1225"/>
  <c r="C1228"/>
  <c r="G1230"/>
  <c r="E1233"/>
  <c r="B1236"/>
  <c r="A1236" s="1"/>
  <c r="I1236" s="1"/>
  <c r="F1238"/>
  <c r="D1241"/>
  <c r="H1243"/>
  <c r="E1246"/>
  <c r="B1249"/>
  <c r="A1249" s="1"/>
  <c r="I1249" s="1"/>
  <c r="G1251"/>
  <c r="D1254"/>
  <c r="H1256"/>
  <c r="F1259"/>
  <c r="C1262"/>
  <c r="G1264"/>
  <c r="D1267"/>
  <c r="B1270"/>
  <c r="A1270" s="1"/>
  <c r="I1270" s="1"/>
  <c r="F1272"/>
  <c r="C1275"/>
  <c r="H1277"/>
  <c r="E1280"/>
  <c r="B1283"/>
  <c r="A1283" s="1"/>
  <c r="I1283" s="1"/>
  <c r="F1285"/>
  <c r="D1288"/>
  <c r="H1290"/>
  <c r="E1293"/>
  <c r="C1296"/>
  <c r="G1298"/>
  <c r="D1301"/>
  <c r="H1303"/>
  <c r="F1306"/>
  <c r="C1309"/>
  <c r="G1311"/>
  <c r="E1314"/>
  <c r="B1317"/>
  <c r="F1319"/>
  <c r="C1322"/>
  <c r="H1324"/>
  <c r="E1327"/>
  <c r="B1330"/>
  <c r="A1330" s="1"/>
  <c r="I1330" s="1"/>
  <c r="G1332"/>
  <c r="D1335"/>
  <c r="H1337"/>
  <c r="E1340"/>
  <c r="C1343"/>
  <c r="G1345"/>
  <c r="D1348"/>
  <c r="B1351"/>
  <c r="A1351" s="1"/>
  <c r="I1351" s="1"/>
  <c r="F1353"/>
  <c r="C1356"/>
  <c r="G1358"/>
  <c r="E1361"/>
  <c r="B1364"/>
  <c r="A1364" s="1"/>
  <c r="I1364" s="1"/>
  <c r="F1366"/>
  <c r="D1369"/>
  <c r="H1371"/>
  <c r="E1374"/>
  <c r="B1377"/>
  <c r="G1379"/>
  <c r="D1382"/>
  <c r="H1384"/>
  <c r="F1387"/>
  <c r="C1390"/>
  <c r="G1392"/>
  <c r="D1395"/>
  <c r="B1398"/>
  <c r="F1400"/>
  <c r="C1403"/>
  <c r="H1405"/>
  <c r="E1408"/>
  <c r="B1411"/>
  <c r="A1411" s="1"/>
  <c r="I1411" s="1"/>
  <c r="F1413"/>
  <c r="D1416"/>
  <c r="H1418"/>
  <c r="E1421"/>
  <c r="C1424"/>
  <c r="G1426"/>
  <c r="D1429"/>
  <c r="H1431"/>
  <c r="F1434"/>
  <c r="C1437"/>
  <c r="G1439"/>
  <c r="E1442"/>
  <c r="B1445"/>
  <c r="A1445" s="1"/>
  <c r="I1445" s="1"/>
  <c r="F1447"/>
  <c r="C1450"/>
  <c r="H1452"/>
  <c r="E1455"/>
  <c r="B1458"/>
  <c r="A1458" s="1"/>
  <c r="I1458" s="1"/>
  <c r="G1460"/>
  <c r="D1463"/>
  <c r="H1465"/>
  <c r="E1468"/>
  <c r="C1471"/>
  <c r="G1473"/>
  <c r="D1476"/>
  <c r="B1479"/>
  <c r="A1479" s="1"/>
  <c r="I1479" s="1"/>
  <c r="F1481"/>
  <c r="C1484"/>
  <c r="G1486"/>
  <c r="E1489"/>
  <c r="B1492"/>
  <c r="A1492" s="1"/>
  <c r="I1492" s="1"/>
  <c r="F1494"/>
  <c r="D1497"/>
  <c r="H1499"/>
  <c r="E1502"/>
  <c r="B1505"/>
  <c r="G1507"/>
  <c r="D1510"/>
  <c r="C1512"/>
  <c r="F1513"/>
  <c r="B1515"/>
  <c r="A1515" s="1"/>
  <c r="I1515" s="1"/>
  <c r="E1516"/>
  <c r="B1518"/>
  <c r="E1519"/>
  <c r="H1520"/>
  <c r="F1522"/>
  <c r="B1524"/>
  <c r="A1524" s="1"/>
  <c r="I1524" s="1"/>
  <c r="E1525"/>
  <c r="B1527"/>
  <c r="A1527" s="1"/>
  <c r="I1527" s="1"/>
  <c r="E1528"/>
  <c r="H1529"/>
  <c r="D1531"/>
  <c r="B1533"/>
  <c r="A1533" s="1"/>
  <c r="I1533" s="1"/>
  <c r="E1534"/>
  <c r="H1535"/>
  <c r="E1537"/>
  <c r="H1538"/>
  <c r="D1540"/>
  <c r="H1541"/>
  <c r="E1543"/>
  <c r="H1544"/>
  <c r="E1546"/>
  <c r="H1547"/>
  <c r="D1549"/>
  <c r="G1550"/>
  <c r="D1552"/>
  <c r="H1553"/>
  <c r="D1555"/>
  <c r="H1556"/>
  <c r="D1558"/>
  <c r="G1559"/>
  <c r="D1561"/>
  <c r="G1562"/>
  <c r="D1564"/>
  <c r="H1565"/>
  <c r="D1567"/>
  <c r="G1568"/>
  <c r="C1570"/>
  <c r="G1571"/>
  <c r="B1573"/>
  <c r="A1573" s="1"/>
  <c r="I1573" s="1"/>
  <c r="E1574"/>
  <c r="G1575"/>
  <c r="B1577"/>
  <c r="D1578"/>
  <c r="F1579"/>
  <c r="H1580"/>
  <c r="C1582"/>
  <c r="F1583"/>
  <c r="H1584"/>
  <c r="C1586"/>
  <c r="E1587"/>
  <c r="G1588"/>
  <c r="B1590"/>
  <c r="A1590" s="1"/>
  <c r="I1590" s="1"/>
  <c r="D1591"/>
  <c r="G1592"/>
  <c r="B1594"/>
  <c r="A1594" s="1"/>
  <c r="I1594" s="1"/>
  <c r="D1595"/>
  <c r="F1596"/>
  <c r="H1597"/>
  <c r="C1599"/>
  <c r="E1600"/>
  <c r="H1601"/>
  <c r="C1603"/>
  <c r="E1604"/>
  <c r="G1605"/>
  <c r="B1607"/>
  <c r="A1607" s="1"/>
  <c r="I1607" s="1"/>
  <c r="D1608"/>
  <c r="F1609"/>
  <c r="B1611"/>
  <c r="A1611" s="1"/>
  <c r="I1611" s="1"/>
  <c r="D1612"/>
  <c r="F1613"/>
  <c r="H1614"/>
  <c r="C1616"/>
  <c r="E1617"/>
  <c r="G1618"/>
  <c r="C1620"/>
  <c r="E1621"/>
  <c r="G1622"/>
  <c r="B1624"/>
  <c r="A1624" s="1"/>
  <c r="I1624" s="1"/>
  <c r="D1625"/>
  <c r="F1626"/>
  <c r="H1627"/>
  <c r="D1629"/>
  <c r="F1630"/>
  <c r="H1631"/>
  <c r="C1633"/>
  <c r="E1634"/>
  <c r="G1635"/>
  <c r="B1637"/>
  <c r="A1637" s="1"/>
  <c r="I1637" s="1"/>
  <c r="E1638"/>
  <c r="G1639"/>
  <c r="B1641"/>
  <c r="D1642"/>
  <c r="F1643"/>
  <c r="H1644"/>
  <c r="C1646"/>
  <c r="F1647"/>
  <c r="H1648"/>
  <c r="C1650"/>
  <c r="E1651"/>
  <c r="G1652"/>
  <c r="B1654"/>
  <c r="A1654" s="1"/>
  <c r="I1654" s="1"/>
  <c r="D1655"/>
  <c r="G1656"/>
  <c r="B1658"/>
  <c r="A1658" s="1"/>
  <c r="I1658" s="1"/>
  <c r="D1659"/>
  <c r="F1660"/>
  <c r="H1661"/>
  <c r="C1663"/>
  <c r="E1664"/>
  <c r="H1665"/>
  <c r="C1667"/>
  <c r="E1668"/>
  <c r="G1669"/>
  <c r="B1671"/>
  <c r="D1672"/>
  <c r="F1673"/>
  <c r="B1675"/>
  <c r="A1675" s="1"/>
  <c r="I1675" s="1"/>
  <c r="D1676"/>
  <c r="F1677"/>
  <c r="H1678"/>
  <c r="C1680"/>
  <c r="E1681"/>
  <c r="G1682"/>
  <c r="C1684"/>
  <c r="E1685"/>
  <c r="G1686"/>
  <c r="B1688"/>
  <c r="A1688" s="1"/>
  <c r="I1688" s="1"/>
  <c r="D1689"/>
  <c r="F1690"/>
  <c r="H1691"/>
  <c r="D1693"/>
  <c r="F1694"/>
  <c r="H1695"/>
  <c r="C1697"/>
  <c r="E1698"/>
  <c r="G1699"/>
  <c r="B1701"/>
  <c r="A1701" s="1"/>
  <c r="I1701" s="1"/>
  <c r="E1702"/>
  <c r="G1703"/>
  <c r="B1705"/>
  <c r="A1705" s="1"/>
  <c r="I1705" s="1"/>
  <c r="D1706"/>
  <c r="F1707"/>
  <c r="H1708"/>
  <c r="C1710"/>
  <c r="F1711"/>
  <c r="H1712"/>
  <c r="C1714"/>
  <c r="E1715"/>
  <c r="G1716"/>
  <c r="B1718"/>
  <c r="A1718" s="1"/>
  <c r="I1718" s="1"/>
  <c r="D1719"/>
  <c r="G1720"/>
  <c r="B1722"/>
  <c r="A1722" s="1"/>
  <c r="I1722" s="1"/>
  <c r="D1723"/>
  <c r="F1724"/>
  <c r="H1725"/>
  <c r="C1727"/>
  <c r="E1728"/>
  <c r="H1729"/>
  <c r="C1731"/>
  <c r="E1732"/>
  <c r="G1733"/>
  <c r="B1735"/>
  <c r="D1736"/>
  <c r="F1737"/>
  <c r="B1739"/>
  <c r="A1739" s="1"/>
  <c r="I1739" s="1"/>
  <c r="D1740"/>
  <c r="F1741"/>
  <c r="H1742"/>
  <c r="C1744"/>
  <c r="E1745"/>
  <c r="G1746"/>
  <c r="C1748"/>
  <c r="E1749"/>
  <c r="G1750"/>
  <c r="B1752"/>
  <c r="A1752" s="1"/>
  <c r="I1752" s="1"/>
  <c r="D1753"/>
  <c r="F1754"/>
  <c r="H1755"/>
  <c r="D1757"/>
  <c r="F1758"/>
  <c r="H1759"/>
  <c r="C1761"/>
  <c r="E1762"/>
  <c r="G1763"/>
  <c r="B1765"/>
  <c r="E1766"/>
  <c r="G1767"/>
  <c r="B1769"/>
  <c r="A1769" s="1"/>
  <c r="I1769" s="1"/>
  <c r="D1770"/>
  <c r="F1771"/>
  <c r="H1772"/>
  <c r="C1774"/>
  <c r="F1775"/>
  <c r="H1776"/>
  <c r="C1778"/>
  <c r="E1779"/>
  <c r="G1780"/>
  <c r="B1782"/>
  <c r="A1782" s="1"/>
  <c r="I1782" s="1"/>
  <c r="D1783"/>
  <c r="G1784"/>
  <c r="B1786"/>
  <c r="D1787"/>
  <c r="F1788"/>
  <c r="H1789"/>
  <c r="C1791"/>
  <c r="E1792"/>
  <c r="H1793"/>
  <c r="C1795"/>
  <c r="E1796"/>
  <c r="G1797"/>
  <c r="B1799"/>
  <c r="A1799" s="1"/>
  <c r="I1799" s="1"/>
  <c r="D1800"/>
  <c r="F1801"/>
  <c r="B1803"/>
  <c r="A1803" s="1"/>
  <c r="I1803" s="1"/>
  <c r="D1804"/>
  <c r="F1805"/>
  <c r="H1806"/>
  <c r="C1808"/>
  <c r="E1809"/>
  <c r="G1810"/>
  <c r="C1812"/>
  <c r="E1813"/>
  <c r="G1814"/>
  <c r="B1816"/>
  <c r="A1816" s="1"/>
  <c r="I1816" s="1"/>
  <c r="D1817"/>
  <c r="F1818"/>
  <c r="H1819"/>
  <c r="D1821"/>
  <c r="F1822"/>
  <c r="H1823"/>
  <c r="C1825"/>
  <c r="E1826"/>
  <c r="G1827"/>
  <c r="B1829"/>
  <c r="E1830"/>
  <c r="G1831"/>
  <c r="B1833"/>
  <c r="A1833" s="1"/>
  <c r="I1833" s="1"/>
  <c r="D1834"/>
  <c r="F1835"/>
  <c r="H1836"/>
  <c r="C1838"/>
  <c r="F1839"/>
  <c r="H1840"/>
  <c r="C1842"/>
  <c r="E1843"/>
  <c r="G1844"/>
  <c r="B1846"/>
  <c r="A1846" s="1"/>
  <c r="I1846" s="1"/>
  <c r="D1847"/>
  <c r="G1848"/>
  <c r="B1850"/>
  <c r="D1851"/>
  <c r="F1852"/>
  <c r="H1853"/>
  <c r="C1855"/>
  <c r="E1856"/>
  <c r="H1857"/>
  <c r="C1859"/>
  <c r="E1860"/>
  <c r="G1861"/>
  <c r="B1863"/>
  <c r="A1863" s="1"/>
  <c r="I1863" s="1"/>
  <c r="D1864"/>
  <c r="F1865"/>
  <c r="B1867"/>
  <c r="A1867" s="1"/>
  <c r="I1867" s="1"/>
  <c r="D1868"/>
  <c r="F1869"/>
  <c r="H1870"/>
  <c r="C1872"/>
  <c r="E1873"/>
  <c r="G1874"/>
  <c r="C1876"/>
  <c r="E1877"/>
  <c r="G1878"/>
  <c r="B1880"/>
  <c r="D1881"/>
  <c r="F1882"/>
  <c r="H1883"/>
  <c r="D1885"/>
  <c r="F1886"/>
  <c r="H1887"/>
  <c r="C1889"/>
  <c r="E1890"/>
  <c r="G1891"/>
  <c r="B1893"/>
  <c r="A1893" s="1"/>
  <c r="I1893" s="1"/>
  <c r="E1894"/>
  <c r="G1895"/>
  <c r="B1897"/>
  <c r="A1897" s="1"/>
  <c r="I1897" s="1"/>
  <c r="D1898"/>
  <c r="F1899"/>
  <c r="H1900"/>
  <c r="C1902"/>
  <c r="F1903"/>
  <c r="H1904"/>
  <c r="C1906"/>
  <c r="E1907"/>
  <c r="G1908"/>
  <c r="B1910"/>
  <c r="A1910" s="1"/>
  <c r="I1910" s="1"/>
  <c r="D1911"/>
  <c r="G1912"/>
  <c r="B1914"/>
  <c r="A1914" s="1"/>
  <c r="I1914" s="1"/>
  <c r="D1915"/>
  <c r="F1916"/>
  <c r="H1917"/>
  <c r="C1919"/>
  <c r="E1920"/>
  <c r="H1921"/>
  <c r="C1923"/>
  <c r="E1924"/>
  <c r="G1925"/>
  <c r="B1927"/>
  <c r="A1927" s="1"/>
  <c r="I1927" s="1"/>
  <c r="D1928"/>
  <c r="F1929"/>
  <c r="B1931"/>
  <c r="A1931" s="1"/>
  <c r="I1931" s="1"/>
  <c r="D1932"/>
  <c r="F1933"/>
  <c r="H1934"/>
  <c r="C1936"/>
  <c r="E1937"/>
  <c r="G1938"/>
  <c r="C1940"/>
  <c r="E1941"/>
  <c r="G1942"/>
  <c r="B1944"/>
  <c r="D1945"/>
  <c r="F1946"/>
  <c r="H1947"/>
  <c r="D1949"/>
  <c r="F1950"/>
  <c r="H1951"/>
  <c r="C1953"/>
  <c r="E1954"/>
  <c r="G1955"/>
  <c r="B1957"/>
  <c r="A1957" s="1"/>
  <c r="I1957" s="1"/>
  <c r="E1958"/>
  <c r="G1959"/>
  <c r="B1961"/>
  <c r="A1961" s="1"/>
  <c r="I1961" s="1"/>
  <c r="D1962"/>
  <c r="F1963"/>
  <c r="H1964"/>
  <c r="C1966"/>
  <c r="F1967"/>
  <c r="H1968"/>
  <c r="C1970"/>
  <c r="E1971"/>
  <c r="G1972"/>
  <c r="B1974"/>
  <c r="D1975"/>
  <c r="G1976"/>
  <c r="B1978"/>
  <c r="A1978" s="1"/>
  <c r="I1978" s="1"/>
  <c r="D1979"/>
  <c r="F1980"/>
  <c r="H1981"/>
  <c r="C1983"/>
  <c r="E1984"/>
  <c r="H1985"/>
  <c r="C1987"/>
  <c r="E1988"/>
  <c r="G1989"/>
  <c r="B1991"/>
  <c r="A1991" s="1"/>
  <c r="I1991" s="1"/>
  <c r="D1992"/>
  <c r="F1993"/>
  <c r="B1995"/>
  <c r="D1996"/>
  <c r="F1997"/>
  <c r="H1998"/>
  <c r="C2000"/>
  <c r="E2001"/>
  <c r="G2002"/>
  <c r="C2004"/>
  <c r="E2005"/>
  <c r="G2006"/>
  <c r="B2008"/>
  <c r="A2008" s="1"/>
  <c r="I2008" s="1"/>
  <c r="D2009"/>
  <c r="F2010"/>
  <c r="H2011"/>
  <c r="D2013"/>
  <c r="F2014"/>
  <c r="H2015"/>
  <c r="C2017"/>
  <c r="E2018"/>
  <c r="G2019"/>
  <c r="B2021"/>
  <c r="A2021" s="1"/>
  <c r="I2021" s="1"/>
  <c r="E2022"/>
  <c r="G2023"/>
  <c r="B2025"/>
  <c r="A2025" s="1"/>
  <c r="I2025" s="1"/>
  <c r="D2026"/>
  <c r="F2027"/>
  <c r="H2028"/>
  <c r="C2030"/>
  <c r="F2031"/>
  <c r="H2032"/>
  <c r="C2034"/>
  <c r="E2035"/>
  <c r="G2036"/>
  <c r="B2038"/>
  <c r="C2039"/>
  <c r="D2040"/>
  <c r="E2041"/>
  <c r="F2042"/>
  <c r="G2043"/>
  <c r="H2044"/>
  <c r="B2046"/>
  <c r="C2047"/>
  <c r="D2048"/>
  <c r="E2049"/>
  <c r="F2050"/>
  <c r="G2051"/>
  <c r="H2052"/>
  <c r="B2054"/>
  <c r="A2054" s="1"/>
  <c r="I2054" s="1"/>
  <c r="C2055"/>
  <c r="D2056"/>
  <c r="E2057"/>
  <c r="F2058"/>
  <c r="G2059"/>
  <c r="H2060"/>
  <c r="B2062"/>
  <c r="A2062" s="1"/>
  <c r="I2062" s="1"/>
  <c r="C2063"/>
  <c r="D2064"/>
  <c r="E2065"/>
  <c r="F2066"/>
  <c r="G2067"/>
  <c r="H2068"/>
  <c r="B2070"/>
  <c r="A2070" s="1"/>
  <c r="I2070" s="1"/>
  <c r="C2071"/>
  <c r="D2072"/>
  <c r="E2073"/>
  <c r="F2074"/>
  <c r="G2075"/>
  <c r="H2076"/>
  <c r="B2078"/>
  <c r="A2078" s="1"/>
  <c r="I2078" s="1"/>
  <c r="C2079"/>
  <c r="D2080"/>
  <c r="E2081"/>
  <c r="F2082"/>
  <c r="G2083"/>
  <c r="H2084"/>
  <c r="B2086"/>
  <c r="A2086" s="1"/>
  <c r="I2086" s="1"/>
  <c r="C2087"/>
  <c r="D2088"/>
  <c r="E2089"/>
  <c r="F2090"/>
  <c r="G2091"/>
  <c r="H2092"/>
  <c r="B2094"/>
  <c r="A2094" s="1"/>
  <c r="I2094" s="1"/>
  <c r="C2095"/>
  <c r="D2096"/>
  <c r="E2097"/>
  <c r="F2098"/>
  <c r="G2099"/>
  <c r="H2100"/>
  <c r="B2102"/>
  <c r="C2103"/>
  <c r="D2104"/>
  <c r="E2105"/>
  <c r="F2106"/>
  <c r="G2107"/>
  <c r="H2108"/>
  <c r="B2110"/>
  <c r="C2111"/>
  <c r="D2112"/>
  <c r="E2113"/>
  <c r="F2114"/>
  <c r="G2115"/>
  <c r="H2116"/>
  <c r="B2118"/>
  <c r="A2118" s="1"/>
  <c r="I2118" s="1"/>
  <c r="C2119"/>
  <c r="D2120"/>
  <c r="E2121"/>
  <c r="F2122"/>
  <c r="G2123"/>
  <c r="H2124"/>
  <c r="B2126"/>
  <c r="A2126" s="1"/>
  <c r="I2126" s="1"/>
  <c r="C2127"/>
  <c r="D2128"/>
  <c r="E2129"/>
  <c r="F2130"/>
  <c r="G2131"/>
  <c r="H2132"/>
  <c r="B2134"/>
  <c r="A2134" s="1"/>
  <c r="I2134" s="1"/>
  <c r="C2135"/>
  <c r="D2136"/>
  <c r="E2137"/>
  <c r="F2138"/>
  <c r="G2139"/>
  <c r="H2140"/>
  <c r="B2142"/>
  <c r="A2142" s="1"/>
  <c r="I2142" s="1"/>
  <c r="C2143"/>
  <c r="D2144"/>
  <c r="E2145"/>
  <c r="F2146"/>
  <c r="G2147"/>
  <c r="H2148"/>
  <c r="B2150"/>
  <c r="A2150" s="1"/>
  <c r="I2150" s="1"/>
  <c r="C2151"/>
  <c r="D2152"/>
  <c r="E2153"/>
  <c r="F2154"/>
  <c r="G2155"/>
  <c r="H2156"/>
  <c r="B2158"/>
  <c r="A2158" s="1"/>
  <c r="I2158" s="1"/>
  <c r="C2159"/>
  <c r="D2160"/>
  <c r="E2161"/>
  <c r="F2162"/>
  <c r="G2163"/>
  <c r="H2164"/>
  <c r="B2166"/>
  <c r="C2167"/>
  <c r="D2168"/>
  <c r="E2169"/>
  <c r="F2170"/>
  <c r="G2171"/>
  <c r="H2172"/>
  <c r="B2174"/>
  <c r="C2175"/>
  <c r="D2176"/>
  <c r="E2177"/>
  <c r="F2178"/>
  <c r="G2179"/>
  <c r="H2180"/>
  <c r="B2182"/>
  <c r="A2182" s="1"/>
  <c r="I2182" s="1"/>
  <c r="C2183"/>
  <c r="D2184"/>
  <c r="E2185"/>
  <c r="F2186"/>
  <c r="G2187"/>
  <c r="H2188"/>
  <c r="B2190"/>
  <c r="A2190" s="1"/>
  <c r="I2190" s="1"/>
  <c r="C2191"/>
  <c r="D2192"/>
  <c r="E2193"/>
  <c r="F2194"/>
  <c r="G2195"/>
  <c r="H2196"/>
  <c r="B2198"/>
  <c r="A2198" s="1"/>
  <c r="I2198" s="1"/>
  <c r="C2199"/>
  <c r="D2200"/>
  <c r="E2201"/>
  <c r="F2202"/>
  <c r="G2203"/>
  <c r="H2204"/>
  <c r="B2206"/>
  <c r="A2206" s="1"/>
  <c r="I2206" s="1"/>
  <c r="C2207"/>
  <c r="D2208"/>
  <c r="E2209"/>
  <c r="F2210"/>
  <c r="G2211"/>
  <c r="H2212"/>
  <c r="B2214"/>
  <c r="A2214" s="1"/>
  <c r="I2214" s="1"/>
  <c r="C2215"/>
  <c r="D2216"/>
  <c r="E2217"/>
  <c r="F2218"/>
  <c r="G2219"/>
  <c r="H2220"/>
  <c r="B2222"/>
  <c r="A2222" s="1"/>
  <c r="I2222" s="1"/>
  <c r="C2223"/>
  <c r="D2224"/>
  <c r="E2225"/>
  <c r="F2226"/>
  <c r="G2227"/>
  <c r="H2228"/>
  <c r="B2230"/>
  <c r="C2231"/>
  <c r="D2232"/>
  <c r="E2233"/>
  <c r="F2234"/>
  <c r="G2235"/>
  <c r="H2236"/>
  <c r="B2238"/>
  <c r="C2239"/>
  <c r="D2240"/>
  <c r="E2241"/>
  <c r="F2242"/>
  <c r="G2243"/>
  <c r="H2244"/>
  <c r="B2246"/>
  <c r="A2246" s="1"/>
  <c r="I2246" s="1"/>
  <c r="C2247"/>
  <c r="D2248"/>
  <c r="E2249"/>
  <c r="F2250"/>
  <c r="G2251"/>
  <c r="H2252"/>
  <c r="B2254"/>
  <c r="A2254" s="1"/>
  <c r="I2254" s="1"/>
  <c r="C2255"/>
  <c r="D2256"/>
  <c r="E2257"/>
  <c r="F2258"/>
  <c r="G2259"/>
  <c r="H2260"/>
  <c r="B2262"/>
  <c r="A2262" s="1"/>
  <c r="I2262" s="1"/>
  <c r="C2263"/>
  <c r="D2264"/>
  <c r="E2265"/>
  <c r="F2266"/>
  <c r="G2267"/>
  <c r="H2268"/>
  <c r="B2270"/>
  <c r="A2270" s="1"/>
  <c r="I2270" s="1"/>
  <c r="C2271"/>
  <c r="D2272"/>
  <c r="E2273"/>
  <c r="F2274"/>
  <c r="G2275"/>
  <c r="H2276"/>
  <c r="B2278"/>
  <c r="A2278" s="1"/>
  <c r="I2278" s="1"/>
  <c r="C2279"/>
  <c r="D2280"/>
  <c r="E2281"/>
  <c r="F2282"/>
  <c r="G2283"/>
  <c r="H2284"/>
  <c r="B2286"/>
  <c r="A2286" s="1"/>
  <c r="I2286" s="1"/>
  <c r="C2287"/>
  <c r="D2288"/>
  <c r="E2289"/>
  <c r="F2290"/>
  <c r="G2291"/>
  <c r="H2292"/>
  <c r="B2294"/>
  <c r="C2295"/>
  <c r="D2296"/>
  <c r="E2297"/>
  <c r="F2298"/>
  <c r="G2299"/>
  <c r="H2300"/>
  <c r="B2302"/>
  <c r="C2303"/>
  <c r="D2304"/>
  <c r="E2305"/>
  <c r="F2306"/>
  <c r="G2307"/>
  <c r="H2308"/>
  <c r="B2310"/>
  <c r="A2310" s="1"/>
  <c r="I2310" s="1"/>
  <c r="C2311"/>
  <c r="D2312"/>
  <c r="E2313"/>
  <c r="F2314"/>
  <c r="G2315"/>
  <c r="H2316"/>
  <c r="B2318"/>
  <c r="A2318" s="1"/>
  <c r="I2318" s="1"/>
  <c r="C2319"/>
  <c r="D2320"/>
  <c r="E2321"/>
  <c r="F2322"/>
  <c r="G2323"/>
  <c r="H2324"/>
  <c r="B2326"/>
  <c r="A2326" s="1"/>
  <c r="I2326" s="1"/>
  <c r="C2327"/>
  <c r="D2328"/>
  <c r="E2329"/>
  <c r="F2330"/>
  <c r="G2331"/>
  <c r="H2332"/>
  <c r="B2334"/>
  <c r="A2334" s="1"/>
  <c r="I2334" s="1"/>
  <c r="C2335"/>
  <c r="D2336"/>
  <c r="E2337"/>
  <c r="F2338"/>
  <c r="G2339"/>
  <c r="H2340"/>
  <c r="B2342"/>
  <c r="A2342" s="1"/>
  <c r="I2342" s="1"/>
  <c r="C2343"/>
  <c r="D2344"/>
  <c r="E2345"/>
  <c r="F2346"/>
  <c r="G2347"/>
  <c r="H2348"/>
  <c r="B2350"/>
  <c r="A2350" s="1"/>
  <c r="I2350" s="1"/>
  <c r="C2351"/>
  <c r="D2352"/>
  <c r="E2353"/>
  <c r="F2354"/>
  <c r="G2355"/>
  <c r="H2356"/>
  <c r="B2358"/>
  <c r="C2359"/>
  <c r="D2360"/>
  <c r="E2361"/>
  <c r="F2362"/>
  <c r="G2363"/>
  <c r="H2364"/>
  <c r="B2366"/>
  <c r="C2367"/>
  <c r="D2368"/>
  <c r="E2369"/>
  <c r="F2370"/>
  <c r="G2371"/>
  <c r="H2372"/>
  <c r="B2374"/>
  <c r="A2374" s="1"/>
  <c r="I2374" s="1"/>
  <c r="C2375"/>
  <c r="D2376"/>
  <c r="E2377"/>
  <c r="F2378"/>
  <c r="G2379"/>
  <c r="H2380"/>
  <c r="B2382"/>
  <c r="A2382" s="1"/>
  <c r="I2382" s="1"/>
  <c r="C2383"/>
  <c r="D2384"/>
  <c r="E2385"/>
  <c r="F2386"/>
  <c r="G2387"/>
  <c r="H2388"/>
  <c r="B2390"/>
  <c r="A2390" s="1"/>
  <c r="I2390" s="1"/>
  <c r="C2391"/>
  <c r="D2392"/>
  <c r="E2393"/>
  <c r="F2394"/>
  <c r="G2395"/>
  <c r="H2396"/>
  <c r="B2398"/>
  <c r="A2398" s="1"/>
  <c r="I2398" s="1"/>
  <c r="C2399"/>
  <c r="D2400"/>
  <c r="E2401"/>
  <c r="F2402"/>
  <c r="G2403"/>
  <c r="H2404"/>
  <c r="B2406"/>
  <c r="A2406" s="1"/>
  <c r="I2406" s="1"/>
  <c r="C2407"/>
  <c r="D2408"/>
  <c r="E2409"/>
  <c r="F2410"/>
  <c r="G2411"/>
  <c r="H2412"/>
  <c r="B2414"/>
  <c r="A2414" s="1"/>
  <c r="I2414" s="1"/>
  <c r="C2415"/>
  <c r="D2416"/>
  <c r="E2417"/>
  <c r="F2418"/>
  <c r="G2419"/>
  <c r="H2420"/>
  <c r="B2422"/>
  <c r="C2423"/>
  <c r="D2424"/>
  <c r="E2425"/>
  <c r="F2426"/>
  <c r="G2427"/>
  <c r="D33"/>
  <c r="H90"/>
  <c r="B150"/>
  <c r="H202"/>
  <c r="C240"/>
  <c r="H268"/>
  <c r="G292"/>
  <c r="C314"/>
  <c r="B335"/>
  <c r="A335" s="1"/>
  <c r="I335" s="1"/>
  <c r="H355"/>
  <c r="H376"/>
  <c r="F396"/>
  <c r="E413"/>
  <c r="G428"/>
  <c r="E443"/>
  <c r="G457"/>
  <c r="E472"/>
  <c r="H485"/>
  <c r="D496"/>
  <c r="G506"/>
  <c r="C517"/>
  <c r="G527"/>
  <c r="C538"/>
  <c r="F548"/>
  <c r="B559"/>
  <c r="A559" s="1"/>
  <c r="I559" s="1"/>
  <c r="E569"/>
  <c r="H579"/>
  <c r="B588"/>
  <c r="A588" s="1"/>
  <c r="I588" s="1"/>
  <c r="C594"/>
  <c r="C600"/>
  <c r="B606"/>
  <c r="A606" s="1"/>
  <c r="I606" s="1"/>
  <c r="B612"/>
  <c r="A612" s="1"/>
  <c r="I612" s="1"/>
  <c r="B618"/>
  <c r="A618" s="1"/>
  <c r="I618" s="1"/>
  <c r="B624"/>
  <c r="H629"/>
  <c r="H635"/>
  <c r="B642"/>
  <c r="A642" s="1"/>
  <c r="I642" s="1"/>
  <c r="H647"/>
  <c r="H653"/>
  <c r="G659"/>
  <c r="G665"/>
  <c r="G671"/>
  <c r="G677"/>
  <c r="F683"/>
  <c r="G688"/>
  <c r="B694"/>
  <c r="A694" s="1"/>
  <c r="I694" s="1"/>
  <c r="C699"/>
  <c r="E704"/>
  <c r="F709"/>
  <c r="H714"/>
  <c r="C720"/>
  <c r="D725"/>
  <c r="F730"/>
  <c r="G735"/>
  <c r="B741"/>
  <c r="A741" s="1"/>
  <c r="I741" s="1"/>
  <c r="C746"/>
  <c r="E751"/>
  <c r="G756"/>
  <c r="H761"/>
  <c r="C767"/>
  <c r="D772"/>
  <c r="F777"/>
  <c r="G782"/>
  <c r="B788"/>
  <c r="A788" s="1"/>
  <c r="I788" s="1"/>
  <c r="D793"/>
  <c r="E798"/>
  <c r="G803"/>
  <c r="H808"/>
  <c r="C814"/>
  <c r="D819"/>
  <c r="F824"/>
  <c r="H829"/>
  <c r="B835"/>
  <c r="A835" s="1"/>
  <c r="I835" s="1"/>
  <c r="D840"/>
  <c r="E845"/>
  <c r="G850"/>
  <c r="H855"/>
  <c r="C861"/>
  <c r="E866"/>
  <c r="F871"/>
  <c r="H876"/>
  <c r="B882"/>
  <c r="D887"/>
  <c r="E892"/>
  <c r="G897"/>
  <c r="B903"/>
  <c r="A903" s="1"/>
  <c r="I903" s="1"/>
  <c r="C908"/>
  <c r="E913"/>
  <c r="F918"/>
  <c r="H923"/>
  <c r="B929"/>
  <c r="D934"/>
  <c r="B939"/>
  <c r="A939" s="1"/>
  <c r="I939" s="1"/>
  <c r="F943"/>
  <c r="C948"/>
  <c r="G952"/>
  <c r="D957"/>
  <c r="H961"/>
  <c r="E966"/>
  <c r="B971"/>
  <c r="A971" s="1"/>
  <c r="I971" s="1"/>
  <c r="F975"/>
  <c r="C980"/>
  <c r="G984"/>
  <c r="D989"/>
  <c r="H993"/>
  <c r="E998"/>
  <c r="B1003"/>
  <c r="F1007"/>
  <c r="C1012"/>
  <c r="G1016"/>
  <c r="D1021"/>
  <c r="H1025"/>
  <c r="E1030"/>
  <c r="B1035"/>
  <c r="F1039"/>
  <c r="C1044"/>
  <c r="G1048"/>
  <c r="D1053"/>
  <c r="H1057"/>
  <c r="E1062"/>
  <c r="B1067"/>
  <c r="A1067" s="1"/>
  <c r="I1067" s="1"/>
  <c r="F1071"/>
  <c r="C1076"/>
  <c r="G1080"/>
  <c r="D1085"/>
  <c r="H1089"/>
  <c r="E1094"/>
  <c r="B1099"/>
  <c r="A1099" s="1"/>
  <c r="I1099" s="1"/>
  <c r="F1102"/>
  <c r="D1105"/>
  <c r="H1107"/>
  <c r="E1110"/>
  <c r="B1113"/>
  <c r="A1113" s="1"/>
  <c r="I1113" s="1"/>
  <c r="G1115"/>
  <c r="D1118"/>
  <c r="H1120"/>
  <c r="F1123"/>
  <c r="C1126"/>
  <c r="G1128"/>
  <c r="D1131"/>
  <c r="B1134"/>
  <c r="A1134" s="1"/>
  <c r="I1134" s="1"/>
  <c r="F1136"/>
  <c r="C1139"/>
  <c r="H1141"/>
  <c r="E1144"/>
  <c r="B1147"/>
  <c r="F1149"/>
  <c r="D1152"/>
  <c r="H1154"/>
  <c r="E1157"/>
  <c r="C1160"/>
  <c r="G1162"/>
  <c r="D1165"/>
  <c r="H1167"/>
  <c r="F1170"/>
  <c r="C1173"/>
  <c r="G1175"/>
  <c r="E1178"/>
  <c r="B1181"/>
  <c r="A1181" s="1"/>
  <c r="I1181" s="1"/>
  <c r="F1183"/>
  <c r="C1186"/>
  <c r="H1188"/>
  <c r="E1191"/>
  <c r="B1194"/>
  <c r="A1194" s="1"/>
  <c r="I1194" s="1"/>
  <c r="G1196"/>
  <c r="D1199"/>
  <c r="H1201"/>
  <c r="E1204"/>
  <c r="C1207"/>
  <c r="G1209"/>
  <c r="D1212"/>
  <c r="B1215"/>
  <c r="A1215" s="1"/>
  <c r="I1215" s="1"/>
  <c r="F1217"/>
  <c r="C1220"/>
  <c r="G1222"/>
  <c r="E1225"/>
  <c r="B1228"/>
  <c r="A1228" s="1"/>
  <c r="I1228" s="1"/>
  <c r="F1230"/>
  <c r="D1233"/>
  <c r="H1235"/>
  <c r="E1238"/>
  <c r="B1241"/>
  <c r="A1241" s="1"/>
  <c r="I1241" s="1"/>
  <c r="G1243"/>
  <c r="D1246"/>
  <c r="H1248"/>
  <c r="F1251"/>
  <c r="C1254"/>
  <c r="G1256"/>
  <c r="D1259"/>
  <c r="B1262"/>
  <c r="A1262" s="1"/>
  <c r="I1262" s="1"/>
  <c r="F1264"/>
  <c r="C1267"/>
  <c r="H1269"/>
  <c r="E1272"/>
  <c r="B1275"/>
  <c r="F1277"/>
  <c r="D1280"/>
  <c r="H1282"/>
  <c r="E1285"/>
  <c r="C1288"/>
  <c r="G1290"/>
  <c r="D1293"/>
  <c r="H1295"/>
  <c r="F1298"/>
  <c r="C1301"/>
  <c r="G1303"/>
  <c r="E1306"/>
  <c r="B1309"/>
  <c r="A1309" s="1"/>
  <c r="I1309" s="1"/>
  <c r="F1311"/>
  <c r="C1314"/>
  <c r="H1316"/>
  <c r="E1319"/>
  <c r="B1322"/>
  <c r="A1322" s="1"/>
  <c r="I1322" s="1"/>
  <c r="G1324"/>
  <c r="D1327"/>
  <c r="H1329"/>
  <c r="E1332"/>
  <c r="C1335"/>
  <c r="G1337"/>
  <c r="D1340"/>
  <c r="B1343"/>
  <c r="A1343" s="1"/>
  <c r="I1343" s="1"/>
  <c r="F1345"/>
  <c r="C1348"/>
  <c r="G1350"/>
  <c r="E1353"/>
  <c r="B1356"/>
  <c r="F1358"/>
  <c r="D1361"/>
  <c r="H1363"/>
  <c r="E1366"/>
  <c r="B1369"/>
  <c r="A1369" s="1"/>
  <c r="I1369" s="1"/>
  <c r="G1371"/>
  <c r="D1374"/>
  <c r="H1376"/>
  <c r="F1379"/>
  <c r="C1382"/>
  <c r="G1384"/>
  <c r="D1387"/>
  <c r="B1390"/>
  <c r="A1390" s="1"/>
  <c r="I1390" s="1"/>
  <c r="F1392"/>
  <c r="C1395"/>
  <c r="H1397"/>
  <c r="E1400"/>
  <c r="B1403"/>
  <c r="A1403" s="1"/>
  <c r="I1403" s="1"/>
  <c r="F1405"/>
  <c r="D1408"/>
  <c r="H1410"/>
  <c r="E1413"/>
  <c r="C1416"/>
  <c r="G1418"/>
  <c r="D1421"/>
  <c r="H1423"/>
  <c r="F1426"/>
  <c r="C1429"/>
  <c r="G1431"/>
  <c r="E1434"/>
  <c r="B1437"/>
  <c r="A1437" s="1"/>
  <c r="I1437" s="1"/>
  <c r="F1439"/>
  <c r="C1442"/>
  <c r="H1444"/>
  <c r="E1447"/>
  <c r="B1450"/>
  <c r="A1450" s="1"/>
  <c r="I1450" s="1"/>
  <c r="G1452"/>
  <c r="D1455"/>
  <c r="H1457"/>
  <c r="E1460"/>
  <c r="C1463"/>
  <c r="G1465"/>
  <c r="D1468"/>
  <c r="B1471"/>
  <c r="A1471" s="1"/>
  <c r="I1471" s="1"/>
  <c r="F1473"/>
  <c r="C1476"/>
  <c r="G1478"/>
  <c r="E1481"/>
  <c r="B1484"/>
  <c r="F1486"/>
  <c r="D1489"/>
  <c r="H1491"/>
  <c r="E1494"/>
  <c r="B1497"/>
  <c r="A1497" s="1"/>
  <c r="I1497" s="1"/>
  <c r="G1499"/>
  <c r="D1502"/>
  <c r="H1504"/>
  <c r="F1507"/>
  <c r="C1510"/>
  <c r="G1511"/>
  <c r="E1513"/>
  <c r="H1514"/>
  <c r="D1516"/>
  <c r="H1517"/>
  <c r="D1519"/>
  <c r="G1520"/>
  <c r="C1522"/>
  <c r="H1523"/>
  <c r="D1525"/>
  <c r="G1526"/>
  <c r="D1528"/>
  <c r="G1529"/>
  <c r="C1531"/>
  <c r="G1532"/>
  <c r="D1534"/>
  <c r="G1535"/>
  <c r="D1537"/>
  <c r="G1538"/>
  <c r="C1540"/>
  <c r="F1541"/>
  <c r="C1543"/>
  <c r="G1544"/>
  <c r="C1546"/>
  <c r="G1547"/>
  <c r="C1549"/>
  <c r="F1550"/>
  <c r="C1552"/>
  <c r="F1553"/>
  <c r="C1555"/>
  <c r="G1556"/>
  <c r="C1558"/>
  <c r="F1559"/>
  <c r="B1561"/>
  <c r="A1561" s="1"/>
  <c r="I1561" s="1"/>
  <c r="F1562"/>
  <c r="B1564"/>
  <c r="A1564" s="1"/>
  <c r="I1564" s="1"/>
  <c r="F1565"/>
  <c r="C1567"/>
  <c r="F1568"/>
  <c r="B1570"/>
  <c r="A1570" s="1"/>
  <c r="I1570" s="1"/>
  <c r="F1571"/>
  <c r="H1572"/>
  <c r="C1574"/>
  <c r="F1575"/>
  <c r="H1576"/>
  <c r="C1578"/>
  <c r="E1579"/>
  <c r="G1580"/>
  <c r="B1582"/>
  <c r="A1582" s="1"/>
  <c r="I1582" s="1"/>
  <c r="D1583"/>
  <c r="G1584"/>
  <c r="B1586"/>
  <c r="A1586" s="1"/>
  <c r="I1586" s="1"/>
  <c r="D1587"/>
  <c r="F1588"/>
  <c r="H1589"/>
  <c r="C1591"/>
  <c r="E1592"/>
  <c r="H1593"/>
  <c r="C1595"/>
  <c r="E1596"/>
  <c r="G1597"/>
  <c r="B1599"/>
  <c r="D1600"/>
  <c r="F1601"/>
  <c r="B1603"/>
  <c r="A1603" s="1"/>
  <c r="I1603" s="1"/>
  <c r="D1604"/>
  <c r="F1605"/>
  <c r="H1606"/>
  <c r="C1608"/>
  <c r="E1609"/>
  <c r="G1610"/>
  <c r="C1612"/>
  <c r="E1613"/>
  <c r="G1614"/>
  <c r="B1616"/>
  <c r="A1616" s="1"/>
  <c r="I1616" s="1"/>
  <c r="D1617"/>
  <c r="F1618"/>
  <c r="H1619"/>
  <c r="D1621"/>
  <c r="F1622"/>
  <c r="H1623"/>
  <c r="C1625"/>
  <c r="E1626"/>
  <c r="G1627"/>
  <c r="B1629"/>
  <c r="E1630"/>
  <c r="G1631"/>
  <c r="B1633"/>
  <c r="A1633" s="1"/>
  <c r="I1633" s="1"/>
  <c r="D1634"/>
  <c r="F1635"/>
  <c r="H1636"/>
  <c r="C1638"/>
  <c r="F1639"/>
  <c r="H1640"/>
  <c r="C1642"/>
  <c r="E1643"/>
  <c r="G1644"/>
  <c r="B1646"/>
  <c r="A1646" s="1"/>
  <c r="I1646" s="1"/>
  <c r="D1647"/>
  <c r="G1648"/>
  <c r="B1650"/>
  <c r="D1651"/>
  <c r="F1652"/>
  <c r="H1653"/>
  <c r="C1655"/>
  <c r="E1656"/>
  <c r="H1657"/>
  <c r="C1659"/>
  <c r="E1660"/>
  <c r="G1661"/>
  <c r="B1663"/>
  <c r="A1663" s="1"/>
  <c r="I1663" s="1"/>
  <c r="D1664"/>
  <c r="F1665"/>
  <c r="B1667"/>
  <c r="A1667" s="1"/>
  <c r="I1667" s="1"/>
  <c r="D1668"/>
  <c r="F1669"/>
  <c r="H1670"/>
  <c r="C1672"/>
  <c r="E1673"/>
  <c r="G1674"/>
  <c r="C1676"/>
  <c r="E1677"/>
  <c r="G1678"/>
  <c r="B1680"/>
  <c r="A1680" s="1"/>
  <c r="I1680" s="1"/>
  <c r="D1681"/>
  <c r="F1682"/>
  <c r="H1683"/>
  <c r="D1685"/>
  <c r="F1686"/>
  <c r="H1687"/>
  <c r="C1689"/>
  <c r="E1690"/>
  <c r="G1691"/>
  <c r="B1693"/>
  <c r="E1694"/>
  <c r="G1695"/>
  <c r="B1697"/>
  <c r="A1697" s="1"/>
  <c r="I1697" s="1"/>
  <c r="D1698"/>
  <c r="F1699"/>
  <c r="H1700"/>
  <c r="C1702"/>
  <c r="F1703"/>
  <c r="H1704"/>
  <c r="C1706"/>
  <c r="E1707"/>
  <c r="G1708"/>
  <c r="B1710"/>
  <c r="A1710" s="1"/>
  <c r="I1710" s="1"/>
  <c r="D1711"/>
  <c r="G1712"/>
  <c r="B1714"/>
  <c r="D1715"/>
  <c r="F1716"/>
  <c r="H1717"/>
  <c r="C1719"/>
  <c r="E1720"/>
  <c r="H1721"/>
  <c r="C1723"/>
  <c r="E1724"/>
  <c r="G1725"/>
  <c r="B1727"/>
  <c r="A1727" s="1"/>
  <c r="I1727" s="1"/>
  <c r="D1728"/>
  <c r="F1729"/>
  <c r="B1731"/>
  <c r="A1731" s="1"/>
  <c r="I1731" s="1"/>
  <c r="D1732"/>
  <c r="F1733"/>
  <c r="H1734"/>
  <c r="C1736"/>
  <c r="E1737"/>
  <c r="G1738"/>
  <c r="C1740"/>
  <c r="E1741"/>
  <c r="G1742"/>
  <c r="B1744"/>
  <c r="D1745"/>
  <c r="F1746"/>
  <c r="H1747"/>
  <c r="D1749"/>
  <c r="F1750"/>
  <c r="H1751"/>
  <c r="C1753"/>
  <c r="E1754"/>
  <c r="G1755"/>
  <c r="B1757"/>
  <c r="A1757" s="1"/>
  <c r="I1757" s="1"/>
  <c r="E1758"/>
  <c r="G1759"/>
  <c r="B1761"/>
  <c r="A1761" s="1"/>
  <c r="I1761" s="1"/>
  <c r="D1762"/>
  <c r="F1763"/>
  <c r="H1764"/>
  <c r="C1766"/>
  <c r="F1767"/>
  <c r="H1768"/>
  <c r="C1770"/>
  <c r="E1771"/>
  <c r="G1772"/>
  <c r="B1774"/>
  <c r="A1774" s="1"/>
  <c r="I1774" s="1"/>
  <c r="D1775"/>
  <c r="G1776"/>
  <c r="B1778"/>
  <c r="A1778" s="1"/>
  <c r="I1778" s="1"/>
  <c r="D1779"/>
  <c r="F1780"/>
  <c r="H1781"/>
  <c r="C1783"/>
  <c r="E1784"/>
  <c r="H1785"/>
  <c r="C1787"/>
  <c r="E1788"/>
  <c r="G1789"/>
  <c r="B1791"/>
  <c r="A1791" s="1"/>
  <c r="I1791" s="1"/>
  <c r="D1792"/>
  <c r="F1793"/>
  <c r="B1795"/>
  <c r="A1795" s="1"/>
  <c r="I1795" s="1"/>
  <c r="D1796"/>
  <c r="F1797"/>
  <c r="H1798"/>
  <c r="C1800"/>
  <c r="E1801"/>
  <c r="G1802"/>
  <c r="C1804"/>
  <c r="E1805"/>
  <c r="G1806"/>
  <c r="B1808"/>
  <c r="D1809"/>
  <c r="F1810"/>
  <c r="H1811"/>
  <c r="D1813"/>
  <c r="F1814"/>
  <c r="H1815"/>
  <c r="C1817"/>
  <c r="E1818"/>
  <c r="G1819"/>
  <c r="B1821"/>
  <c r="A1821" s="1"/>
  <c r="I1821" s="1"/>
  <c r="E1822"/>
  <c r="G1823"/>
  <c r="B1825"/>
  <c r="A1825" s="1"/>
  <c r="I1825" s="1"/>
  <c r="D1826"/>
  <c r="F1827"/>
  <c r="H1828"/>
  <c r="C1830"/>
  <c r="F1831"/>
  <c r="H1832"/>
  <c r="C1834"/>
  <c r="E1835"/>
  <c r="G1836"/>
  <c r="B1838"/>
  <c r="D1839"/>
  <c r="G1840"/>
  <c r="B1842"/>
  <c r="A1842" s="1"/>
  <c r="I1842" s="1"/>
  <c r="D1843"/>
  <c r="F1844"/>
  <c r="H1845"/>
  <c r="C1847"/>
  <c r="E1848"/>
  <c r="H1849"/>
  <c r="C1851"/>
  <c r="E1852"/>
  <c r="G1853"/>
  <c r="B1855"/>
  <c r="A1855" s="1"/>
  <c r="I1855" s="1"/>
  <c r="D1856"/>
  <c r="F1857"/>
  <c r="B1859"/>
  <c r="D1860"/>
  <c r="F1861"/>
  <c r="H1862"/>
  <c r="C1864"/>
  <c r="E1865"/>
  <c r="G1866"/>
  <c r="C1868"/>
  <c r="E1869"/>
  <c r="G1870"/>
  <c r="B1872"/>
  <c r="A1872" s="1"/>
  <c r="I1872" s="1"/>
  <c r="D1873"/>
  <c r="F1874"/>
  <c r="H1875"/>
  <c r="D1877"/>
  <c r="F1878"/>
  <c r="H1879"/>
  <c r="C1881"/>
  <c r="E1882"/>
  <c r="G1883"/>
  <c r="B1885"/>
  <c r="A1885" s="1"/>
  <c r="I1885" s="1"/>
  <c r="E1886"/>
  <c r="G1887"/>
  <c r="B1889"/>
  <c r="A1889" s="1"/>
  <c r="I1889" s="1"/>
  <c r="D1890"/>
  <c r="F1891"/>
  <c r="H1892"/>
  <c r="C1894"/>
  <c r="F1895"/>
  <c r="H1896"/>
  <c r="C1898"/>
  <c r="E1899"/>
  <c r="G1900"/>
  <c r="B1902"/>
  <c r="D1903"/>
  <c r="G1904"/>
  <c r="B1906"/>
  <c r="A1906" s="1"/>
  <c r="I1906" s="1"/>
  <c r="D1907"/>
  <c r="F1908"/>
  <c r="H1909"/>
  <c r="C1911"/>
  <c r="E1912"/>
  <c r="H1913"/>
  <c r="C1915"/>
  <c r="E1916"/>
  <c r="G1917"/>
  <c r="B1919"/>
  <c r="A1919" s="1"/>
  <c r="I1919" s="1"/>
  <c r="D1920"/>
  <c r="F1921"/>
  <c r="B1923"/>
  <c r="D1924"/>
  <c r="F1925"/>
  <c r="H1926"/>
  <c r="C1928"/>
  <c r="E1929"/>
  <c r="G1930"/>
  <c r="C1932"/>
  <c r="E1933"/>
  <c r="G1934"/>
  <c r="B1936"/>
  <c r="A1936" s="1"/>
  <c r="I1936" s="1"/>
  <c r="D1937"/>
  <c r="F1938"/>
  <c r="H1939"/>
  <c r="D1941"/>
  <c r="F1942"/>
  <c r="H1943"/>
  <c r="C1945"/>
  <c r="E1946"/>
  <c r="G1947"/>
  <c r="B1949"/>
  <c r="A1949" s="1"/>
  <c r="I1949" s="1"/>
  <c r="E1950"/>
  <c r="G1951"/>
  <c r="B1953"/>
  <c r="D1954"/>
  <c r="F1955"/>
  <c r="H1956"/>
  <c r="C1958"/>
  <c r="F1959"/>
  <c r="H1960"/>
  <c r="C1962"/>
  <c r="E1963"/>
  <c r="G1964"/>
  <c r="B1966"/>
  <c r="A1966" s="1"/>
  <c r="I1966" s="1"/>
  <c r="D1967"/>
  <c r="G1968"/>
  <c r="B1970"/>
  <c r="A1970" s="1"/>
  <c r="I1970" s="1"/>
  <c r="D1971"/>
  <c r="F1972"/>
  <c r="H1973"/>
  <c r="C1975"/>
  <c r="E1976"/>
  <c r="H1977"/>
  <c r="C1979"/>
  <c r="E1980"/>
  <c r="G1981"/>
  <c r="B1983"/>
  <c r="A1983" s="1"/>
  <c r="I1983" s="1"/>
  <c r="D1984"/>
  <c r="F1985"/>
  <c r="B1987"/>
  <c r="A1987" s="1"/>
  <c r="I1987" s="1"/>
  <c r="D1988"/>
  <c r="F1989"/>
  <c r="H1990"/>
  <c r="C1992"/>
  <c r="E1993"/>
  <c r="G1994"/>
  <c r="C1996"/>
  <c r="E1997"/>
  <c r="G1998"/>
  <c r="B2000"/>
  <c r="A2000" s="1"/>
  <c r="I2000" s="1"/>
  <c r="D2001"/>
  <c r="F2002"/>
  <c r="H2003"/>
  <c r="D2005"/>
  <c r="F2006"/>
  <c r="H2007"/>
  <c r="C2009"/>
  <c r="E2010"/>
  <c r="G2011"/>
  <c r="B2013"/>
  <c r="A2013" s="1"/>
  <c r="I2013" s="1"/>
  <c r="E2014"/>
  <c r="G2015"/>
  <c r="B2017"/>
  <c r="D2018"/>
  <c r="F2019"/>
  <c r="H2020"/>
  <c r="C2022"/>
  <c r="F2023"/>
  <c r="H2024"/>
  <c r="C2026"/>
  <c r="E2027"/>
  <c r="G2028"/>
  <c r="B2030"/>
  <c r="A2030" s="1"/>
  <c r="I2030" s="1"/>
  <c r="D2031"/>
  <c r="G2032"/>
  <c r="B2034"/>
  <c r="A2034" s="1"/>
  <c r="I2034" s="1"/>
  <c r="D2035"/>
  <c r="F2036"/>
  <c r="H2037"/>
  <c r="B2039"/>
  <c r="A2039" s="1"/>
  <c r="I2039" s="1"/>
  <c r="C2040"/>
  <c r="D2041"/>
  <c r="E2042"/>
  <c r="F2043"/>
  <c r="G2044"/>
  <c r="H2045"/>
  <c r="B2047"/>
  <c r="C2048"/>
  <c r="D2049"/>
  <c r="E2050"/>
  <c r="F2051"/>
  <c r="G2052"/>
  <c r="H2053"/>
  <c r="B2055"/>
  <c r="C2056"/>
  <c r="D2057"/>
  <c r="E2058"/>
  <c r="F2059"/>
  <c r="G2060"/>
  <c r="H2061"/>
  <c r="B2063"/>
  <c r="A2063" s="1"/>
  <c r="I2063" s="1"/>
  <c r="C2064"/>
  <c r="D2065"/>
  <c r="E2066"/>
  <c r="F2067"/>
  <c r="G2068"/>
  <c r="H2069"/>
  <c r="B2071"/>
  <c r="A2071" s="1"/>
  <c r="I2071" s="1"/>
  <c r="C2072"/>
  <c r="D2073"/>
  <c r="E2074"/>
  <c r="F2075"/>
  <c r="G2076"/>
  <c r="H2077"/>
  <c r="B2079"/>
  <c r="A2079" s="1"/>
  <c r="I2079" s="1"/>
  <c r="C2080"/>
  <c r="D2081"/>
  <c r="E2082"/>
  <c r="F2083"/>
  <c r="G2084"/>
  <c r="H2085"/>
  <c r="B2087"/>
  <c r="A2087" s="1"/>
  <c r="I2087" s="1"/>
  <c r="C2088"/>
  <c r="D2089"/>
  <c r="E2090"/>
  <c r="F2091"/>
  <c r="G2092"/>
  <c r="H2093"/>
  <c r="B2095"/>
  <c r="A2095" s="1"/>
  <c r="I2095" s="1"/>
  <c r="C2096"/>
  <c r="D2097"/>
  <c r="E2098"/>
  <c r="F2099"/>
  <c r="G2100"/>
  <c r="H2101"/>
  <c r="B2103"/>
  <c r="A2103" s="1"/>
  <c r="I2103" s="1"/>
  <c r="C2104"/>
  <c r="D2105"/>
  <c r="E2106"/>
  <c r="F2107"/>
  <c r="G2108"/>
  <c r="H2109"/>
  <c r="B2111"/>
  <c r="C2112"/>
  <c r="D2113"/>
  <c r="E2114"/>
  <c r="F2115"/>
  <c r="G2116"/>
  <c r="H2117"/>
  <c r="B2119"/>
  <c r="C2120"/>
  <c r="D2121"/>
  <c r="E2122"/>
  <c r="F2123"/>
  <c r="G2124"/>
  <c r="H2125"/>
  <c r="B2127"/>
  <c r="A2127" s="1"/>
  <c r="I2127" s="1"/>
  <c r="C2128"/>
  <c r="D2129"/>
  <c r="E2130"/>
  <c r="F2131"/>
  <c r="G2132"/>
  <c r="H2133"/>
  <c r="B2135"/>
  <c r="A2135" s="1"/>
  <c r="I2135" s="1"/>
  <c r="C2136"/>
  <c r="D2137"/>
  <c r="E2138"/>
  <c r="F2139"/>
  <c r="G2140"/>
  <c r="H2141"/>
  <c r="B2143"/>
  <c r="A2143" s="1"/>
  <c r="I2143" s="1"/>
  <c r="C2144"/>
  <c r="D2145"/>
  <c r="E2146"/>
  <c r="F2147"/>
  <c r="G2148"/>
  <c r="H2149"/>
  <c r="B2151"/>
  <c r="A2151" s="1"/>
  <c r="I2151" s="1"/>
  <c r="C2152"/>
  <c r="D2153"/>
  <c r="E2154"/>
  <c r="F2155"/>
  <c r="G2156"/>
  <c r="H2157"/>
  <c r="B2159"/>
  <c r="A2159" s="1"/>
  <c r="I2159" s="1"/>
  <c r="C2160"/>
  <c r="D2161"/>
  <c r="E2162"/>
  <c r="F2163"/>
  <c r="G2164"/>
  <c r="H2165"/>
  <c r="B2167"/>
  <c r="A2167" s="1"/>
  <c r="I2167" s="1"/>
  <c r="C2168"/>
  <c r="D2169"/>
  <c r="E2170"/>
  <c r="F2171"/>
  <c r="G2172"/>
  <c r="H2173"/>
  <c r="B2175"/>
  <c r="C2176"/>
  <c r="D2177"/>
  <c r="E2178"/>
  <c r="F2179"/>
  <c r="G2180"/>
  <c r="H2181"/>
  <c r="B2183"/>
  <c r="C2184"/>
  <c r="D2185"/>
  <c r="E2186"/>
  <c r="F2187"/>
  <c r="G2188"/>
  <c r="H2189"/>
  <c r="B2191"/>
  <c r="A2191" s="1"/>
  <c r="I2191" s="1"/>
  <c r="C2192"/>
  <c r="D2193"/>
  <c r="E2194"/>
  <c r="F2195"/>
  <c r="G2196"/>
  <c r="H2197"/>
  <c r="B2199"/>
  <c r="A2199" s="1"/>
  <c r="I2199" s="1"/>
  <c r="C2200"/>
  <c r="D2201"/>
  <c r="E2202"/>
  <c r="F2203"/>
  <c r="G2204"/>
  <c r="H2205"/>
  <c r="B2207"/>
  <c r="A2207" s="1"/>
  <c r="I2207" s="1"/>
  <c r="C2208"/>
  <c r="D2209"/>
  <c r="E2210"/>
  <c r="F2211"/>
  <c r="G2212"/>
  <c r="H2213"/>
  <c r="B2215"/>
  <c r="A2215" s="1"/>
  <c r="I2215" s="1"/>
  <c r="C2216"/>
  <c r="D2217"/>
  <c r="E2218"/>
  <c r="F2219"/>
  <c r="G2220"/>
  <c r="H2221"/>
  <c r="B2223"/>
  <c r="A2223" s="1"/>
  <c r="I2223" s="1"/>
  <c r="C2224"/>
  <c r="D2225"/>
  <c r="E2226"/>
  <c r="F2227"/>
  <c r="G2228"/>
  <c r="H2229"/>
  <c r="B2231"/>
  <c r="A2231" s="1"/>
  <c r="I2231" s="1"/>
  <c r="C2232"/>
  <c r="D2233"/>
  <c r="E2234"/>
  <c r="F2235"/>
  <c r="G2236"/>
  <c r="H2237"/>
  <c r="B2239"/>
  <c r="C2240"/>
  <c r="D2241"/>
  <c r="E2242"/>
  <c r="F2243"/>
  <c r="G2244"/>
  <c r="H2245"/>
  <c r="B2247"/>
  <c r="C2248"/>
  <c r="D2249"/>
  <c r="E2250"/>
  <c r="F2251"/>
  <c r="G2252"/>
  <c r="H2253"/>
  <c r="B2255"/>
  <c r="A2255" s="1"/>
  <c r="I2255" s="1"/>
  <c r="C2256"/>
  <c r="D2257"/>
  <c r="E2258"/>
  <c r="F2259"/>
  <c r="G2260"/>
  <c r="H2261"/>
  <c r="B2263"/>
  <c r="A2263" s="1"/>
  <c r="I2263" s="1"/>
  <c r="C2264"/>
  <c r="D2265"/>
  <c r="E2266"/>
  <c r="F2267"/>
  <c r="G2268"/>
  <c r="H2269"/>
  <c r="B2271"/>
  <c r="A2271" s="1"/>
  <c r="I2271" s="1"/>
  <c r="C2272"/>
  <c r="D2273"/>
  <c r="E2274"/>
  <c r="F2275"/>
  <c r="G2276"/>
  <c r="H2277"/>
  <c r="B2279"/>
  <c r="A2279" s="1"/>
  <c r="I2279" s="1"/>
  <c r="C2280"/>
  <c r="D2281"/>
  <c r="E2282"/>
  <c r="F2283"/>
  <c r="G2284"/>
  <c r="H2285"/>
  <c r="B2287"/>
  <c r="A2287" s="1"/>
  <c r="I2287" s="1"/>
  <c r="C2288"/>
  <c r="D2289"/>
  <c r="E2290"/>
  <c r="F2291"/>
  <c r="G2292"/>
  <c r="H2293"/>
  <c r="B2295"/>
  <c r="A2295" s="1"/>
  <c r="I2295" s="1"/>
  <c r="C2296"/>
  <c r="D2297"/>
  <c r="E2298"/>
  <c r="F2299"/>
  <c r="G2300"/>
  <c r="H2301"/>
  <c r="B2303"/>
  <c r="C2304"/>
  <c r="D2305"/>
  <c r="E2306"/>
  <c r="F2307"/>
  <c r="G2308"/>
  <c r="H2309"/>
  <c r="B2311"/>
  <c r="C2312"/>
  <c r="D2313"/>
  <c r="E2314"/>
  <c r="F2315"/>
  <c r="G2316"/>
  <c r="H2317"/>
  <c r="B2319"/>
  <c r="A2319" s="1"/>
  <c r="I2319" s="1"/>
  <c r="C2320"/>
  <c r="D2321"/>
  <c r="E2322"/>
  <c r="F2323"/>
  <c r="G2324"/>
  <c r="H2325"/>
  <c r="B2327"/>
  <c r="A2327" s="1"/>
  <c r="I2327" s="1"/>
  <c r="C2328"/>
  <c r="D2329"/>
  <c r="E2330"/>
  <c r="F2331"/>
  <c r="G2332"/>
  <c r="H2333"/>
  <c r="B2335"/>
  <c r="A2335" s="1"/>
  <c r="I2335" s="1"/>
  <c r="C2336"/>
  <c r="D2337"/>
  <c r="E2338"/>
  <c r="F2339"/>
  <c r="G2340"/>
  <c r="H2341"/>
  <c r="B2343"/>
  <c r="A2343" s="1"/>
  <c r="I2343" s="1"/>
  <c r="C2344"/>
  <c r="D2345"/>
  <c r="E2346"/>
  <c r="F2347"/>
  <c r="G2348"/>
  <c r="H2349"/>
  <c r="B2351"/>
  <c r="A2351" s="1"/>
  <c r="I2351" s="1"/>
  <c r="C2352"/>
  <c r="D2353"/>
  <c r="E2354"/>
  <c r="F2355"/>
  <c r="G2356"/>
  <c r="H2357"/>
  <c r="B2359"/>
  <c r="A2359" s="1"/>
  <c r="I2359" s="1"/>
  <c r="C2360"/>
  <c r="D2361"/>
  <c r="E2362"/>
  <c r="F2363"/>
  <c r="G2364"/>
  <c r="H2365"/>
  <c r="B2367"/>
  <c r="C2368"/>
  <c r="D2369"/>
  <c r="E2370"/>
  <c r="F2371"/>
  <c r="G2372"/>
  <c r="H2373"/>
  <c r="B2375"/>
  <c r="C2376"/>
  <c r="D2377"/>
  <c r="E2378"/>
  <c r="F2379"/>
  <c r="G2380"/>
  <c r="H2381"/>
  <c r="B2383"/>
  <c r="A2383" s="1"/>
  <c r="I2383" s="1"/>
  <c r="C2384"/>
  <c r="D2385"/>
  <c r="E2386"/>
  <c r="F2387"/>
  <c r="G2388"/>
  <c r="H2389"/>
  <c r="B2391"/>
  <c r="A2391" s="1"/>
  <c r="I2391" s="1"/>
  <c r="C2392"/>
  <c r="D2393"/>
  <c r="E2394"/>
  <c r="F2395"/>
  <c r="G2396"/>
  <c r="H2397"/>
  <c r="B2399"/>
  <c r="A2399" s="1"/>
  <c r="I2399" s="1"/>
  <c r="C2400"/>
  <c r="D2401"/>
  <c r="E2402"/>
  <c r="F2403"/>
  <c r="G2404"/>
  <c r="H2405"/>
  <c r="B2407"/>
  <c r="A2407" s="1"/>
  <c r="I2407" s="1"/>
  <c r="C2408"/>
  <c r="D2409"/>
  <c r="E2410"/>
  <c r="F2411"/>
  <c r="G2412"/>
  <c r="H2413"/>
  <c r="B2415"/>
  <c r="A2415" s="1"/>
  <c r="I2415" s="1"/>
  <c r="C2416"/>
  <c r="D2417"/>
  <c r="E2418"/>
  <c r="F2419"/>
  <c r="G2420"/>
  <c r="H2421"/>
  <c r="B2423"/>
  <c r="A2423" s="1"/>
  <c r="I2423" s="1"/>
  <c r="C2424"/>
  <c r="D2425"/>
  <c r="E2426"/>
  <c r="F2427"/>
  <c r="D32"/>
  <c r="G90"/>
  <c r="H149"/>
  <c r="F202"/>
  <c r="G239"/>
  <c r="G268"/>
  <c r="E292"/>
  <c r="B314"/>
  <c r="A314" s="1"/>
  <c r="I314" s="1"/>
  <c r="H334"/>
  <c r="G355"/>
  <c r="F376"/>
  <c r="E396"/>
  <c r="C413"/>
  <c r="F428"/>
  <c r="H442"/>
  <c r="F457"/>
  <c r="D472"/>
  <c r="G485"/>
  <c r="C496"/>
  <c r="F506"/>
  <c r="B517"/>
  <c r="A517" s="1"/>
  <c r="I517" s="1"/>
  <c r="E527"/>
  <c r="B538"/>
  <c r="A538" s="1"/>
  <c r="I538" s="1"/>
  <c r="E548"/>
  <c r="H558"/>
  <c r="D569"/>
  <c r="G579"/>
  <c r="H587"/>
  <c r="B594"/>
  <c r="A594" s="1"/>
  <c r="I594" s="1"/>
  <c r="H599"/>
  <c r="H605"/>
  <c r="H611"/>
  <c r="G617"/>
  <c r="H623"/>
  <c r="G629"/>
  <c r="G635"/>
  <c r="F641"/>
  <c r="G647"/>
  <c r="G653"/>
  <c r="F659"/>
  <c r="F665"/>
  <c r="E671"/>
  <c r="F677"/>
  <c r="D683"/>
  <c r="F688"/>
  <c r="H693"/>
  <c r="B699"/>
  <c r="A699" s="1"/>
  <c r="I699" s="1"/>
  <c r="D704"/>
  <c r="E709"/>
  <c r="G714"/>
  <c r="H719"/>
  <c r="C725"/>
  <c r="E730"/>
  <c r="F735"/>
  <c r="H740"/>
  <c r="B746"/>
  <c r="A746" s="1"/>
  <c r="I746" s="1"/>
  <c r="D751"/>
  <c r="E756"/>
  <c r="G761"/>
  <c r="B767"/>
  <c r="A767" s="1"/>
  <c r="I767" s="1"/>
  <c r="C772"/>
  <c r="E777"/>
  <c r="F782"/>
  <c r="H787"/>
  <c r="B793"/>
  <c r="A793" s="1"/>
  <c r="I793" s="1"/>
  <c r="D798"/>
  <c r="F803"/>
  <c r="G808"/>
  <c r="B814"/>
  <c r="A814" s="1"/>
  <c r="I814" s="1"/>
  <c r="C819"/>
  <c r="E824"/>
  <c r="F829"/>
  <c r="H834"/>
  <c r="C840"/>
  <c r="D845"/>
  <c r="F850"/>
  <c r="G855"/>
  <c r="B861"/>
  <c r="A861" s="1"/>
  <c r="I861" s="1"/>
  <c r="C866"/>
  <c r="E871"/>
  <c r="G876"/>
  <c r="H881"/>
  <c r="C887"/>
  <c r="D892"/>
  <c r="F897"/>
  <c r="G902"/>
  <c r="B908"/>
  <c r="A908" s="1"/>
  <c r="I908" s="1"/>
  <c r="D913"/>
  <c r="E918"/>
  <c r="G923"/>
  <c r="H928"/>
  <c r="C934"/>
  <c r="H938"/>
  <c r="E943"/>
  <c r="B948"/>
  <c r="A948" s="1"/>
  <c r="I948" s="1"/>
  <c r="F952"/>
  <c r="C957"/>
  <c r="G961"/>
  <c r="D966"/>
  <c r="H970"/>
  <c r="E975"/>
  <c r="B980"/>
  <c r="A980" s="1"/>
  <c r="I980" s="1"/>
  <c r="F984"/>
  <c r="C989"/>
  <c r="G993"/>
  <c r="D998"/>
  <c r="H1002"/>
  <c r="E1007"/>
  <c r="B1012"/>
  <c r="A1012" s="1"/>
  <c r="I1012" s="1"/>
  <c r="F1016"/>
  <c r="C1021"/>
  <c r="G1025"/>
  <c r="D1030"/>
  <c r="H1034"/>
  <c r="E1039"/>
  <c r="B1044"/>
  <c r="A1044" s="1"/>
  <c r="I1044" s="1"/>
  <c r="F1048"/>
  <c r="C1053"/>
  <c r="G1057"/>
  <c r="D1062"/>
  <c r="H1066"/>
  <c r="E1071"/>
  <c r="B1076"/>
  <c r="F1080"/>
  <c r="C1085"/>
  <c r="G1089"/>
  <c r="D1094"/>
  <c r="H1098"/>
  <c r="E1102"/>
  <c r="B1105"/>
  <c r="G1107"/>
  <c r="D1110"/>
  <c r="H1112"/>
  <c r="F1115"/>
  <c r="C1118"/>
  <c r="G1120"/>
  <c r="D1123"/>
  <c r="B1126"/>
  <c r="F1128"/>
  <c r="C1131"/>
  <c r="H1133"/>
  <c r="E1136"/>
  <c r="B1139"/>
  <c r="A1139" s="1"/>
  <c r="I1139" s="1"/>
  <c r="F1141"/>
  <c r="D1144"/>
  <c r="H1146"/>
  <c r="E1149"/>
  <c r="C1152"/>
  <c r="G1154"/>
  <c r="D1157"/>
  <c r="H1159"/>
  <c r="F1162"/>
  <c r="C1165"/>
  <c r="G1167"/>
  <c r="E1170"/>
  <c r="B1173"/>
  <c r="A1173" s="1"/>
  <c r="I1173" s="1"/>
  <c r="F1175"/>
  <c r="C1178"/>
  <c r="H1180"/>
  <c r="E1183"/>
  <c r="B1186"/>
  <c r="A1186" s="1"/>
  <c r="I1186" s="1"/>
  <c r="G1188"/>
  <c r="D1191"/>
  <c r="H1193"/>
  <c r="E1196"/>
  <c r="C1199"/>
  <c r="G1201"/>
  <c r="D1204"/>
  <c r="B1207"/>
  <c r="A1207" s="1"/>
  <c r="I1207" s="1"/>
  <c r="F1209"/>
  <c r="C1212"/>
  <c r="G1214"/>
  <c r="E1217"/>
  <c r="B1220"/>
  <c r="A1220" s="1"/>
  <c r="I1220" s="1"/>
  <c r="F1222"/>
  <c r="D1225"/>
  <c r="H1227"/>
  <c r="E1230"/>
  <c r="B1233"/>
  <c r="G1235"/>
  <c r="D1238"/>
  <c r="H1240"/>
  <c r="F1243"/>
  <c r="C1246"/>
  <c r="G1248"/>
  <c r="D1251"/>
  <c r="B1254"/>
  <c r="F1256"/>
  <c r="C1259"/>
  <c r="H1261"/>
  <c r="E1264"/>
  <c r="B1267"/>
  <c r="A1267" s="1"/>
  <c r="I1267" s="1"/>
  <c r="F1269"/>
  <c r="D1272"/>
  <c r="H1274"/>
  <c r="E1277"/>
  <c r="C1280"/>
  <c r="G1282"/>
  <c r="D1285"/>
  <c r="H1287"/>
  <c r="F1290"/>
  <c r="C1293"/>
  <c r="G1295"/>
  <c r="E1298"/>
  <c r="B1301"/>
  <c r="A1301" s="1"/>
  <c r="I1301" s="1"/>
  <c r="F1303"/>
  <c r="C1306"/>
  <c r="H1308"/>
  <c r="E1311"/>
  <c r="B1314"/>
  <c r="G1316"/>
  <c r="D1319"/>
  <c r="H1321"/>
  <c r="E1324"/>
  <c r="C1327"/>
  <c r="G1329"/>
  <c r="D1332"/>
  <c r="B1335"/>
  <c r="F1337"/>
  <c r="C1340"/>
  <c r="G1342"/>
  <c r="E1345"/>
  <c r="B1348"/>
  <c r="A1348" s="1"/>
  <c r="I1348" s="1"/>
  <c r="F1350"/>
  <c r="D1353"/>
  <c r="H1355"/>
  <c r="E1358"/>
  <c r="B1361"/>
  <c r="A1361" s="1"/>
  <c r="I1361" s="1"/>
  <c r="G1363"/>
  <c r="D1366"/>
  <c r="H1368"/>
  <c r="F1371"/>
  <c r="C1374"/>
  <c r="G1376"/>
  <c r="D1379"/>
  <c r="B1382"/>
  <c r="A1382" s="1"/>
  <c r="I1382" s="1"/>
  <c r="F1384"/>
  <c r="C1387"/>
  <c r="H1389"/>
  <c r="E1392"/>
  <c r="B1395"/>
  <c r="A1395" s="1"/>
  <c r="I1395" s="1"/>
  <c r="F1397"/>
  <c r="D1400"/>
  <c r="H1402"/>
  <c r="E1405"/>
  <c r="C1408"/>
  <c r="G1410"/>
  <c r="D1413"/>
  <c r="H1415"/>
  <c r="F1418"/>
  <c r="C1421"/>
  <c r="G1423"/>
  <c r="E1426"/>
  <c r="B1429"/>
  <c r="A1429" s="1"/>
  <c r="I1429" s="1"/>
  <c r="F1431"/>
  <c r="C1434"/>
  <c r="H1436"/>
  <c r="E1439"/>
  <c r="B1442"/>
  <c r="G1444"/>
  <c r="D1447"/>
  <c r="H1449"/>
  <c r="E1452"/>
  <c r="C1455"/>
  <c r="G1457"/>
  <c r="D1460"/>
  <c r="B1463"/>
  <c r="F1465"/>
  <c r="C1468"/>
  <c r="G1470"/>
  <c r="E1473"/>
  <c r="B1476"/>
  <c r="A1476" s="1"/>
  <c r="I1476" s="1"/>
  <c r="F1478"/>
  <c r="D1481"/>
  <c r="H1483"/>
  <c r="E1486"/>
  <c r="B1489"/>
  <c r="A1489" s="1"/>
  <c r="I1489" s="1"/>
  <c r="G1491"/>
  <c r="D1494"/>
  <c r="H1496"/>
  <c r="F1499"/>
  <c r="C1502"/>
  <c r="G1504"/>
  <c r="D1507"/>
  <c r="B1510"/>
  <c r="A1510" s="1"/>
  <c r="I1510" s="1"/>
  <c r="F1511"/>
  <c r="B1513"/>
  <c r="A1513" s="1"/>
  <c r="I1513" s="1"/>
  <c r="G1514"/>
  <c r="C1516"/>
  <c r="F1517"/>
  <c r="C1519"/>
  <c r="F1520"/>
  <c r="B1522"/>
  <c r="A1522" s="1"/>
  <c r="I1522" s="1"/>
  <c r="F1523"/>
  <c r="C1525"/>
  <c r="F1526"/>
  <c r="C1528"/>
  <c r="F1529"/>
  <c r="B1531"/>
  <c r="E1532"/>
  <c r="B1534"/>
  <c r="A1534" s="1"/>
  <c r="I1534" s="1"/>
  <c r="F1535"/>
  <c r="B1537"/>
  <c r="A1537" s="1"/>
  <c r="I1537" s="1"/>
  <c r="F1538"/>
  <c r="B1540"/>
  <c r="A1540" s="1"/>
  <c r="I1540" s="1"/>
  <c r="E1541"/>
  <c r="B1543"/>
  <c r="E1544"/>
  <c r="B1546"/>
  <c r="A1546" s="1"/>
  <c r="I1546" s="1"/>
  <c r="F1547"/>
  <c r="B1549"/>
  <c r="A1549" s="1"/>
  <c r="I1549" s="1"/>
  <c r="E1550"/>
  <c r="H1551"/>
  <c r="E1553"/>
  <c r="H1554"/>
  <c r="E1556"/>
  <c r="B1558"/>
  <c r="A1558" s="1"/>
  <c r="I1558" s="1"/>
  <c r="E1559"/>
  <c r="H1560"/>
  <c r="E1562"/>
  <c r="H1563"/>
  <c r="D1565"/>
  <c r="B1567"/>
  <c r="E1568"/>
  <c r="H1569"/>
  <c r="D1571"/>
  <c r="G1572"/>
  <c r="B1574"/>
  <c r="A1574" s="1"/>
  <c r="I1574" s="1"/>
  <c r="D1575"/>
  <c r="G1576"/>
  <c r="B1578"/>
  <c r="D1579"/>
  <c r="F1580"/>
  <c r="H1581"/>
  <c r="C1583"/>
  <c r="E1584"/>
  <c r="H1585"/>
  <c r="C1587"/>
  <c r="E1588"/>
  <c r="G1589"/>
  <c r="B1591"/>
  <c r="A1591" s="1"/>
  <c r="I1591" s="1"/>
  <c r="D1592"/>
  <c r="F1593"/>
  <c r="B1595"/>
  <c r="A1595" s="1"/>
  <c r="I1595" s="1"/>
  <c r="D1596"/>
  <c r="F1597"/>
  <c r="H1598"/>
  <c r="C1600"/>
  <c r="E1601"/>
  <c r="G1602"/>
  <c r="C1604"/>
  <c r="E1605"/>
  <c r="G1606"/>
  <c r="B1608"/>
  <c r="D1609"/>
  <c r="F1610"/>
  <c r="H1611"/>
  <c r="D1613"/>
  <c r="F1614"/>
  <c r="H1615"/>
  <c r="C1617"/>
  <c r="E1618"/>
  <c r="G1619"/>
  <c r="B1621"/>
  <c r="A1621" s="1"/>
  <c r="I1621" s="1"/>
  <c r="E1622"/>
  <c r="G1623"/>
  <c r="B1625"/>
  <c r="A1625" s="1"/>
  <c r="I1625" s="1"/>
  <c r="D1626"/>
  <c r="F1627"/>
  <c r="H1628"/>
  <c r="C1630"/>
  <c r="F1631"/>
  <c r="H1632"/>
  <c r="C1634"/>
  <c r="E1635"/>
  <c r="G1636"/>
  <c r="B1638"/>
  <c r="A1638" s="1"/>
  <c r="I1638" s="1"/>
  <c r="D1639"/>
  <c r="G1640"/>
  <c r="B1642"/>
  <c r="A1642" s="1"/>
  <c r="I1642" s="1"/>
  <c r="D1643"/>
  <c r="F1644"/>
  <c r="H1645"/>
  <c r="C1647"/>
  <c r="E1648"/>
  <c r="H1649"/>
  <c r="C1651"/>
  <c r="E1652"/>
  <c r="G1653"/>
  <c r="B1655"/>
  <c r="A1655" s="1"/>
  <c r="I1655" s="1"/>
  <c r="D1656"/>
  <c r="F1657"/>
  <c r="B1659"/>
  <c r="A1659" s="1"/>
  <c r="I1659" s="1"/>
  <c r="D1660"/>
  <c r="F1661"/>
  <c r="H1662"/>
  <c r="C1664"/>
  <c r="E1665"/>
  <c r="G1666"/>
  <c r="C1668"/>
  <c r="E1669"/>
  <c r="G1670"/>
  <c r="B1672"/>
  <c r="D1673"/>
  <c r="F1674"/>
  <c r="H1675"/>
  <c r="D1677"/>
  <c r="F1678"/>
  <c r="H1679"/>
  <c r="C1681"/>
  <c r="E1682"/>
  <c r="G1683"/>
  <c r="B1685"/>
  <c r="A1685" s="1"/>
  <c r="I1685" s="1"/>
  <c r="E1686"/>
  <c r="G1687"/>
  <c r="B1689"/>
  <c r="A1689" s="1"/>
  <c r="I1689" s="1"/>
  <c r="D1690"/>
  <c r="F1691"/>
  <c r="H1692"/>
  <c r="C1694"/>
  <c r="F1695"/>
  <c r="H1696"/>
  <c r="C1698"/>
  <c r="E1699"/>
  <c r="G1700"/>
  <c r="B1702"/>
  <c r="D1703"/>
  <c r="G1704"/>
  <c r="B1706"/>
  <c r="A1706" s="1"/>
  <c r="I1706" s="1"/>
  <c r="D1707"/>
  <c r="F1708"/>
  <c r="H1709"/>
  <c r="C1711"/>
  <c r="E1712"/>
  <c r="H1713"/>
  <c r="C1715"/>
  <c r="E1716"/>
  <c r="G1717"/>
  <c r="B1719"/>
  <c r="A1719" s="1"/>
  <c r="I1719" s="1"/>
  <c r="D1720"/>
  <c r="F1721"/>
  <c r="B1723"/>
  <c r="D1724"/>
  <c r="F1725"/>
  <c r="H1726"/>
  <c r="C1728"/>
  <c r="E1729"/>
  <c r="G1730"/>
  <c r="C1732"/>
  <c r="E1733"/>
  <c r="G1734"/>
  <c r="B1736"/>
  <c r="A1736" s="1"/>
  <c r="I1736" s="1"/>
  <c r="D1737"/>
  <c r="F1738"/>
  <c r="H1739"/>
  <c r="D1741"/>
  <c r="F1742"/>
  <c r="H1743"/>
  <c r="C1745"/>
  <c r="E1746"/>
  <c r="G1747"/>
  <c r="B1749"/>
  <c r="A1749" s="1"/>
  <c r="I1749" s="1"/>
  <c r="E1750"/>
  <c r="G1751"/>
  <c r="B1753"/>
  <c r="A1753" s="1"/>
  <c r="I1753" s="1"/>
  <c r="D1754"/>
  <c r="F1755"/>
  <c r="H1756"/>
  <c r="C1758"/>
  <c r="F1759"/>
  <c r="H1760"/>
  <c r="C1762"/>
  <c r="E1763"/>
  <c r="G1764"/>
  <c r="B1766"/>
  <c r="D1767"/>
  <c r="G1768"/>
  <c r="B1770"/>
  <c r="A1770" s="1"/>
  <c r="I1770" s="1"/>
  <c r="D1771"/>
  <c r="F1772"/>
  <c r="H1773"/>
  <c r="C1775"/>
  <c r="E1776"/>
  <c r="H1777"/>
  <c r="C1779"/>
  <c r="E1780"/>
  <c r="G1781"/>
  <c r="B1783"/>
  <c r="A1783" s="1"/>
  <c r="I1783" s="1"/>
  <c r="D1784"/>
  <c r="F1785"/>
  <c r="B1787"/>
  <c r="D1788"/>
  <c r="F1789"/>
  <c r="H1790"/>
  <c r="C1792"/>
  <c r="E1793"/>
  <c r="G1794"/>
  <c r="C1796"/>
  <c r="E1797"/>
  <c r="G1798"/>
  <c r="B1800"/>
  <c r="A1800" s="1"/>
  <c r="I1800" s="1"/>
  <c r="D1801"/>
  <c r="F1802"/>
  <c r="H1803"/>
  <c r="D1805"/>
  <c r="F1806"/>
  <c r="H1807"/>
  <c r="C1809"/>
  <c r="E1810"/>
  <c r="G1811"/>
  <c r="B1813"/>
  <c r="A1813" s="1"/>
  <c r="I1813" s="1"/>
  <c r="E1814"/>
  <c r="G1815"/>
  <c r="B1817"/>
  <c r="D1818"/>
  <c r="F1819"/>
  <c r="H1820"/>
  <c r="C1822"/>
  <c r="F1823"/>
  <c r="H1824"/>
  <c r="C1826"/>
  <c r="E1827"/>
  <c r="G1828"/>
  <c r="B1830"/>
  <c r="A1830" s="1"/>
  <c r="I1830" s="1"/>
  <c r="D1831"/>
  <c r="G1832"/>
  <c r="B1834"/>
  <c r="A1834" s="1"/>
  <c r="I1834" s="1"/>
  <c r="D1835"/>
  <c r="F1836"/>
  <c r="H1837"/>
  <c r="C1839"/>
  <c r="E1840"/>
  <c r="H1841"/>
  <c r="C1843"/>
  <c r="E1844"/>
  <c r="G1845"/>
  <c r="B1847"/>
  <c r="A1847" s="1"/>
  <c r="I1847" s="1"/>
  <c r="D1848"/>
  <c r="F1849"/>
  <c r="B1851"/>
  <c r="A1851" s="1"/>
  <c r="I1851" s="1"/>
  <c r="D1852"/>
  <c r="F1853"/>
  <c r="H1854"/>
  <c r="C1856"/>
  <c r="E1857"/>
  <c r="G1858"/>
  <c r="C1860"/>
  <c r="E1861"/>
  <c r="G1862"/>
  <c r="B1864"/>
  <c r="A1864" s="1"/>
  <c r="I1864" s="1"/>
  <c r="D1865"/>
  <c r="F1866"/>
  <c r="H1867"/>
  <c r="D1869"/>
  <c r="F1870"/>
  <c r="H1871"/>
  <c r="C1873"/>
  <c r="E1874"/>
  <c r="G1875"/>
  <c r="B1877"/>
  <c r="A1877" s="1"/>
  <c r="I1877" s="1"/>
  <c r="E1878"/>
  <c r="G1879"/>
  <c r="B1881"/>
  <c r="D1882"/>
  <c r="F1883"/>
  <c r="H1884"/>
  <c r="C1886"/>
  <c r="F1887"/>
  <c r="H1888"/>
  <c r="C1890"/>
  <c r="E1891"/>
  <c r="G1892"/>
  <c r="B1894"/>
  <c r="A1894" s="1"/>
  <c r="I1894" s="1"/>
  <c r="D1895"/>
  <c r="G1896"/>
  <c r="B1898"/>
  <c r="A1898" s="1"/>
  <c r="I1898" s="1"/>
  <c r="D1899"/>
  <c r="F1900"/>
  <c r="H1901"/>
  <c r="C1903"/>
  <c r="E1904"/>
  <c r="H1905"/>
  <c r="C1907"/>
  <c r="E1908"/>
  <c r="G1909"/>
  <c r="B1911"/>
  <c r="D1912"/>
  <c r="F1913"/>
  <c r="B1915"/>
  <c r="A1915" s="1"/>
  <c r="I1915" s="1"/>
  <c r="D1916"/>
  <c r="F1917"/>
  <c r="H1918"/>
  <c r="C1920"/>
  <c r="E1921"/>
  <c r="G1922"/>
  <c r="C1924"/>
  <c r="E1925"/>
  <c r="G1926"/>
  <c r="B1928"/>
  <c r="A1928" s="1"/>
  <c r="I1928" s="1"/>
  <c r="D1929"/>
  <c r="F1930"/>
  <c r="H1931"/>
  <c r="D1933"/>
  <c r="F1934"/>
  <c r="H1935"/>
  <c r="C1937"/>
  <c r="E1938"/>
  <c r="G1939"/>
  <c r="B1941"/>
  <c r="A1941" s="1"/>
  <c r="I1941" s="1"/>
  <c r="E1942"/>
  <c r="G1943"/>
  <c r="B1945"/>
  <c r="A1945" s="1"/>
  <c r="I1945" s="1"/>
  <c r="D1946"/>
  <c r="F1947"/>
  <c r="H1948"/>
  <c r="C1950"/>
  <c r="F1951"/>
  <c r="H1952"/>
  <c r="C1954"/>
  <c r="E1955"/>
  <c r="G1956"/>
  <c r="B1958"/>
  <c r="A1958" s="1"/>
  <c r="I1958" s="1"/>
  <c r="D1959"/>
  <c r="G1960"/>
  <c r="B1962"/>
  <c r="A1962" s="1"/>
  <c r="I1962" s="1"/>
  <c r="D1963"/>
  <c r="F1964"/>
  <c r="H1965"/>
  <c r="C1967"/>
  <c r="E1968"/>
  <c r="H1969"/>
  <c r="C1971"/>
  <c r="E1972"/>
  <c r="G1973"/>
  <c r="B1975"/>
  <c r="D1976"/>
  <c r="F1977"/>
  <c r="B1979"/>
  <c r="A1979" s="1"/>
  <c r="I1979" s="1"/>
  <c r="D1980"/>
  <c r="F1981"/>
  <c r="H1982"/>
  <c r="C1984"/>
  <c r="E1985"/>
  <c r="G1986"/>
  <c r="C1988"/>
  <c r="E1989"/>
  <c r="G1990"/>
  <c r="B1992"/>
  <c r="A1992" s="1"/>
  <c r="I1992" s="1"/>
  <c r="D1993"/>
  <c r="F1994"/>
  <c r="H1995"/>
  <c r="D1997"/>
  <c r="F1998"/>
  <c r="H1999"/>
  <c r="C2001"/>
  <c r="E2002"/>
  <c r="G2003"/>
  <c r="B2005"/>
  <c r="E2006"/>
  <c r="G2007"/>
  <c r="B2009"/>
  <c r="A2009" s="1"/>
  <c r="I2009" s="1"/>
  <c r="D2010"/>
  <c r="F2011"/>
  <c r="H2012"/>
  <c r="C2014"/>
  <c r="F2015"/>
  <c r="H2016"/>
  <c r="C2018"/>
  <c r="E2019"/>
  <c r="G2020"/>
  <c r="B2022"/>
  <c r="A2022" s="1"/>
  <c r="I2022" s="1"/>
  <c r="D2023"/>
  <c r="G2024"/>
  <c r="B2026"/>
  <c r="D2027"/>
  <c r="F2028"/>
  <c r="H2029"/>
  <c r="C2031"/>
  <c r="E2032"/>
  <c r="H2033"/>
  <c r="C2035"/>
  <c r="E2036"/>
  <c r="G2037"/>
  <c r="H2038"/>
  <c r="B2040"/>
  <c r="A2040" s="1"/>
  <c r="I2040" s="1"/>
  <c r="C2041"/>
  <c r="D2042"/>
  <c r="E2043"/>
  <c r="F2044"/>
  <c r="G2045"/>
  <c r="H2046"/>
  <c r="B2048"/>
  <c r="A2048" s="1"/>
  <c r="I2048" s="1"/>
  <c r="C2049"/>
  <c r="D2050"/>
  <c r="E2051"/>
  <c r="F2052"/>
  <c r="G2053"/>
  <c r="H2054"/>
  <c r="B2056"/>
  <c r="C2057"/>
  <c r="D2058"/>
  <c r="E2059"/>
  <c r="F2060"/>
  <c r="G2061"/>
  <c r="H2062"/>
  <c r="B2064"/>
  <c r="C2065"/>
  <c r="D2066"/>
  <c r="E2067"/>
  <c r="F2068"/>
  <c r="G2069"/>
  <c r="H2070"/>
  <c r="B2072"/>
  <c r="A2072" s="1"/>
  <c r="I2072" s="1"/>
  <c r="C2073"/>
  <c r="D2074"/>
  <c r="E2075"/>
  <c r="F2076"/>
  <c r="G2077"/>
  <c r="H2078"/>
  <c r="B2080"/>
  <c r="A2080" s="1"/>
  <c r="I2080" s="1"/>
  <c r="C2081"/>
  <c r="D2082"/>
  <c r="E2083"/>
  <c r="F2084"/>
  <c r="G2085"/>
  <c r="H2086"/>
  <c r="B2088"/>
  <c r="A2088" s="1"/>
  <c r="I2088" s="1"/>
  <c r="C2089"/>
  <c r="D2090"/>
  <c r="E2091"/>
  <c r="F2092"/>
  <c r="G2093"/>
  <c r="H2094"/>
  <c r="B2096"/>
  <c r="A2096" s="1"/>
  <c r="I2096" s="1"/>
  <c r="C2097"/>
  <c r="D2098"/>
  <c r="E2099"/>
  <c r="F2100"/>
  <c r="G2101"/>
  <c r="H2102"/>
  <c r="B2104"/>
  <c r="A2104" s="1"/>
  <c r="I2104" s="1"/>
  <c r="C2105"/>
  <c r="D2106"/>
  <c r="E2107"/>
  <c r="F2108"/>
  <c r="G2109"/>
  <c r="H2110"/>
  <c r="B2112"/>
  <c r="A2112" s="1"/>
  <c r="I2112" s="1"/>
  <c r="C2113"/>
  <c r="D2114"/>
  <c r="E2115"/>
  <c r="F2116"/>
  <c r="G2117"/>
  <c r="H2118"/>
  <c r="B2120"/>
  <c r="C2121"/>
  <c r="D2122"/>
  <c r="E2123"/>
  <c r="F2124"/>
  <c r="G2125"/>
  <c r="H2126"/>
  <c r="B2128"/>
  <c r="C2129"/>
  <c r="D2130"/>
  <c r="E2131"/>
  <c r="F2132"/>
  <c r="G2133"/>
  <c r="H2134"/>
  <c r="B2136"/>
  <c r="A2136" s="1"/>
  <c r="I2136" s="1"/>
  <c r="C2137"/>
  <c r="D2138"/>
  <c r="E2139"/>
  <c r="F2140"/>
  <c r="G2141"/>
  <c r="H2142"/>
  <c r="B2144"/>
  <c r="A2144" s="1"/>
  <c r="I2144" s="1"/>
  <c r="C2145"/>
  <c r="D2146"/>
  <c r="E2147"/>
  <c r="F2148"/>
  <c r="G2149"/>
  <c r="H2150"/>
  <c r="B2152"/>
  <c r="A2152" s="1"/>
  <c r="I2152" s="1"/>
  <c r="C2153"/>
  <c r="D2154"/>
  <c r="E2155"/>
  <c r="F2156"/>
  <c r="G2157"/>
  <c r="H2158"/>
  <c r="B2160"/>
  <c r="A2160" s="1"/>
  <c r="I2160" s="1"/>
  <c r="C2161"/>
  <c r="D2162"/>
  <c r="E2163"/>
  <c r="F2164"/>
  <c r="G2165"/>
  <c r="H2166"/>
  <c r="B2168"/>
  <c r="A2168" s="1"/>
  <c r="I2168" s="1"/>
  <c r="C2169"/>
  <c r="D2170"/>
  <c r="E2171"/>
  <c r="F2172"/>
  <c r="G2173"/>
  <c r="H2174"/>
  <c r="B2176"/>
  <c r="A2176" s="1"/>
  <c r="I2176" s="1"/>
  <c r="C2177"/>
  <c r="D2178"/>
  <c r="E2179"/>
  <c r="F2180"/>
  <c r="G2181"/>
  <c r="H2182"/>
  <c r="B2184"/>
  <c r="C2185"/>
  <c r="D2186"/>
  <c r="E2187"/>
  <c r="F2188"/>
  <c r="G2189"/>
  <c r="H2190"/>
  <c r="B2192"/>
  <c r="C2193"/>
  <c r="D2194"/>
  <c r="E2195"/>
  <c r="F2196"/>
  <c r="G2197"/>
  <c r="H2198"/>
  <c r="B2200"/>
  <c r="A2200" s="1"/>
  <c r="I2200" s="1"/>
  <c r="C2201"/>
  <c r="D2202"/>
  <c r="E2203"/>
  <c r="F2204"/>
  <c r="G2205"/>
  <c r="H2206"/>
  <c r="B2208"/>
  <c r="A2208" s="1"/>
  <c r="I2208" s="1"/>
  <c r="C2209"/>
  <c r="D2210"/>
  <c r="E2211"/>
  <c r="F2212"/>
  <c r="G2213"/>
  <c r="H2214"/>
  <c r="B2216"/>
  <c r="A2216" s="1"/>
  <c r="I2216" s="1"/>
  <c r="C2217"/>
  <c r="D2218"/>
  <c r="E2219"/>
  <c r="F2220"/>
  <c r="G2221"/>
  <c r="H2222"/>
  <c r="B2224"/>
  <c r="A2224" s="1"/>
  <c r="I2224" s="1"/>
  <c r="C2225"/>
  <c r="D2226"/>
  <c r="E2227"/>
  <c r="F2228"/>
  <c r="G2229"/>
  <c r="H2230"/>
  <c r="B2232"/>
  <c r="A2232" s="1"/>
  <c r="I2232" s="1"/>
  <c r="C2233"/>
  <c r="D2234"/>
  <c r="E2235"/>
  <c r="F2236"/>
  <c r="G2237"/>
  <c r="H2238"/>
  <c r="B2240"/>
  <c r="A2240" s="1"/>
  <c r="I2240" s="1"/>
  <c r="C2241"/>
  <c r="D2242"/>
  <c r="E2243"/>
  <c r="F2244"/>
  <c r="G2245"/>
  <c r="H2246"/>
  <c r="B2248"/>
  <c r="C2249"/>
  <c r="D2250"/>
  <c r="E2251"/>
  <c r="F2252"/>
  <c r="G2253"/>
  <c r="H2254"/>
  <c r="B2256"/>
  <c r="C2257"/>
  <c r="D2258"/>
  <c r="E2259"/>
  <c r="F2260"/>
  <c r="G2261"/>
  <c r="H2262"/>
  <c r="B2264"/>
  <c r="A2264" s="1"/>
  <c r="I2264" s="1"/>
  <c r="C2265"/>
  <c r="D2266"/>
  <c r="E2267"/>
  <c r="F2268"/>
  <c r="G2269"/>
  <c r="H2270"/>
  <c r="B2272"/>
  <c r="A2272" s="1"/>
  <c r="I2272" s="1"/>
  <c r="C2273"/>
  <c r="D2274"/>
  <c r="E2275"/>
  <c r="F2276"/>
  <c r="G2277"/>
  <c r="H2278"/>
  <c r="B2280"/>
  <c r="A2280" s="1"/>
  <c r="I2280" s="1"/>
  <c r="C2281"/>
  <c r="D2282"/>
  <c r="E2283"/>
  <c r="F2284"/>
  <c r="G2285"/>
  <c r="H2286"/>
  <c r="B2288"/>
  <c r="A2288" s="1"/>
  <c r="I2288" s="1"/>
  <c r="C2289"/>
  <c r="D2290"/>
  <c r="E2291"/>
  <c r="F2292"/>
  <c r="G2293"/>
  <c r="H2294"/>
  <c r="B2296"/>
  <c r="A2296" s="1"/>
  <c r="I2296" s="1"/>
  <c r="C2297"/>
  <c r="D2298"/>
  <c r="E2299"/>
  <c r="F2300"/>
  <c r="G2301"/>
  <c r="H2302"/>
  <c r="B2304"/>
  <c r="A2304" s="1"/>
  <c r="I2304" s="1"/>
  <c r="C2305"/>
  <c r="D2306"/>
  <c r="E2307"/>
  <c r="F2308"/>
  <c r="G2309"/>
  <c r="H2310"/>
  <c r="B2312"/>
  <c r="C2313"/>
  <c r="D2314"/>
  <c r="E2315"/>
  <c r="F2316"/>
  <c r="G2317"/>
  <c r="H2318"/>
  <c r="B2320"/>
  <c r="C2321"/>
  <c r="D2322"/>
  <c r="E2323"/>
  <c r="F2324"/>
  <c r="G2325"/>
  <c r="H2326"/>
  <c r="B2328"/>
  <c r="A2328" s="1"/>
  <c r="I2328" s="1"/>
  <c r="C2329"/>
  <c r="D2330"/>
  <c r="E2331"/>
  <c r="F2332"/>
  <c r="G2333"/>
  <c r="H2334"/>
  <c r="B2336"/>
  <c r="A2336" s="1"/>
  <c r="I2336" s="1"/>
  <c r="C2337"/>
  <c r="D2338"/>
  <c r="E2339"/>
  <c r="F2340"/>
  <c r="G2341"/>
  <c r="H2342"/>
  <c r="B2344"/>
  <c r="A2344" s="1"/>
  <c r="I2344" s="1"/>
  <c r="C2345"/>
  <c r="D2346"/>
  <c r="E2347"/>
  <c r="F2348"/>
  <c r="G2349"/>
  <c r="H2350"/>
  <c r="B2352"/>
  <c r="A2352" s="1"/>
  <c r="I2352" s="1"/>
  <c r="C2353"/>
  <c r="D2354"/>
  <c r="E2355"/>
  <c r="F2356"/>
  <c r="G2357"/>
  <c r="H2358"/>
  <c r="B2360"/>
  <c r="A2360" s="1"/>
  <c r="I2360" s="1"/>
  <c r="C2361"/>
  <c r="D2362"/>
  <c r="E2363"/>
  <c r="F2364"/>
  <c r="G2365"/>
  <c r="H2366"/>
  <c r="B2368"/>
  <c r="A2368" s="1"/>
  <c r="I2368" s="1"/>
  <c r="C2369"/>
  <c r="D2370"/>
  <c r="E2371"/>
  <c r="F2372"/>
  <c r="G2373"/>
  <c r="H2374"/>
  <c r="B2376"/>
  <c r="C2377"/>
  <c r="D2378"/>
  <c r="E2379"/>
  <c r="F2380"/>
  <c r="G2381"/>
  <c r="H2382"/>
  <c r="B2384"/>
  <c r="C2385"/>
  <c r="D2386"/>
  <c r="E2387"/>
  <c r="F2388"/>
  <c r="G2389"/>
  <c r="H2390"/>
  <c r="B2392"/>
  <c r="A2392" s="1"/>
  <c r="I2392" s="1"/>
  <c r="C2393"/>
  <c r="D2394"/>
  <c r="E2395"/>
  <c r="F2396"/>
  <c r="G2397"/>
  <c r="H2398"/>
  <c r="B2400"/>
  <c r="A2400" s="1"/>
  <c r="I2400" s="1"/>
  <c r="C2401"/>
  <c r="D2402"/>
  <c r="E2403"/>
  <c r="F2404"/>
  <c r="G2405"/>
  <c r="H2406"/>
  <c r="B2408"/>
  <c r="A2408" s="1"/>
  <c r="I2408" s="1"/>
  <c r="C2409"/>
  <c r="D2410"/>
  <c r="E2411"/>
  <c r="F2412"/>
  <c r="G2413"/>
  <c r="H2414"/>
  <c r="B2416"/>
  <c r="A2416" s="1"/>
  <c r="I2416" s="1"/>
  <c r="C2417"/>
  <c r="D2418"/>
  <c r="E2419"/>
  <c r="F2420"/>
  <c r="G2421"/>
  <c r="H2422"/>
  <c r="B2424"/>
  <c r="A2424" s="1"/>
  <c r="I2424" s="1"/>
  <c r="C2425"/>
  <c r="D2426"/>
  <c r="E2427"/>
  <c r="F2428"/>
  <c r="G2429"/>
  <c r="H2430"/>
  <c r="B2432"/>
  <c r="A2432" s="1"/>
  <c r="I2432" s="1"/>
  <c r="C2433"/>
  <c r="D2434"/>
  <c r="E2435"/>
  <c r="F2436"/>
  <c r="G2437"/>
  <c r="H2438"/>
  <c r="B2440"/>
  <c r="C2441"/>
  <c r="D2442"/>
  <c r="E2443"/>
  <c r="F2444"/>
  <c r="G2445"/>
  <c r="H2446"/>
  <c r="B2448"/>
  <c r="C2449"/>
  <c r="D2450"/>
  <c r="E2451"/>
  <c r="F2452"/>
  <c r="G2453"/>
  <c r="H2454"/>
  <c r="B2456"/>
  <c r="A2456" s="1"/>
  <c r="I2456" s="1"/>
  <c r="C2457"/>
  <c r="D2458"/>
  <c r="E2459"/>
  <c r="F2460"/>
  <c r="G2461"/>
  <c r="H2462"/>
  <c r="B2464"/>
  <c r="A2464" s="1"/>
  <c r="I2464" s="1"/>
  <c r="C2465"/>
  <c r="D2466"/>
  <c r="E2467"/>
  <c r="F2468"/>
  <c r="G2469"/>
  <c r="H2470"/>
  <c r="B2472"/>
  <c r="A2472" s="1"/>
  <c r="I2472" s="1"/>
  <c r="C2473"/>
  <c r="D2474"/>
  <c r="E2475"/>
  <c r="F2476"/>
  <c r="G2477"/>
  <c r="H2478"/>
  <c r="B2480"/>
  <c r="A2480" s="1"/>
  <c r="I2480" s="1"/>
  <c r="C2481"/>
  <c r="D2482"/>
  <c r="E2483"/>
  <c r="F2484"/>
  <c r="G2485"/>
  <c r="H2486"/>
  <c r="B2488"/>
  <c r="A2488" s="1"/>
  <c r="I2488" s="1"/>
  <c r="C2489"/>
  <c r="D2490"/>
  <c r="E2491"/>
  <c r="F2492"/>
  <c r="G2493"/>
  <c r="H2494"/>
  <c r="B2496"/>
  <c r="A2496" s="1"/>
  <c r="I2496" s="1"/>
  <c r="C2497"/>
  <c r="D2498"/>
  <c r="E2499"/>
  <c r="F2500"/>
  <c r="G2501"/>
  <c r="H2502"/>
  <c r="B2504"/>
  <c r="C2505"/>
  <c r="D2506"/>
  <c r="E2507"/>
  <c r="F2508"/>
  <c r="G2509"/>
  <c r="H2510"/>
  <c r="B2512"/>
  <c r="C2513"/>
  <c r="D2514"/>
  <c r="E2515"/>
  <c r="F2516"/>
  <c r="G2517"/>
  <c r="H2518"/>
  <c r="B2520"/>
  <c r="A2520" s="1"/>
  <c r="I2520" s="1"/>
  <c r="C2521"/>
  <c r="D2522"/>
  <c r="E2523"/>
  <c r="F2524"/>
  <c r="G2525"/>
  <c r="H2526"/>
  <c r="C63"/>
  <c r="H179"/>
  <c r="D257"/>
  <c r="B304"/>
  <c r="G345"/>
  <c r="F387"/>
  <c r="H421"/>
  <c r="H450"/>
  <c r="D480"/>
  <c r="H501"/>
  <c r="G522"/>
  <c r="G543"/>
  <c r="F564"/>
  <c r="C585"/>
  <c r="F597"/>
  <c r="E609"/>
  <c r="E621"/>
  <c r="D633"/>
  <c r="C645"/>
  <c r="C657"/>
  <c r="B669"/>
  <c r="A669" s="1"/>
  <c r="I669" s="1"/>
  <c r="C681"/>
  <c r="G691"/>
  <c r="C702"/>
  <c r="F712"/>
  <c r="B723"/>
  <c r="A723" s="1"/>
  <c r="I723" s="1"/>
  <c r="E733"/>
  <c r="H743"/>
  <c r="E754"/>
  <c r="H764"/>
  <c r="D775"/>
  <c r="G785"/>
  <c r="C796"/>
  <c r="F806"/>
  <c r="B817"/>
  <c r="F827"/>
  <c r="B838"/>
  <c r="A838" s="1"/>
  <c r="I838" s="1"/>
  <c r="E848"/>
  <c r="H858"/>
  <c r="D869"/>
  <c r="G879"/>
  <c r="C890"/>
  <c r="G900"/>
  <c r="C911"/>
  <c r="F921"/>
  <c r="B932"/>
  <c r="A932" s="1"/>
  <c r="I932" s="1"/>
  <c r="F941"/>
  <c r="G950"/>
  <c r="H959"/>
  <c r="B969"/>
  <c r="A969" s="1"/>
  <c r="I969" s="1"/>
  <c r="C978"/>
  <c r="D987"/>
  <c r="E996"/>
  <c r="F1005"/>
  <c r="G1014"/>
  <c r="H1023"/>
  <c r="B1033"/>
  <c r="A1033" s="1"/>
  <c r="I1033" s="1"/>
  <c r="C1042"/>
  <c r="D1051"/>
  <c r="E1060"/>
  <c r="F1069"/>
  <c r="G1078"/>
  <c r="H1087"/>
  <c r="B1097"/>
  <c r="A1097" s="1"/>
  <c r="I1097" s="1"/>
  <c r="D1104"/>
  <c r="E1109"/>
  <c r="G1114"/>
  <c r="H1119"/>
  <c r="C1125"/>
  <c r="E1130"/>
  <c r="F1135"/>
  <c r="H1140"/>
  <c r="B1146"/>
  <c r="A1146" s="1"/>
  <c r="I1146" s="1"/>
  <c r="D1151"/>
  <c r="E1156"/>
  <c r="G1161"/>
  <c r="B1167"/>
  <c r="A1167" s="1"/>
  <c r="I1167" s="1"/>
  <c r="C1172"/>
  <c r="E1177"/>
  <c r="F1182"/>
  <c r="H1187"/>
  <c r="B1193"/>
  <c r="A1193" s="1"/>
  <c r="I1193" s="1"/>
  <c r="D1198"/>
  <c r="F1203"/>
  <c r="G1208"/>
  <c r="B1214"/>
  <c r="A1214" s="1"/>
  <c r="I1214" s="1"/>
  <c r="C1219"/>
  <c r="E1224"/>
  <c r="F1229"/>
  <c r="H1234"/>
  <c r="C1240"/>
  <c r="D1245"/>
  <c r="F1250"/>
  <c r="G1255"/>
  <c r="B1261"/>
  <c r="A1261" s="1"/>
  <c r="I1261" s="1"/>
  <c r="C1266"/>
  <c r="E1271"/>
  <c r="G1276"/>
  <c r="H1281"/>
  <c r="C1287"/>
  <c r="D1292"/>
  <c r="F1297"/>
  <c r="G1302"/>
  <c r="B1308"/>
  <c r="A1308" s="1"/>
  <c r="I1308" s="1"/>
  <c r="D1313"/>
  <c r="E1318"/>
  <c r="G1323"/>
  <c r="H1328"/>
  <c r="C1334"/>
  <c r="D1339"/>
  <c r="F1344"/>
  <c r="H1349"/>
  <c r="B1355"/>
  <c r="A1355" s="1"/>
  <c r="I1355" s="1"/>
  <c r="D1360"/>
  <c r="E1365"/>
  <c r="G1370"/>
  <c r="H1375"/>
  <c r="C1381"/>
  <c r="E1386"/>
  <c r="F1391"/>
  <c r="H1396"/>
  <c r="B1402"/>
  <c r="A1402" s="1"/>
  <c r="I1402" s="1"/>
  <c r="D1407"/>
  <c r="E1412"/>
  <c r="G1417"/>
  <c r="B1423"/>
  <c r="A1423" s="1"/>
  <c r="I1423" s="1"/>
  <c r="C1428"/>
  <c r="E1433"/>
  <c r="F1438"/>
  <c r="H1443"/>
  <c r="B1449"/>
  <c r="D1454"/>
  <c r="F1459"/>
  <c r="G1464"/>
  <c r="B1470"/>
  <c r="A1470" s="1"/>
  <c r="I1470" s="1"/>
  <c r="C1475"/>
  <c r="E1480"/>
  <c r="F1485"/>
  <c r="H1490"/>
  <c r="C1496"/>
  <c r="D1501"/>
  <c r="F1506"/>
  <c r="E1511"/>
  <c r="E1514"/>
  <c r="E1517"/>
  <c r="E1520"/>
  <c r="D1523"/>
  <c r="E1526"/>
  <c r="E1529"/>
  <c r="D1532"/>
  <c r="D1535"/>
  <c r="E1538"/>
  <c r="D1541"/>
  <c r="D1544"/>
  <c r="D1547"/>
  <c r="D1550"/>
  <c r="D1553"/>
  <c r="C1556"/>
  <c r="D1559"/>
  <c r="C1562"/>
  <c r="C1565"/>
  <c r="D1568"/>
  <c r="C1571"/>
  <c r="H1573"/>
  <c r="E1576"/>
  <c r="C1579"/>
  <c r="G1581"/>
  <c r="D1584"/>
  <c r="B1587"/>
  <c r="A1587" s="1"/>
  <c r="I1587" s="1"/>
  <c r="F1589"/>
  <c r="C1592"/>
  <c r="G1594"/>
  <c r="E1597"/>
  <c r="B1600"/>
  <c r="A1600" s="1"/>
  <c r="I1600" s="1"/>
  <c r="F1602"/>
  <c r="D1605"/>
  <c r="H1607"/>
  <c r="E1610"/>
  <c r="B1613"/>
  <c r="G1615"/>
  <c r="D1618"/>
  <c r="H1620"/>
  <c r="F1623"/>
  <c r="C1626"/>
  <c r="G1628"/>
  <c r="D1631"/>
  <c r="B1634"/>
  <c r="F1636"/>
  <c r="C1639"/>
  <c r="H1641"/>
  <c r="E1644"/>
  <c r="B1647"/>
  <c r="A1647" s="1"/>
  <c r="I1647" s="1"/>
  <c r="F1649"/>
  <c r="D1652"/>
  <c r="H1654"/>
  <c r="E1657"/>
  <c r="C1660"/>
  <c r="G1662"/>
  <c r="D1665"/>
  <c r="H1667"/>
  <c r="F1670"/>
  <c r="C1673"/>
  <c r="G1675"/>
  <c r="E1678"/>
  <c r="B1681"/>
  <c r="A1681" s="1"/>
  <c r="I1681" s="1"/>
  <c r="F1683"/>
  <c r="C1686"/>
  <c r="H1688"/>
  <c r="E1691"/>
  <c r="B1694"/>
  <c r="A1694" s="1"/>
  <c r="I1694" s="1"/>
  <c r="G1696"/>
  <c r="D1699"/>
  <c r="H1701"/>
  <c r="E1704"/>
  <c r="C1707"/>
  <c r="G1709"/>
  <c r="D1712"/>
  <c r="B1715"/>
  <c r="A1715" s="1"/>
  <c r="I1715" s="1"/>
  <c r="F1717"/>
  <c r="C1720"/>
  <c r="G1722"/>
  <c r="E1725"/>
  <c r="B1728"/>
  <c r="A1728" s="1"/>
  <c r="I1728" s="1"/>
  <c r="F1730"/>
  <c r="D1733"/>
  <c r="H1735"/>
  <c r="E1738"/>
  <c r="B1741"/>
  <c r="G1743"/>
  <c r="D1746"/>
  <c r="H1748"/>
  <c r="F1751"/>
  <c r="C1754"/>
  <c r="G1756"/>
  <c r="D1759"/>
  <c r="B1762"/>
  <c r="F1764"/>
  <c r="C1767"/>
  <c r="H1769"/>
  <c r="E1772"/>
  <c r="B1775"/>
  <c r="A1775" s="1"/>
  <c r="I1775" s="1"/>
  <c r="F1777"/>
  <c r="D1780"/>
  <c r="H1782"/>
  <c r="E1785"/>
  <c r="C1788"/>
  <c r="G1790"/>
  <c r="D1793"/>
  <c r="H1795"/>
  <c r="F1798"/>
  <c r="C1801"/>
  <c r="G1803"/>
  <c r="E1806"/>
  <c r="B1809"/>
  <c r="A1809" s="1"/>
  <c r="I1809" s="1"/>
  <c r="F1811"/>
  <c r="C1814"/>
  <c r="H1816"/>
  <c r="E1819"/>
  <c r="B1822"/>
  <c r="G1824"/>
  <c r="D1827"/>
  <c r="H1829"/>
  <c r="E1832"/>
  <c r="C1835"/>
  <c r="G1837"/>
  <c r="D1840"/>
  <c r="B1843"/>
  <c r="F1845"/>
  <c r="C1848"/>
  <c r="G1850"/>
  <c r="E1853"/>
  <c r="B1856"/>
  <c r="A1856" s="1"/>
  <c r="I1856" s="1"/>
  <c r="F1858"/>
  <c r="D1861"/>
  <c r="H1863"/>
  <c r="E1866"/>
  <c r="B1869"/>
  <c r="A1869" s="1"/>
  <c r="I1869" s="1"/>
  <c r="G1871"/>
  <c r="D1874"/>
  <c r="H1876"/>
  <c r="F1879"/>
  <c r="C1882"/>
  <c r="G1884"/>
  <c r="D1887"/>
  <c r="B1890"/>
  <c r="A1890" s="1"/>
  <c r="I1890" s="1"/>
  <c r="F1892"/>
  <c r="C1895"/>
  <c r="H1897"/>
  <c r="E1900"/>
  <c r="B1903"/>
  <c r="A1903" s="1"/>
  <c r="I1903" s="1"/>
  <c r="F1905"/>
  <c r="D1908"/>
  <c r="H1910"/>
  <c r="E1913"/>
  <c r="C1916"/>
  <c r="G1918"/>
  <c r="D1921"/>
  <c r="H1923"/>
  <c r="F1926"/>
  <c r="C1929"/>
  <c r="G1931"/>
  <c r="E1934"/>
  <c r="B1937"/>
  <c r="A1937" s="1"/>
  <c r="I1937" s="1"/>
  <c r="F1939"/>
  <c r="C1942"/>
  <c r="H1944"/>
  <c r="E1947"/>
  <c r="B1950"/>
  <c r="G1952"/>
  <c r="D1955"/>
  <c r="H1957"/>
  <c r="E1960"/>
  <c r="C1963"/>
  <c r="G1965"/>
  <c r="D1968"/>
  <c r="B1971"/>
  <c r="F1973"/>
  <c r="C1976"/>
  <c r="G1978"/>
  <c r="E1981"/>
  <c r="B1984"/>
  <c r="A1984" s="1"/>
  <c r="I1984" s="1"/>
  <c r="F1986"/>
  <c r="D1989"/>
  <c r="B63"/>
  <c r="G179"/>
  <c r="H256"/>
  <c r="H303"/>
  <c r="F345"/>
  <c r="E387"/>
  <c r="G421"/>
  <c r="G450"/>
  <c r="C480"/>
  <c r="G501"/>
  <c r="F522"/>
  <c r="E543"/>
  <c r="E564"/>
  <c r="B585"/>
  <c r="A585" s="1"/>
  <c r="I585" s="1"/>
  <c r="C597"/>
  <c r="D609"/>
  <c r="C621"/>
  <c r="C633"/>
  <c r="B645"/>
  <c r="A645" s="1"/>
  <c r="I645" s="1"/>
  <c r="B657"/>
  <c r="A657" s="1"/>
  <c r="I657" s="1"/>
  <c r="H668"/>
  <c r="H680"/>
  <c r="F691"/>
  <c r="B702"/>
  <c r="A702" s="1"/>
  <c r="I702" s="1"/>
  <c r="E712"/>
  <c r="H722"/>
  <c r="D733"/>
  <c r="G743"/>
  <c r="C754"/>
  <c r="G764"/>
  <c r="C775"/>
  <c r="F785"/>
  <c r="B796"/>
  <c r="E806"/>
  <c r="H816"/>
  <c r="D827"/>
  <c r="H837"/>
  <c r="D848"/>
  <c r="G858"/>
  <c r="C869"/>
  <c r="F879"/>
  <c r="B890"/>
  <c r="A890" s="1"/>
  <c r="I890" s="1"/>
  <c r="E900"/>
  <c r="B911"/>
  <c r="A911" s="1"/>
  <c r="I911" s="1"/>
  <c r="E921"/>
  <c r="H931"/>
  <c r="E941"/>
  <c r="F950"/>
  <c r="G959"/>
  <c r="H968"/>
  <c r="B978"/>
  <c r="A978" s="1"/>
  <c r="I978" s="1"/>
  <c r="C987"/>
  <c r="D996"/>
  <c r="E1005"/>
  <c r="F1014"/>
  <c r="G1023"/>
  <c r="H1032"/>
  <c r="B1042"/>
  <c r="A1042" s="1"/>
  <c r="I1042" s="1"/>
  <c r="C1051"/>
  <c r="D1060"/>
  <c r="E1069"/>
  <c r="F1078"/>
  <c r="G1087"/>
  <c r="H1096"/>
  <c r="C1104"/>
  <c r="D1109"/>
  <c r="F1114"/>
  <c r="G1119"/>
  <c r="B1125"/>
  <c r="A1125" s="1"/>
  <c r="I1125" s="1"/>
  <c r="C1130"/>
  <c r="E1135"/>
  <c r="G1140"/>
  <c r="H1145"/>
  <c r="C1151"/>
  <c r="D1156"/>
  <c r="F1161"/>
  <c r="G1166"/>
  <c r="B1172"/>
  <c r="A1172" s="1"/>
  <c r="I1172" s="1"/>
  <c r="D1177"/>
  <c r="E1182"/>
  <c r="G1187"/>
  <c r="H1192"/>
  <c r="C1198"/>
  <c r="D1203"/>
  <c r="F1208"/>
  <c r="H1213"/>
  <c r="B1219"/>
  <c r="A1219" s="1"/>
  <c r="I1219" s="1"/>
  <c r="D1224"/>
  <c r="E1229"/>
  <c r="G1234"/>
  <c r="H1239"/>
  <c r="C1245"/>
  <c r="E1250"/>
  <c r="F1255"/>
  <c r="H1260"/>
  <c r="B1266"/>
  <c r="D1271"/>
  <c r="E1276"/>
  <c r="G1281"/>
  <c r="B1287"/>
  <c r="A1287" s="1"/>
  <c r="I1287" s="1"/>
  <c r="C1292"/>
  <c r="E1297"/>
  <c r="F1302"/>
  <c r="H1307"/>
  <c r="B1313"/>
  <c r="D1318"/>
  <c r="F1323"/>
  <c r="G1328"/>
  <c r="B1334"/>
  <c r="A1334" s="1"/>
  <c r="I1334" s="1"/>
  <c r="C1339"/>
  <c r="E1344"/>
  <c r="F1349"/>
  <c r="H1354"/>
  <c r="C1360"/>
  <c r="D1365"/>
  <c r="F1370"/>
  <c r="G1375"/>
  <c r="B1381"/>
  <c r="A1381" s="1"/>
  <c r="I1381" s="1"/>
  <c r="C1386"/>
  <c r="E1391"/>
  <c r="G1396"/>
  <c r="H1401"/>
  <c r="C1407"/>
  <c r="D1412"/>
  <c r="F1417"/>
  <c r="G1422"/>
  <c r="B1428"/>
  <c r="A1428" s="1"/>
  <c r="I1428" s="1"/>
  <c r="D1433"/>
  <c r="E1438"/>
  <c r="G1443"/>
  <c r="H1448"/>
  <c r="C1454"/>
  <c r="D1459"/>
  <c r="F1464"/>
  <c r="H1469"/>
  <c r="B1475"/>
  <c r="D1480"/>
  <c r="E1485"/>
  <c r="G1490"/>
  <c r="H1495"/>
  <c r="C1501"/>
  <c r="E1506"/>
  <c r="D1511"/>
  <c r="C1514"/>
  <c r="D1517"/>
  <c r="D1520"/>
  <c r="C1523"/>
  <c r="C1526"/>
  <c r="D1529"/>
  <c r="C1532"/>
  <c r="C1535"/>
  <c r="C1538"/>
  <c r="C1541"/>
  <c r="C1544"/>
  <c r="B1547"/>
  <c r="A1547" s="1"/>
  <c r="I1547" s="1"/>
  <c r="C1550"/>
  <c r="B1553"/>
  <c r="A1553" s="1"/>
  <c r="I1553" s="1"/>
  <c r="B1556"/>
  <c r="A1556" s="1"/>
  <c r="I1556" s="1"/>
  <c r="C1559"/>
  <c r="B1562"/>
  <c r="A1562" s="1"/>
  <c r="I1562" s="1"/>
  <c r="B1565"/>
  <c r="H1567"/>
  <c r="B1571"/>
  <c r="A1571" s="1"/>
  <c r="I1571" s="1"/>
  <c r="G1573"/>
  <c r="D1576"/>
  <c r="B1579"/>
  <c r="A1579" s="1"/>
  <c r="I1579" s="1"/>
  <c r="F1581"/>
  <c r="C1584"/>
  <c r="G1586"/>
  <c r="E1589"/>
  <c r="B1592"/>
  <c r="A1592" s="1"/>
  <c r="I1592" s="1"/>
  <c r="F1594"/>
  <c r="D1597"/>
  <c r="H1599"/>
  <c r="E1602"/>
  <c r="B1605"/>
  <c r="G1607"/>
  <c r="D1610"/>
  <c r="H1612"/>
  <c r="F1615"/>
  <c r="C1618"/>
  <c r="G1620"/>
  <c r="D1623"/>
  <c r="B1626"/>
  <c r="F1628"/>
  <c r="C1631"/>
  <c r="H1633"/>
  <c r="E1636"/>
  <c r="B1639"/>
  <c r="A1639" s="1"/>
  <c r="I1639" s="1"/>
  <c r="F1641"/>
  <c r="D1644"/>
  <c r="H1646"/>
  <c r="E1649"/>
  <c r="C1652"/>
  <c r="G1654"/>
  <c r="D1657"/>
  <c r="H1659"/>
  <c r="F1662"/>
  <c r="C1665"/>
  <c r="G1667"/>
  <c r="E1670"/>
  <c r="B1673"/>
  <c r="A1673" s="1"/>
  <c r="I1673" s="1"/>
  <c r="F1675"/>
  <c r="C1678"/>
  <c r="H1680"/>
  <c r="E1683"/>
  <c r="B1686"/>
  <c r="A1686" s="1"/>
  <c r="I1686" s="1"/>
  <c r="G1688"/>
  <c r="D1691"/>
  <c r="H1693"/>
  <c r="E1696"/>
  <c r="C1699"/>
  <c r="G1701"/>
  <c r="D1704"/>
  <c r="B1707"/>
  <c r="A1707" s="1"/>
  <c r="I1707" s="1"/>
  <c r="F1709"/>
  <c r="C1712"/>
  <c r="G1714"/>
  <c r="E1717"/>
  <c r="B1720"/>
  <c r="A1720" s="1"/>
  <c r="I1720" s="1"/>
  <c r="F1722"/>
  <c r="D1725"/>
  <c r="H1727"/>
  <c r="E1730"/>
  <c r="B1733"/>
  <c r="G1735"/>
  <c r="D1738"/>
  <c r="H1740"/>
  <c r="F1743"/>
  <c r="C1746"/>
  <c r="G1748"/>
  <c r="D1751"/>
  <c r="B1754"/>
  <c r="F1756"/>
  <c r="C1759"/>
  <c r="H1761"/>
  <c r="E1764"/>
  <c r="B1767"/>
  <c r="A1767" s="1"/>
  <c r="I1767" s="1"/>
  <c r="F1769"/>
  <c r="D1772"/>
  <c r="H1774"/>
  <c r="E1777"/>
  <c r="C1780"/>
  <c r="G1782"/>
  <c r="D1785"/>
  <c r="H1787"/>
  <c r="F1790"/>
  <c r="C1793"/>
  <c r="G1795"/>
  <c r="E1798"/>
  <c r="B1801"/>
  <c r="A1801" s="1"/>
  <c r="I1801" s="1"/>
  <c r="F1803"/>
  <c r="C1806"/>
  <c r="H1808"/>
  <c r="E1811"/>
  <c r="B1814"/>
  <c r="B62"/>
  <c r="A62" s="1"/>
  <c r="I62" s="1"/>
  <c r="F179"/>
  <c r="F256"/>
  <c r="G303"/>
  <c r="E345"/>
  <c r="D387"/>
  <c r="C421"/>
  <c r="F450"/>
  <c r="B480"/>
  <c r="F501"/>
  <c r="E522"/>
  <c r="D543"/>
  <c r="D564"/>
  <c r="H584"/>
  <c r="B597"/>
  <c r="A597" s="1"/>
  <c r="I597" s="1"/>
  <c r="B609"/>
  <c r="B621"/>
  <c r="B633"/>
  <c r="A633" s="1"/>
  <c r="I633" s="1"/>
  <c r="H644"/>
  <c r="H656"/>
  <c r="G668"/>
  <c r="F680"/>
  <c r="D691"/>
  <c r="H701"/>
  <c r="D712"/>
  <c r="G722"/>
  <c r="C733"/>
  <c r="F743"/>
  <c r="B754"/>
  <c r="A754" s="1"/>
  <c r="I754" s="1"/>
  <c r="E764"/>
  <c r="B775"/>
  <c r="A775" s="1"/>
  <c r="I775" s="1"/>
  <c r="E785"/>
  <c r="H795"/>
  <c r="D806"/>
  <c r="G816"/>
  <c r="C827"/>
  <c r="F837"/>
  <c r="C848"/>
  <c r="F858"/>
  <c r="B869"/>
  <c r="E879"/>
  <c r="H889"/>
  <c r="D900"/>
  <c r="G910"/>
  <c r="D921"/>
  <c r="G931"/>
  <c r="D941"/>
  <c r="E950"/>
  <c r="F959"/>
  <c r="G968"/>
  <c r="H977"/>
  <c r="B987"/>
  <c r="A987" s="1"/>
  <c r="I987" s="1"/>
  <c r="C996"/>
  <c r="D1005"/>
  <c r="E1014"/>
  <c r="F1023"/>
  <c r="G1032"/>
  <c r="H1041"/>
  <c r="B1051"/>
  <c r="A1051" s="1"/>
  <c r="I1051" s="1"/>
  <c r="C1060"/>
  <c r="D1069"/>
  <c r="E1078"/>
  <c r="F1087"/>
  <c r="G1096"/>
  <c r="H1103"/>
  <c r="C1109"/>
  <c r="E1114"/>
  <c r="F1119"/>
  <c r="H1124"/>
  <c r="B1130"/>
  <c r="A1130" s="1"/>
  <c r="I1130" s="1"/>
  <c r="D1135"/>
  <c r="E1140"/>
  <c r="G1145"/>
  <c r="B1151"/>
  <c r="A1151" s="1"/>
  <c r="I1151" s="1"/>
  <c r="C1156"/>
  <c r="E1161"/>
  <c r="F1166"/>
  <c r="H1171"/>
  <c r="B1177"/>
  <c r="A1177" s="1"/>
  <c r="I1177" s="1"/>
  <c r="D1182"/>
  <c r="F1187"/>
  <c r="G1192"/>
  <c r="B1198"/>
  <c r="A1198" s="1"/>
  <c r="I1198" s="1"/>
  <c r="C1203"/>
  <c r="E1208"/>
  <c r="F1213"/>
  <c r="H1218"/>
  <c r="C1224"/>
  <c r="D1229"/>
  <c r="F1234"/>
  <c r="G1239"/>
  <c r="B1245"/>
  <c r="A1245" s="1"/>
  <c r="I1245" s="1"/>
  <c r="C1250"/>
  <c r="E1255"/>
  <c r="G1260"/>
  <c r="H1265"/>
  <c r="C1271"/>
  <c r="D1276"/>
  <c r="F1281"/>
  <c r="G1286"/>
  <c r="B1292"/>
  <c r="A1292" s="1"/>
  <c r="I1292" s="1"/>
  <c r="D1297"/>
  <c r="E1302"/>
  <c r="G1307"/>
  <c r="H1312"/>
  <c r="C1318"/>
  <c r="D1323"/>
  <c r="F1328"/>
  <c r="H1333"/>
  <c r="B1339"/>
  <c r="A1339" s="1"/>
  <c r="I1339" s="1"/>
  <c r="D1344"/>
  <c r="E1349"/>
  <c r="G1354"/>
  <c r="H1359"/>
  <c r="C1365"/>
  <c r="E1370"/>
  <c r="F1375"/>
  <c r="H1380"/>
  <c r="B1386"/>
  <c r="A1386" s="1"/>
  <c r="I1386" s="1"/>
  <c r="D1391"/>
  <c r="E1396"/>
  <c r="G1401"/>
  <c r="B1407"/>
  <c r="A1407" s="1"/>
  <c r="I1407" s="1"/>
  <c r="C1412"/>
  <c r="E1417"/>
  <c r="F1422"/>
  <c r="H1427"/>
  <c r="B1433"/>
  <c r="D1438"/>
  <c r="F1443"/>
  <c r="G1448"/>
  <c r="B1454"/>
  <c r="A1454" s="1"/>
  <c r="I1454" s="1"/>
  <c r="C1459"/>
  <c r="E1464"/>
  <c r="F1469"/>
  <c r="H1474"/>
  <c r="C1480"/>
  <c r="D1485"/>
  <c r="F1490"/>
  <c r="G1495"/>
  <c r="B1501"/>
  <c r="A1501" s="1"/>
  <c r="I1501" s="1"/>
  <c r="C1506"/>
  <c r="C1511"/>
  <c r="B1514"/>
  <c r="B1517"/>
  <c r="C1520"/>
  <c r="B1523"/>
  <c r="A1523" s="1"/>
  <c r="I1523" s="1"/>
  <c r="B1526"/>
  <c r="A1526" s="1"/>
  <c r="I1526" s="1"/>
  <c r="B1529"/>
  <c r="A1529" s="1"/>
  <c r="I1529" s="1"/>
  <c r="B1532"/>
  <c r="A1532" s="1"/>
  <c r="I1532" s="1"/>
  <c r="B1535"/>
  <c r="A1535" s="1"/>
  <c r="I1535" s="1"/>
  <c r="H1537"/>
  <c r="B1541"/>
  <c r="H1543"/>
  <c r="H1546"/>
  <c r="B1550"/>
  <c r="A1550" s="1"/>
  <c r="I1550" s="1"/>
  <c r="H1552"/>
  <c r="H1555"/>
  <c r="G1558"/>
  <c r="H1561"/>
  <c r="H1564"/>
  <c r="G1567"/>
  <c r="H1570"/>
  <c r="F1573"/>
  <c r="C1576"/>
  <c r="G1578"/>
  <c r="E1581"/>
  <c r="B1584"/>
  <c r="F1586"/>
  <c r="D1589"/>
  <c r="H1591"/>
  <c r="E1594"/>
  <c r="B1597"/>
  <c r="A1597" s="1"/>
  <c r="I1597" s="1"/>
  <c r="G1599"/>
  <c r="D1602"/>
  <c r="H1604"/>
  <c r="F1607"/>
  <c r="C1610"/>
  <c r="G1612"/>
  <c r="D1615"/>
  <c r="B1618"/>
  <c r="A1618" s="1"/>
  <c r="I1618" s="1"/>
  <c r="F1620"/>
  <c r="C1623"/>
  <c r="H1625"/>
  <c r="E1628"/>
  <c r="B1631"/>
  <c r="A1631" s="1"/>
  <c r="I1631" s="1"/>
  <c r="F1633"/>
  <c r="D1636"/>
  <c r="H1638"/>
  <c r="E1641"/>
  <c r="C1644"/>
  <c r="G1646"/>
  <c r="D1649"/>
  <c r="H1651"/>
  <c r="F1654"/>
  <c r="C1657"/>
  <c r="G1659"/>
  <c r="E1662"/>
  <c r="B1665"/>
  <c r="A1665" s="1"/>
  <c r="I1665" s="1"/>
  <c r="F1667"/>
  <c r="C1670"/>
  <c r="H1672"/>
  <c r="E1675"/>
  <c r="B1678"/>
  <c r="A1678" s="1"/>
  <c r="I1678" s="1"/>
  <c r="G1680"/>
  <c r="D1683"/>
  <c r="H1685"/>
  <c r="E1688"/>
  <c r="C1691"/>
  <c r="G1693"/>
  <c r="D1696"/>
  <c r="B1699"/>
  <c r="A1699" s="1"/>
  <c r="I1699" s="1"/>
  <c r="F1701"/>
  <c r="C1704"/>
  <c r="G1706"/>
  <c r="E1709"/>
  <c r="B1712"/>
  <c r="F1714"/>
  <c r="D1717"/>
  <c r="H1719"/>
  <c r="E1722"/>
  <c r="B1725"/>
  <c r="A1725" s="1"/>
  <c r="I1725" s="1"/>
  <c r="G1727"/>
  <c r="D1730"/>
  <c r="H1732"/>
  <c r="F1735"/>
  <c r="C1738"/>
  <c r="G1740"/>
  <c r="D1743"/>
  <c r="B1746"/>
  <c r="A1746" s="1"/>
  <c r="I1746" s="1"/>
  <c r="F1748"/>
  <c r="C1751"/>
  <c r="H1753"/>
  <c r="E1756"/>
  <c r="B1759"/>
  <c r="A1759" s="1"/>
  <c r="I1759" s="1"/>
  <c r="F1761"/>
  <c r="D1764"/>
  <c r="H1766"/>
  <c r="E1769"/>
  <c r="C1772"/>
  <c r="G1774"/>
  <c r="D1777"/>
  <c r="H1779"/>
  <c r="F1782"/>
  <c r="C1785"/>
  <c r="G1787"/>
  <c r="E1790"/>
  <c r="B1793"/>
  <c r="F1795"/>
  <c r="C1798"/>
  <c r="H1800"/>
  <c r="E1803"/>
  <c r="B1806"/>
  <c r="A1806" s="1"/>
  <c r="I1806" s="1"/>
  <c r="G1808"/>
  <c r="D1811"/>
  <c r="H1813"/>
  <c r="F120"/>
  <c r="E223"/>
  <c r="H280"/>
  <c r="G324"/>
  <c r="F366"/>
  <c r="E405"/>
  <c r="B436"/>
  <c r="A436" s="1"/>
  <c r="I436" s="1"/>
  <c r="E465"/>
  <c r="D491"/>
  <c r="C512"/>
  <c r="B533"/>
  <c r="A533" s="1"/>
  <c r="I533" s="1"/>
  <c r="B554"/>
  <c r="A554" s="1"/>
  <c r="I554" s="1"/>
  <c r="H574"/>
  <c r="D591"/>
  <c r="D603"/>
  <c r="C615"/>
  <c r="C627"/>
  <c r="B639"/>
  <c r="A639" s="1"/>
  <c r="I639" s="1"/>
  <c r="C651"/>
  <c r="B663"/>
  <c r="A663" s="1"/>
  <c r="I663" s="1"/>
  <c r="H674"/>
  <c r="D686"/>
  <c r="G696"/>
  <c r="C707"/>
  <c r="F717"/>
  <c r="C728"/>
  <c r="F738"/>
  <c r="B749"/>
  <c r="A749" s="1"/>
  <c r="I749" s="1"/>
  <c r="E759"/>
  <c r="H769"/>
  <c r="D780"/>
  <c r="G790"/>
  <c r="D801"/>
  <c r="G811"/>
  <c r="C822"/>
  <c r="F832"/>
  <c r="B843"/>
  <c r="A843" s="1"/>
  <c r="I843" s="1"/>
  <c r="E853"/>
  <c r="H863"/>
  <c r="E874"/>
  <c r="H884"/>
  <c r="D895"/>
  <c r="G905"/>
  <c r="C916"/>
  <c r="F926"/>
  <c r="H936"/>
  <c r="B946"/>
  <c r="A946" s="1"/>
  <c r="I946" s="1"/>
  <c r="C955"/>
  <c r="D964"/>
  <c r="E973"/>
  <c r="F982"/>
  <c r="G991"/>
  <c r="H1000"/>
  <c r="B1010"/>
  <c r="A1010" s="1"/>
  <c r="I1010" s="1"/>
  <c r="C1019"/>
  <c r="D1028"/>
  <c r="E1037"/>
  <c r="F1046"/>
  <c r="G1055"/>
  <c r="H1064"/>
  <c r="B1074"/>
  <c r="A1074" s="1"/>
  <c r="I1074" s="1"/>
  <c r="C1083"/>
  <c r="D1092"/>
  <c r="E1101"/>
  <c r="G1106"/>
  <c r="H1111"/>
  <c r="C1117"/>
  <c r="E1122"/>
  <c r="F1127"/>
  <c r="H1132"/>
  <c r="B1138"/>
  <c r="A1138" s="1"/>
  <c r="I1138" s="1"/>
  <c r="D1143"/>
  <c r="E1148"/>
  <c r="G1153"/>
  <c r="B1159"/>
  <c r="A1159" s="1"/>
  <c r="I1159" s="1"/>
  <c r="C1164"/>
  <c r="E1169"/>
  <c r="F1174"/>
  <c r="H1179"/>
  <c r="B1185"/>
  <c r="D1190"/>
  <c r="F1195"/>
  <c r="G1200"/>
  <c r="B1206"/>
  <c r="A1206" s="1"/>
  <c r="I1206" s="1"/>
  <c r="C1211"/>
  <c r="E1216"/>
  <c r="F1221"/>
  <c r="H1226"/>
  <c r="C1232"/>
  <c r="D1237"/>
  <c r="F1242"/>
  <c r="G1247"/>
  <c r="B1253"/>
  <c r="A1253" s="1"/>
  <c r="I1253" s="1"/>
  <c r="C1258"/>
  <c r="E1263"/>
  <c r="G1268"/>
  <c r="H1273"/>
  <c r="C1279"/>
  <c r="D1284"/>
  <c r="F1289"/>
  <c r="G1294"/>
  <c r="B1300"/>
  <c r="A1300" s="1"/>
  <c r="I1300" s="1"/>
  <c r="D1305"/>
  <c r="E1310"/>
  <c r="G1315"/>
  <c r="H1320"/>
  <c r="C1326"/>
  <c r="D1331"/>
  <c r="F1336"/>
  <c r="H1341"/>
  <c r="B1347"/>
  <c r="A1347" s="1"/>
  <c r="I1347" s="1"/>
  <c r="D1352"/>
  <c r="E1357"/>
  <c r="G1362"/>
  <c r="H1367"/>
  <c r="C1373"/>
  <c r="E1378"/>
  <c r="F1383"/>
  <c r="H1388"/>
  <c r="B1394"/>
  <c r="A1394" s="1"/>
  <c r="I1394" s="1"/>
  <c r="D1399"/>
  <c r="E1404"/>
  <c r="G1409"/>
  <c r="B1415"/>
  <c r="A1415" s="1"/>
  <c r="I1415" s="1"/>
  <c r="C1420"/>
  <c r="E1425"/>
  <c r="F1430"/>
  <c r="H1435"/>
  <c r="B1441"/>
  <c r="A1441" s="1"/>
  <c r="I1441" s="1"/>
  <c r="D1446"/>
  <c r="F1451"/>
  <c r="G1456"/>
  <c r="B1462"/>
  <c r="A1462" s="1"/>
  <c r="I1462" s="1"/>
  <c r="C1467"/>
  <c r="E1472"/>
  <c r="F1477"/>
  <c r="H1482"/>
  <c r="C1488"/>
  <c r="D1493"/>
  <c r="F1498"/>
  <c r="G1503"/>
  <c r="B1509"/>
  <c r="A1509" s="1"/>
  <c r="I1509" s="1"/>
  <c r="G1512"/>
  <c r="G1515"/>
  <c r="G1518"/>
  <c r="G1521"/>
  <c r="G1524"/>
  <c r="G1527"/>
  <c r="G1530"/>
  <c r="F1533"/>
  <c r="F1536"/>
  <c r="G1539"/>
  <c r="F1542"/>
  <c r="F1545"/>
  <c r="G1548"/>
  <c r="F1551"/>
  <c r="F1554"/>
  <c r="E1557"/>
  <c r="F1560"/>
  <c r="F1563"/>
  <c r="E1566"/>
  <c r="F1569"/>
  <c r="E1572"/>
  <c r="B1575"/>
  <c r="A1575" s="1"/>
  <c r="I1575" s="1"/>
  <c r="F1577"/>
  <c r="D1580"/>
  <c r="H1582"/>
  <c r="E1585"/>
  <c r="C1588"/>
  <c r="G1590"/>
  <c r="D1593"/>
  <c r="H1595"/>
  <c r="F1598"/>
  <c r="C1601"/>
  <c r="G1603"/>
  <c r="E1606"/>
  <c r="B1609"/>
  <c r="F1611"/>
  <c r="C1614"/>
  <c r="H1616"/>
  <c r="E1619"/>
  <c r="B1622"/>
  <c r="A1622" s="1"/>
  <c r="I1622" s="1"/>
  <c r="G1624"/>
  <c r="D1627"/>
  <c r="H1629"/>
  <c r="E1632"/>
  <c r="C1635"/>
  <c r="G1637"/>
  <c r="D1640"/>
  <c r="B1643"/>
  <c r="A1643" s="1"/>
  <c r="I1643" s="1"/>
  <c r="F1645"/>
  <c r="C1648"/>
  <c r="G1650"/>
  <c r="E1653"/>
  <c r="B1656"/>
  <c r="A1656" s="1"/>
  <c r="I1656" s="1"/>
  <c r="F1658"/>
  <c r="D1661"/>
  <c r="H1663"/>
  <c r="E1666"/>
  <c r="B1669"/>
  <c r="G1671"/>
  <c r="D1674"/>
  <c r="H1676"/>
  <c r="F1679"/>
  <c r="C1682"/>
  <c r="G1684"/>
  <c r="D1687"/>
  <c r="B1690"/>
  <c r="A1690" s="1"/>
  <c r="I1690" s="1"/>
  <c r="F1692"/>
  <c r="C1695"/>
  <c r="H1697"/>
  <c r="E1700"/>
  <c r="B1703"/>
  <c r="A1703" s="1"/>
  <c r="I1703" s="1"/>
  <c r="F1705"/>
  <c r="D1708"/>
  <c r="H1710"/>
  <c r="E1713"/>
  <c r="C1716"/>
  <c r="G1718"/>
  <c r="D1721"/>
  <c r="H1723"/>
  <c r="F1726"/>
  <c r="C1729"/>
  <c r="G1731"/>
  <c r="E1734"/>
  <c r="B1737"/>
  <c r="A1737" s="1"/>
  <c r="I1737" s="1"/>
  <c r="F1739"/>
  <c r="C1742"/>
  <c r="H1744"/>
  <c r="E1747"/>
  <c r="B1750"/>
  <c r="A1750" s="1"/>
  <c r="I1750" s="1"/>
  <c r="G1752"/>
  <c r="D1755"/>
  <c r="H1757"/>
  <c r="E1760"/>
  <c r="C1763"/>
  <c r="G1765"/>
  <c r="D1768"/>
  <c r="B1771"/>
  <c r="A1771" s="1"/>
  <c r="I1771" s="1"/>
  <c r="F1773"/>
  <c r="C1776"/>
  <c r="G1778"/>
  <c r="E1781"/>
  <c r="B1784"/>
  <c r="A1784" s="1"/>
  <c r="I1784" s="1"/>
  <c r="F1786"/>
  <c r="D1789"/>
  <c r="H1791"/>
  <c r="E1794"/>
  <c r="B1797"/>
  <c r="G1799"/>
  <c r="D1802"/>
  <c r="H1804"/>
  <c r="F1807"/>
  <c r="C1810"/>
  <c r="G1812"/>
  <c r="F178"/>
  <c r="E303"/>
  <c r="C387"/>
  <c r="E450"/>
  <c r="E501"/>
  <c r="C543"/>
  <c r="C584"/>
  <c r="H608"/>
  <c r="H632"/>
  <c r="F656"/>
  <c r="E680"/>
  <c r="F701"/>
  <c r="F722"/>
  <c r="E743"/>
  <c r="D764"/>
  <c r="D785"/>
  <c r="C806"/>
  <c r="B827"/>
  <c r="H847"/>
  <c r="H868"/>
  <c r="G889"/>
  <c r="F910"/>
  <c r="F931"/>
  <c r="D950"/>
  <c r="F968"/>
  <c r="H986"/>
  <c r="C1005"/>
  <c r="E1023"/>
  <c r="G1041"/>
  <c r="B1060"/>
  <c r="A1060" s="1"/>
  <c r="I1060" s="1"/>
  <c r="D1078"/>
  <c r="F1096"/>
  <c r="B1109"/>
  <c r="A1109" s="1"/>
  <c r="I1109" s="1"/>
  <c r="E1119"/>
  <c r="H1129"/>
  <c r="D1140"/>
  <c r="G1150"/>
  <c r="D1161"/>
  <c r="G1171"/>
  <c r="C1182"/>
  <c r="F1192"/>
  <c r="B1203"/>
  <c r="E1213"/>
  <c r="H1223"/>
  <c r="E1234"/>
  <c r="H1244"/>
  <c r="D1255"/>
  <c r="G1265"/>
  <c r="C1276"/>
  <c r="F1286"/>
  <c r="B1297"/>
  <c r="A1297" s="1"/>
  <c r="I1297" s="1"/>
  <c r="F1307"/>
  <c r="B1318"/>
  <c r="A1318" s="1"/>
  <c r="I1318" s="1"/>
  <c r="E1328"/>
  <c r="H1338"/>
  <c r="D1349"/>
  <c r="G1359"/>
  <c r="C1370"/>
  <c r="G1380"/>
  <c r="C1391"/>
  <c r="F1401"/>
  <c r="B1412"/>
  <c r="A1412" s="1"/>
  <c r="I1412" s="1"/>
  <c r="E1422"/>
  <c r="H1432"/>
  <c r="D1443"/>
  <c r="H1453"/>
  <c r="D1464"/>
  <c r="G1474"/>
  <c r="C1485"/>
  <c r="F1495"/>
  <c r="B1506"/>
  <c r="A1506" s="1"/>
  <c r="I1506" s="1"/>
  <c r="H1513"/>
  <c r="H1519"/>
  <c r="H1525"/>
  <c r="H1531"/>
  <c r="G1537"/>
  <c r="G1543"/>
  <c r="F1549"/>
  <c r="G1555"/>
  <c r="G1561"/>
  <c r="F1567"/>
  <c r="E1573"/>
  <c r="F1578"/>
  <c r="H1583"/>
  <c r="B1589"/>
  <c r="A1589" s="1"/>
  <c r="I1589" s="1"/>
  <c r="D1594"/>
  <c r="F1599"/>
  <c r="G1604"/>
  <c r="B1610"/>
  <c r="C1615"/>
  <c r="E1620"/>
  <c r="F1625"/>
  <c r="H1630"/>
  <c r="C1636"/>
  <c r="D1641"/>
  <c r="F1646"/>
  <c r="G1651"/>
  <c r="B1657"/>
  <c r="C1662"/>
  <c r="E1667"/>
  <c r="G1672"/>
  <c r="H1677"/>
  <c r="C1683"/>
  <c r="D1688"/>
  <c r="F1693"/>
  <c r="G1698"/>
  <c r="B1704"/>
  <c r="A1704" s="1"/>
  <c r="I1704" s="1"/>
  <c r="D1709"/>
  <c r="E1714"/>
  <c r="G1719"/>
  <c r="H1724"/>
  <c r="C1730"/>
  <c r="D1735"/>
  <c r="F1740"/>
  <c r="H1745"/>
  <c r="B1751"/>
  <c r="A1751" s="1"/>
  <c r="I1751" s="1"/>
  <c r="D1756"/>
  <c r="E1761"/>
  <c r="G1766"/>
  <c r="H1771"/>
  <c r="C1777"/>
  <c r="E1782"/>
  <c r="F1787"/>
  <c r="H1792"/>
  <c r="B1798"/>
  <c r="A1798" s="1"/>
  <c r="I1798" s="1"/>
  <c r="D1803"/>
  <c r="E1808"/>
  <c r="G1813"/>
  <c r="F1817"/>
  <c r="E1820"/>
  <c r="C1823"/>
  <c r="B1826"/>
  <c r="A1826" s="1"/>
  <c r="I1826" s="1"/>
  <c r="E1829"/>
  <c r="C1832"/>
  <c r="B1835"/>
  <c r="A1835" s="1"/>
  <c r="I1835" s="1"/>
  <c r="F1838"/>
  <c r="D1841"/>
  <c r="C1844"/>
  <c r="H1846"/>
  <c r="D1850"/>
  <c r="B1853"/>
  <c r="A1853" s="1"/>
  <c r="I1853" s="1"/>
  <c r="H1855"/>
  <c r="E1859"/>
  <c r="C1862"/>
  <c r="B1865"/>
  <c r="G1867"/>
  <c r="C1871"/>
  <c r="B1874"/>
  <c r="A1874" s="1"/>
  <c r="I1874" s="1"/>
  <c r="G1876"/>
  <c r="D1880"/>
  <c r="C1883"/>
  <c r="H1885"/>
  <c r="G1888"/>
  <c r="C1892"/>
  <c r="H1894"/>
  <c r="F1897"/>
  <c r="D1901"/>
  <c r="B1904"/>
  <c r="A1904" s="1"/>
  <c r="I1904" s="1"/>
  <c r="G1906"/>
  <c r="F1909"/>
  <c r="B1913"/>
  <c r="G1915"/>
  <c r="F1918"/>
  <c r="C1922"/>
  <c r="H1924"/>
  <c r="G1927"/>
  <c r="E1930"/>
  <c r="H1933"/>
  <c r="G1936"/>
  <c r="E1939"/>
  <c r="B1943"/>
  <c r="A1943" s="1"/>
  <c r="I1943" s="1"/>
  <c r="H1945"/>
  <c r="F1948"/>
  <c r="D1951"/>
  <c r="G1954"/>
  <c r="F1957"/>
  <c r="D1960"/>
  <c r="H1963"/>
  <c r="G1966"/>
  <c r="E1969"/>
  <c r="D1972"/>
  <c r="G1975"/>
  <c r="E1978"/>
  <c r="D1981"/>
  <c r="H1984"/>
  <c r="F1987"/>
  <c r="E1990"/>
  <c r="B1993"/>
  <c r="A1993" s="1"/>
  <c r="I1993" s="1"/>
  <c r="F1995"/>
  <c r="C1998"/>
  <c r="H2000"/>
  <c r="E2003"/>
  <c r="B2006"/>
  <c r="G2008"/>
  <c r="D2011"/>
  <c r="H2013"/>
  <c r="E2016"/>
  <c r="C2019"/>
  <c r="G2021"/>
  <c r="D2024"/>
  <c r="B2027"/>
  <c r="F2029"/>
  <c r="C2032"/>
  <c r="G2034"/>
  <c r="E2037"/>
  <c r="G2039"/>
  <c r="B2042"/>
  <c r="A2042" s="1"/>
  <c r="I2042" s="1"/>
  <c r="D2044"/>
  <c r="F2046"/>
  <c r="H2048"/>
  <c r="C2051"/>
  <c r="E2053"/>
  <c r="G2055"/>
  <c r="B2058"/>
  <c r="A2058" s="1"/>
  <c r="I2058" s="1"/>
  <c r="D2060"/>
  <c r="F2062"/>
  <c r="H2064"/>
  <c r="C2067"/>
  <c r="E2069"/>
  <c r="G2071"/>
  <c r="B2074"/>
  <c r="A2074" s="1"/>
  <c r="I2074" s="1"/>
  <c r="D2076"/>
  <c r="F2078"/>
  <c r="H2080"/>
  <c r="C2083"/>
  <c r="E2085"/>
  <c r="G2087"/>
  <c r="B2090"/>
  <c r="A2090" s="1"/>
  <c r="I2090" s="1"/>
  <c r="D2092"/>
  <c r="F2094"/>
  <c r="H2096"/>
  <c r="C2099"/>
  <c r="E2101"/>
  <c r="G2103"/>
  <c r="B2106"/>
  <c r="A2106" s="1"/>
  <c r="I2106" s="1"/>
  <c r="D2108"/>
  <c r="F2110"/>
  <c r="H2112"/>
  <c r="C2115"/>
  <c r="E2117"/>
  <c r="G2119"/>
  <c r="B2122"/>
  <c r="D2124"/>
  <c r="F2126"/>
  <c r="H2128"/>
  <c r="C2131"/>
  <c r="E2133"/>
  <c r="G2135"/>
  <c r="B2138"/>
  <c r="D2140"/>
  <c r="F2142"/>
  <c r="H2144"/>
  <c r="C2147"/>
  <c r="E2149"/>
  <c r="G2151"/>
  <c r="B2154"/>
  <c r="A2154" s="1"/>
  <c r="I2154" s="1"/>
  <c r="D2156"/>
  <c r="F2158"/>
  <c r="H2160"/>
  <c r="C2163"/>
  <c r="E2165"/>
  <c r="G2167"/>
  <c r="B2170"/>
  <c r="A2170" s="1"/>
  <c r="I2170" s="1"/>
  <c r="D2172"/>
  <c r="F2174"/>
  <c r="H2176"/>
  <c r="C2179"/>
  <c r="E2181"/>
  <c r="G2183"/>
  <c r="B2186"/>
  <c r="A2186" s="1"/>
  <c r="I2186" s="1"/>
  <c r="D2188"/>
  <c r="F2190"/>
  <c r="H2192"/>
  <c r="C2195"/>
  <c r="E2197"/>
  <c r="G2199"/>
  <c r="B2202"/>
  <c r="A2202" s="1"/>
  <c r="I2202" s="1"/>
  <c r="D2204"/>
  <c r="F2206"/>
  <c r="H2208"/>
  <c r="C2211"/>
  <c r="E2213"/>
  <c r="G2215"/>
  <c r="B2218"/>
  <c r="A2218" s="1"/>
  <c r="I2218" s="1"/>
  <c r="D2220"/>
  <c r="F2222"/>
  <c r="H2224"/>
  <c r="C2227"/>
  <c r="E2229"/>
  <c r="G2231"/>
  <c r="B2234"/>
  <c r="A2234" s="1"/>
  <c r="I2234" s="1"/>
  <c r="D2236"/>
  <c r="F2238"/>
  <c r="H2240"/>
  <c r="C2243"/>
  <c r="E2245"/>
  <c r="G2247"/>
  <c r="B2250"/>
  <c r="D2252"/>
  <c r="F2254"/>
  <c r="H2256"/>
  <c r="C2259"/>
  <c r="E2261"/>
  <c r="G2263"/>
  <c r="B2266"/>
  <c r="D2268"/>
  <c r="F2270"/>
  <c r="H2272"/>
  <c r="C2275"/>
  <c r="E2277"/>
  <c r="G2279"/>
  <c r="B2282"/>
  <c r="A2282" s="1"/>
  <c r="I2282" s="1"/>
  <c r="D2284"/>
  <c r="F2286"/>
  <c r="H2288"/>
  <c r="C2291"/>
  <c r="E2293"/>
  <c r="G2295"/>
  <c r="B2298"/>
  <c r="A2298" s="1"/>
  <c r="I2298" s="1"/>
  <c r="D2300"/>
  <c r="F2302"/>
  <c r="H2304"/>
  <c r="C2307"/>
  <c r="E2309"/>
  <c r="G2311"/>
  <c r="B2314"/>
  <c r="A2314" s="1"/>
  <c r="I2314" s="1"/>
  <c r="D2316"/>
  <c r="F2318"/>
  <c r="H2320"/>
  <c r="C2323"/>
  <c r="E2325"/>
  <c r="G2327"/>
  <c r="B2330"/>
  <c r="A2330" s="1"/>
  <c r="I2330" s="1"/>
  <c r="D2332"/>
  <c r="F2334"/>
  <c r="H2336"/>
  <c r="C2339"/>
  <c r="E2341"/>
  <c r="G2343"/>
  <c r="B2346"/>
  <c r="A2346" s="1"/>
  <c r="I2346" s="1"/>
  <c r="D2348"/>
  <c r="F2350"/>
  <c r="H2352"/>
  <c r="C2355"/>
  <c r="E2357"/>
  <c r="G2359"/>
  <c r="B2362"/>
  <c r="A2362" s="1"/>
  <c r="I2362" s="1"/>
  <c r="D2364"/>
  <c r="F2366"/>
  <c r="H2368"/>
  <c r="C2371"/>
  <c r="E2373"/>
  <c r="G2375"/>
  <c r="B2378"/>
  <c r="D2380"/>
  <c r="F2382"/>
  <c r="H2384"/>
  <c r="C2387"/>
  <c r="E2389"/>
  <c r="G2391"/>
  <c r="B2394"/>
  <c r="D2396"/>
  <c r="F2398"/>
  <c r="H2400"/>
  <c r="C2403"/>
  <c r="E2405"/>
  <c r="G2407"/>
  <c r="B2410"/>
  <c r="A2410" s="1"/>
  <c r="I2410" s="1"/>
  <c r="D2412"/>
  <c r="F2414"/>
  <c r="H2416"/>
  <c r="C2419"/>
  <c r="E2421"/>
  <c r="G2423"/>
  <c r="B2426"/>
  <c r="A2426" s="1"/>
  <c r="I2426" s="1"/>
  <c r="D2428"/>
  <c r="F2429"/>
  <c r="B2431"/>
  <c r="D2432"/>
  <c r="F2433"/>
  <c r="H2434"/>
  <c r="C2436"/>
  <c r="E2437"/>
  <c r="G2438"/>
  <c r="C2440"/>
  <c r="E2441"/>
  <c r="G2442"/>
  <c r="B2444"/>
  <c r="A2444" s="1"/>
  <c r="I2444" s="1"/>
  <c r="D2445"/>
  <c r="F2446"/>
  <c r="H2447"/>
  <c r="D2449"/>
  <c r="F2450"/>
  <c r="H2451"/>
  <c r="C2453"/>
  <c r="E2454"/>
  <c r="G2455"/>
  <c r="B2457"/>
  <c r="A2457" s="1"/>
  <c r="I2457" s="1"/>
  <c r="E2458"/>
  <c r="G2459"/>
  <c r="B2461"/>
  <c r="D2462"/>
  <c r="F2463"/>
  <c r="H2464"/>
  <c r="C2466"/>
  <c r="F2467"/>
  <c r="H2468"/>
  <c r="C2470"/>
  <c r="E2471"/>
  <c r="G2472"/>
  <c r="B2474"/>
  <c r="A2474" s="1"/>
  <c r="I2474" s="1"/>
  <c r="D2475"/>
  <c r="G2476"/>
  <c r="B2478"/>
  <c r="A2478" s="1"/>
  <c r="I2478" s="1"/>
  <c r="D2479"/>
  <c r="F2480"/>
  <c r="H2481"/>
  <c r="C2483"/>
  <c r="E2484"/>
  <c r="H2485"/>
  <c r="C2487"/>
  <c r="E2488"/>
  <c r="G2489"/>
  <c r="B2491"/>
  <c r="A2491" s="1"/>
  <c r="I2491" s="1"/>
  <c r="D2492"/>
  <c r="F2493"/>
  <c r="B2495"/>
  <c r="A2495" s="1"/>
  <c r="I2495" s="1"/>
  <c r="D2496"/>
  <c r="F2497"/>
  <c r="H2498"/>
  <c r="C2500"/>
  <c r="E2501"/>
  <c r="G2502"/>
  <c r="C2504"/>
  <c r="E2505"/>
  <c r="G2506"/>
  <c r="B2508"/>
  <c r="A2508" s="1"/>
  <c r="I2508" s="1"/>
  <c r="D2509"/>
  <c r="F2510"/>
  <c r="H2511"/>
  <c r="D2513"/>
  <c r="F2514"/>
  <c r="H2515"/>
  <c r="C2517"/>
  <c r="E2518"/>
  <c r="G2519"/>
  <c r="B2521"/>
  <c r="A2521" s="1"/>
  <c r="I2521" s="1"/>
  <c r="E2522"/>
  <c r="G2523"/>
  <c r="B2525"/>
  <c r="A2525" s="1"/>
  <c r="I2525" s="1"/>
  <c r="D2526"/>
  <c r="E121"/>
  <c r="D281"/>
  <c r="G366"/>
  <c r="F436"/>
  <c r="E491"/>
  <c r="C533"/>
  <c r="B575"/>
  <c r="A575" s="1"/>
  <c r="I575" s="1"/>
  <c r="E603"/>
  <c r="D627"/>
  <c r="D651"/>
  <c r="C675"/>
  <c r="H696"/>
  <c r="H717"/>
  <c r="G738"/>
  <c r="F759"/>
  <c r="E780"/>
  <c r="E801"/>
  <c r="D822"/>
  <c r="C843"/>
  <c r="C864"/>
  <c r="B885"/>
  <c r="A885" s="1"/>
  <c r="I885" s="1"/>
  <c r="H905"/>
  <c r="G926"/>
  <c r="C946"/>
  <c r="E964"/>
  <c r="G982"/>
  <c r="B1001"/>
  <c r="A1001" s="1"/>
  <c r="I1001" s="1"/>
  <c r="D1019"/>
  <c r="F1037"/>
  <c r="H1055"/>
  <c r="C1074"/>
  <c r="E1092"/>
  <c r="H1106"/>
  <c r="D1117"/>
  <c r="G1127"/>
  <c r="C1138"/>
  <c r="G1148"/>
  <c r="C1159"/>
  <c r="F1169"/>
  <c r="B1180"/>
  <c r="A1180" s="1"/>
  <c r="I1180" s="1"/>
  <c r="E1190"/>
  <c r="H1200"/>
  <c r="D1211"/>
  <c r="H1221"/>
  <c r="D1232"/>
  <c r="G1242"/>
  <c r="C1253"/>
  <c r="F1263"/>
  <c r="B1274"/>
  <c r="A1274" s="1"/>
  <c r="I1274" s="1"/>
  <c r="E1284"/>
  <c r="B1295"/>
  <c r="A1295" s="1"/>
  <c r="I1295" s="1"/>
  <c r="E1305"/>
  <c r="H1315"/>
  <c r="D1326"/>
  <c r="G1336"/>
  <c r="C1347"/>
  <c r="F1357"/>
  <c r="C1368"/>
  <c r="F1378"/>
  <c r="B1389"/>
  <c r="A1389" s="1"/>
  <c r="I1389" s="1"/>
  <c r="E1399"/>
  <c r="H1409"/>
  <c r="D1420"/>
  <c r="G1430"/>
  <c r="D1441"/>
  <c r="G1451"/>
  <c r="C1462"/>
  <c r="F1472"/>
  <c r="B1483"/>
  <c r="A1483" s="1"/>
  <c r="I1483" s="1"/>
  <c r="E1493"/>
  <c r="H1503"/>
  <c r="H1512"/>
  <c r="B1519"/>
  <c r="A1519" s="1"/>
  <c r="I1519" s="1"/>
  <c r="H1524"/>
  <c r="H1530"/>
  <c r="H1536"/>
  <c r="G1542"/>
  <c r="H1548"/>
  <c r="G1554"/>
  <c r="G1560"/>
  <c r="F1566"/>
  <c r="F1572"/>
  <c r="H1577"/>
  <c r="B1583"/>
  <c r="A1583" s="1"/>
  <c r="I1583" s="1"/>
  <c r="D1588"/>
  <c r="E1593"/>
  <c r="G1598"/>
  <c r="H1603"/>
  <c r="C1609"/>
  <c r="E1614"/>
  <c r="F1619"/>
  <c r="H1624"/>
  <c r="B1630"/>
  <c r="A1630" s="1"/>
  <c r="I1630" s="1"/>
  <c r="D1635"/>
  <c r="E1640"/>
  <c r="G1645"/>
  <c r="B1651"/>
  <c r="A1651" s="1"/>
  <c r="I1651" s="1"/>
  <c r="C1656"/>
  <c r="E1661"/>
  <c r="F1666"/>
  <c r="H1671"/>
  <c r="B1677"/>
  <c r="A1677" s="1"/>
  <c r="I1677" s="1"/>
  <c r="D1682"/>
  <c r="F1687"/>
  <c r="G1692"/>
  <c r="B1698"/>
  <c r="A1698" s="1"/>
  <c r="I1698" s="1"/>
  <c r="C1703"/>
  <c r="E1708"/>
  <c r="F1713"/>
  <c r="H1718"/>
  <c r="C1724"/>
  <c r="D1729"/>
  <c r="F1734"/>
  <c r="G1739"/>
  <c r="B1745"/>
  <c r="A1745" s="1"/>
  <c r="I1745" s="1"/>
  <c r="C1750"/>
  <c r="E1755"/>
  <c r="G1760"/>
  <c r="H1765"/>
  <c r="C1771"/>
  <c r="D1776"/>
  <c r="F1781"/>
  <c r="G1786"/>
  <c r="B1792"/>
  <c r="A1792" s="1"/>
  <c r="I1792" s="1"/>
  <c r="D1797"/>
  <c r="E1802"/>
  <c r="G1807"/>
  <c r="H1812"/>
  <c r="G1816"/>
  <c r="D1820"/>
  <c r="B1823"/>
  <c r="A1823" s="1"/>
  <c r="I1823" s="1"/>
  <c r="H1825"/>
  <c r="F1828"/>
  <c r="B1832"/>
  <c r="G1834"/>
  <c r="F1837"/>
  <c r="C1841"/>
  <c r="H1843"/>
  <c r="G1846"/>
  <c r="E1849"/>
  <c r="H1852"/>
  <c r="G1855"/>
  <c r="E1858"/>
  <c r="B1862"/>
  <c r="A1862" s="1"/>
  <c r="I1862" s="1"/>
  <c r="H1864"/>
  <c r="F1867"/>
  <c r="E1870"/>
  <c r="H1873"/>
  <c r="F1876"/>
  <c r="D1879"/>
  <c r="B1883"/>
  <c r="G1885"/>
  <c r="E1888"/>
  <c r="D1891"/>
  <c r="G1894"/>
  <c r="E1897"/>
  <c r="D1900"/>
  <c r="H1903"/>
  <c r="F1906"/>
  <c r="E1909"/>
  <c r="C1912"/>
  <c r="F1915"/>
  <c r="E1918"/>
  <c r="C1921"/>
  <c r="G1924"/>
  <c r="F1927"/>
  <c r="D1930"/>
  <c r="B1933"/>
  <c r="A1933" s="1"/>
  <c r="I1933" s="1"/>
  <c r="E1936"/>
  <c r="D1939"/>
  <c r="B1942"/>
  <c r="A1942" s="1"/>
  <c r="I1942" s="1"/>
  <c r="F1945"/>
  <c r="E1948"/>
  <c r="C1951"/>
  <c r="B1954"/>
  <c r="E1957"/>
  <c r="C1960"/>
  <c r="B1963"/>
  <c r="A1963" s="1"/>
  <c r="I1963" s="1"/>
  <c r="F1966"/>
  <c r="D1969"/>
  <c r="C1972"/>
  <c r="H1974"/>
  <c r="D1978"/>
  <c r="B1981"/>
  <c r="A1981" s="1"/>
  <c r="I1981" s="1"/>
  <c r="H1983"/>
  <c r="E1987"/>
  <c r="C1990"/>
  <c r="H1992"/>
  <c r="E1995"/>
  <c r="B1998"/>
  <c r="G2000"/>
  <c r="D2003"/>
  <c r="H2005"/>
  <c r="E2008"/>
  <c r="C2011"/>
  <c r="G2013"/>
  <c r="D2016"/>
  <c r="B2019"/>
  <c r="F2021"/>
  <c r="C2024"/>
  <c r="G2026"/>
  <c r="E2029"/>
  <c r="B2032"/>
  <c r="A2032" s="1"/>
  <c r="I2032" s="1"/>
  <c r="F2034"/>
  <c r="D2037"/>
  <c r="F2039"/>
  <c r="H2041"/>
  <c r="C2044"/>
  <c r="E2046"/>
  <c r="G2048"/>
  <c r="B2051"/>
  <c r="A2051" s="1"/>
  <c r="I2051" s="1"/>
  <c r="D2053"/>
  <c r="F2055"/>
  <c r="H2057"/>
  <c r="C2060"/>
  <c r="E2062"/>
  <c r="G2064"/>
  <c r="B2067"/>
  <c r="A2067" s="1"/>
  <c r="I2067" s="1"/>
  <c r="D2069"/>
  <c r="F2071"/>
  <c r="H2073"/>
  <c r="C2076"/>
  <c r="E2078"/>
  <c r="G2080"/>
  <c r="B2083"/>
  <c r="A2083" s="1"/>
  <c r="I2083" s="1"/>
  <c r="D2085"/>
  <c r="F2087"/>
  <c r="H2089"/>
  <c r="C2092"/>
  <c r="E2094"/>
  <c r="G2096"/>
  <c r="B2099"/>
  <c r="A2099" s="1"/>
  <c r="I2099" s="1"/>
  <c r="D2101"/>
  <c r="F2103"/>
  <c r="H2105"/>
  <c r="C2108"/>
  <c r="E2110"/>
  <c r="G2112"/>
  <c r="B2115"/>
  <c r="D2117"/>
  <c r="F2119"/>
  <c r="H2121"/>
  <c r="C2124"/>
  <c r="E2126"/>
  <c r="G2128"/>
  <c r="B2131"/>
  <c r="D2133"/>
  <c r="F2135"/>
  <c r="H2137"/>
  <c r="C2140"/>
  <c r="E2142"/>
  <c r="G2144"/>
  <c r="B2147"/>
  <c r="A2147" s="1"/>
  <c r="I2147" s="1"/>
  <c r="D2149"/>
  <c r="F2151"/>
  <c r="H2153"/>
  <c r="C2156"/>
  <c r="E2158"/>
  <c r="G2160"/>
  <c r="B2163"/>
  <c r="A2163" s="1"/>
  <c r="I2163" s="1"/>
  <c r="D2165"/>
  <c r="F2167"/>
  <c r="H2169"/>
  <c r="C2172"/>
  <c r="E2174"/>
  <c r="G2176"/>
  <c r="B2179"/>
  <c r="A2179" s="1"/>
  <c r="I2179" s="1"/>
  <c r="D2181"/>
  <c r="F2183"/>
  <c r="H2185"/>
  <c r="C2188"/>
  <c r="E2190"/>
  <c r="G2192"/>
  <c r="B2195"/>
  <c r="A2195" s="1"/>
  <c r="I2195" s="1"/>
  <c r="D2197"/>
  <c r="F2199"/>
  <c r="H2201"/>
  <c r="C2204"/>
  <c r="E2206"/>
  <c r="G2208"/>
  <c r="B2211"/>
  <c r="A2211" s="1"/>
  <c r="I2211" s="1"/>
  <c r="D2213"/>
  <c r="F2215"/>
  <c r="H2217"/>
  <c r="C2220"/>
  <c r="E2222"/>
  <c r="G2224"/>
  <c r="B2227"/>
  <c r="A2227" s="1"/>
  <c r="I2227" s="1"/>
  <c r="D2229"/>
  <c r="F2231"/>
  <c r="H2233"/>
  <c r="C2236"/>
  <c r="E2238"/>
  <c r="G2240"/>
  <c r="B2243"/>
  <c r="D2245"/>
  <c r="F2247"/>
  <c r="H2249"/>
  <c r="C2252"/>
  <c r="E2254"/>
  <c r="G2256"/>
  <c r="B2259"/>
  <c r="D2261"/>
  <c r="F2263"/>
  <c r="H2265"/>
  <c r="C2268"/>
  <c r="E2270"/>
  <c r="G2272"/>
  <c r="B2275"/>
  <c r="A2275" s="1"/>
  <c r="I2275" s="1"/>
  <c r="D2277"/>
  <c r="F2279"/>
  <c r="H2281"/>
  <c r="C2284"/>
  <c r="E2286"/>
  <c r="G2288"/>
  <c r="B2291"/>
  <c r="A2291" s="1"/>
  <c r="I2291" s="1"/>
  <c r="D2293"/>
  <c r="F2295"/>
  <c r="H2297"/>
  <c r="C2300"/>
  <c r="E2302"/>
  <c r="G2304"/>
  <c r="B2307"/>
  <c r="A2307" s="1"/>
  <c r="I2307" s="1"/>
  <c r="D2309"/>
  <c r="F2311"/>
  <c r="H2313"/>
  <c r="C2316"/>
  <c r="E2318"/>
  <c r="G2320"/>
  <c r="B2323"/>
  <c r="A2323" s="1"/>
  <c r="I2323" s="1"/>
  <c r="D2325"/>
  <c r="F2327"/>
  <c r="H2329"/>
  <c r="C2332"/>
  <c r="E2334"/>
  <c r="G2336"/>
  <c r="B2339"/>
  <c r="A2339" s="1"/>
  <c r="I2339" s="1"/>
  <c r="D2341"/>
  <c r="F2343"/>
  <c r="H2345"/>
  <c r="C2348"/>
  <c r="E2350"/>
  <c r="G2352"/>
  <c r="B2355"/>
  <c r="A2355" s="1"/>
  <c r="I2355" s="1"/>
  <c r="D2357"/>
  <c r="F2359"/>
  <c r="H2361"/>
  <c r="C2364"/>
  <c r="E2366"/>
  <c r="G2368"/>
  <c r="B2371"/>
  <c r="D2373"/>
  <c r="F2375"/>
  <c r="H2377"/>
  <c r="C2380"/>
  <c r="E2382"/>
  <c r="G2384"/>
  <c r="B2387"/>
  <c r="D2389"/>
  <c r="F2391"/>
  <c r="H2393"/>
  <c r="C2396"/>
  <c r="E2398"/>
  <c r="G2400"/>
  <c r="B2403"/>
  <c r="A2403" s="1"/>
  <c r="I2403" s="1"/>
  <c r="D2405"/>
  <c r="F2407"/>
  <c r="H2409"/>
  <c r="C2412"/>
  <c r="E2414"/>
  <c r="G2416"/>
  <c r="B2419"/>
  <c r="A2419" s="1"/>
  <c r="I2419" s="1"/>
  <c r="D2421"/>
  <c r="F2423"/>
  <c r="H2425"/>
  <c r="C2428"/>
  <c r="E2429"/>
  <c r="G2430"/>
  <c r="C2432"/>
  <c r="E2433"/>
  <c r="G2434"/>
  <c r="B2436"/>
  <c r="D2437"/>
  <c r="F2438"/>
  <c r="H2439"/>
  <c r="D2441"/>
  <c r="F2442"/>
  <c r="H2443"/>
  <c r="C2445"/>
  <c r="E2446"/>
  <c r="G2447"/>
  <c r="B2449"/>
  <c r="A2449" s="1"/>
  <c r="I2449" s="1"/>
  <c r="E2450"/>
  <c r="G2451"/>
  <c r="B2453"/>
  <c r="A2453" s="1"/>
  <c r="I2453" s="1"/>
  <c r="D2454"/>
  <c r="F2455"/>
  <c r="H2456"/>
  <c r="C2458"/>
  <c r="F2459"/>
  <c r="H2460"/>
  <c r="C2462"/>
  <c r="E2463"/>
  <c r="G2464"/>
  <c r="B2466"/>
  <c r="A2466" s="1"/>
  <c r="I2466" s="1"/>
  <c r="D2467"/>
  <c r="G2468"/>
  <c r="B2470"/>
  <c r="A2470" s="1"/>
  <c r="I2470" s="1"/>
  <c r="D2471"/>
  <c r="F2472"/>
  <c r="H2473"/>
  <c r="C2475"/>
  <c r="E2476"/>
  <c r="H2477"/>
  <c r="C2479"/>
  <c r="E2480"/>
  <c r="G2481"/>
  <c r="B2483"/>
  <c r="A2483" s="1"/>
  <c r="I2483" s="1"/>
  <c r="D2484"/>
  <c r="F2485"/>
  <c r="B2487"/>
  <c r="A2487" s="1"/>
  <c r="I2487" s="1"/>
  <c r="D2488"/>
  <c r="F2489"/>
  <c r="H2490"/>
  <c r="C2492"/>
  <c r="E2493"/>
  <c r="G2494"/>
  <c r="C2496"/>
  <c r="E2497"/>
  <c r="G2498"/>
  <c r="B2500"/>
  <c r="D2501"/>
  <c r="F2502"/>
  <c r="H2503"/>
  <c r="D2505"/>
  <c r="F2506"/>
  <c r="H2507"/>
  <c r="C2509"/>
  <c r="E2510"/>
  <c r="G2511"/>
  <c r="B2513"/>
  <c r="A2513" s="1"/>
  <c r="I2513" s="1"/>
  <c r="E2514"/>
  <c r="G2515"/>
  <c r="B2517"/>
  <c r="A2517" s="1"/>
  <c r="I2517" s="1"/>
  <c r="D2518"/>
  <c r="F2519"/>
  <c r="H2520"/>
  <c r="C2522"/>
  <c r="F2523"/>
  <c r="H2524"/>
  <c r="C2526"/>
  <c r="E120"/>
  <c r="G280"/>
  <c r="D366"/>
  <c r="H435"/>
  <c r="C491"/>
  <c r="H532"/>
  <c r="G574"/>
  <c r="C603"/>
  <c r="H626"/>
  <c r="G650"/>
  <c r="G674"/>
  <c r="F696"/>
  <c r="E717"/>
  <c r="E738"/>
  <c r="D759"/>
  <c r="C780"/>
  <c r="B801"/>
  <c r="A801" s="1"/>
  <c r="I801" s="1"/>
  <c r="B822"/>
  <c r="A822" s="1"/>
  <c r="I822" s="1"/>
  <c r="H842"/>
  <c r="G863"/>
  <c r="G884"/>
  <c r="F905"/>
  <c r="E926"/>
  <c r="H945"/>
  <c r="C964"/>
  <c r="E982"/>
  <c r="G1000"/>
  <c r="B1019"/>
  <c r="A1019" s="1"/>
  <c r="I1019" s="1"/>
  <c r="D1037"/>
  <c r="F1055"/>
  <c r="H1073"/>
  <c r="C1092"/>
  <c r="F1106"/>
  <c r="B1117"/>
  <c r="A1117" s="1"/>
  <c r="I1117" s="1"/>
  <c r="E1127"/>
  <c r="H1137"/>
  <c r="D1148"/>
  <c r="G1158"/>
  <c r="D1169"/>
  <c r="G1179"/>
  <c r="C1190"/>
  <c r="F1200"/>
  <c r="B1211"/>
  <c r="E1221"/>
  <c r="H1231"/>
  <c r="E1242"/>
  <c r="H1252"/>
  <c r="D1263"/>
  <c r="G1273"/>
  <c r="C1284"/>
  <c r="F1294"/>
  <c r="B1305"/>
  <c r="F1315"/>
  <c r="B1326"/>
  <c r="A1326" s="1"/>
  <c r="I1326" s="1"/>
  <c r="E1336"/>
  <c r="H1346"/>
  <c r="D1357"/>
  <c r="G1367"/>
  <c r="C1378"/>
  <c r="G1388"/>
  <c r="C1399"/>
  <c r="F1409"/>
  <c r="B1420"/>
  <c r="A1420" s="1"/>
  <c r="I1420" s="1"/>
  <c r="E1430"/>
  <c r="H1440"/>
  <c r="D1451"/>
  <c r="H1461"/>
  <c r="D1472"/>
  <c r="G1482"/>
  <c r="C1493"/>
  <c r="F1503"/>
  <c r="F1512"/>
  <c r="F1518"/>
  <c r="E1524"/>
  <c r="F1530"/>
  <c r="E1536"/>
  <c r="E1542"/>
  <c r="D1548"/>
  <c r="E1554"/>
  <c r="E1560"/>
  <c r="D1566"/>
  <c r="D1572"/>
  <c r="E1577"/>
  <c r="G1582"/>
  <c r="H1587"/>
  <c r="C1593"/>
  <c r="E1598"/>
  <c r="F1603"/>
  <c r="H1608"/>
  <c r="B1614"/>
  <c r="A1614" s="1"/>
  <c r="I1614" s="1"/>
  <c r="D1619"/>
  <c r="E1624"/>
  <c r="G1629"/>
  <c r="B1635"/>
  <c r="A1635" s="1"/>
  <c r="I1635" s="1"/>
  <c r="C1640"/>
  <c r="E1645"/>
  <c r="F1650"/>
  <c r="H1655"/>
  <c r="B1661"/>
  <c r="D1666"/>
  <c r="F1671"/>
  <c r="G1676"/>
  <c r="B1682"/>
  <c r="A1682" s="1"/>
  <c r="I1682" s="1"/>
  <c r="C1687"/>
  <c r="E1692"/>
  <c r="F1697"/>
  <c r="H1702"/>
  <c r="C1708"/>
  <c r="D1713"/>
  <c r="F1718"/>
  <c r="G1723"/>
  <c r="B1729"/>
  <c r="A1729" s="1"/>
  <c r="I1729" s="1"/>
  <c r="C1734"/>
  <c r="E1739"/>
  <c r="G1744"/>
  <c r="H1749"/>
  <c r="C1755"/>
  <c r="D1760"/>
  <c r="F1765"/>
  <c r="G1770"/>
  <c r="B1776"/>
  <c r="A1776" s="1"/>
  <c r="I1776" s="1"/>
  <c r="D1781"/>
  <c r="E1786"/>
  <c r="G1791"/>
  <c r="H1796"/>
  <c r="C1802"/>
  <c r="D1807"/>
  <c r="F1812"/>
  <c r="E1816"/>
  <c r="D1819"/>
  <c r="H1822"/>
  <c r="F1825"/>
  <c r="E1828"/>
  <c r="C1831"/>
  <c r="F1834"/>
  <c r="E1837"/>
  <c r="C1840"/>
  <c r="G1843"/>
  <c r="F1846"/>
  <c r="D1849"/>
  <c r="C1852"/>
  <c r="F1855"/>
  <c r="D1858"/>
  <c r="B1861"/>
  <c r="A1861" s="1"/>
  <c r="I1861" s="1"/>
  <c r="G1864"/>
  <c r="E1867"/>
  <c r="C1870"/>
  <c r="B1873"/>
  <c r="E1876"/>
  <c r="C1879"/>
  <c r="B1882"/>
  <c r="A1882" s="1"/>
  <c r="I1882" s="1"/>
  <c r="F1885"/>
  <c r="D1888"/>
  <c r="C1891"/>
  <c r="H1893"/>
  <c r="D1897"/>
  <c r="C1900"/>
  <c r="H1902"/>
  <c r="E1906"/>
  <c r="D1909"/>
  <c r="B1912"/>
  <c r="A1912" s="1"/>
  <c r="I1912" s="1"/>
  <c r="G1914"/>
  <c r="C1918"/>
  <c r="B1921"/>
  <c r="G1923"/>
  <c r="D1927"/>
  <c r="C1930"/>
  <c r="H1932"/>
  <c r="G1935"/>
  <c r="C1939"/>
  <c r="H1941"/>
  <c r="G1944"/>
  <c r="D1948"/>
  <c r="B1951"/>
  <c r="A1951" s="1"/>
  <c r="I1951" s="1"/>
  <c r="H1953"/>
  <c r="F1956"/>
  <c r="B1960"/>
  <c r="A1960" s="1"/>
  <c r="I1960" s="1"/>
  <c r="G1962"/>
  <c r="F1965"/>
  <c r="C1969"/>
  <c r="H1971"/>
  <c r="G1974"/>
  <c r="E1977"/>
  <c r="H1980"/>
  <c r="G1983"/>
  <c r="E1986"/>
  <c r="B1990"/>
  <c r="G1992"/>
  <c r="D1995"/>
  <c r="H1997"/>
  <c r="E2000"/>
  <c r="C2003"/>
  <c r="G2005"/>
  <c r="D2008"/>
  <c r="B2011"/>
  <c r="F2013"/>
  <c r="C2016"/>
  <c r="G2018"/>
  <c r="E2021"/>
  <c r="B2024"/>
  <c r="A2024" s="1"/>
  <c r="I2024" s="1"/>
  <c r="F2026"/>
  <c r="D2029"/>
  <c r="H2031"/>
  <c r="E2034"/>
  <c r="B2037"/>
  <c r="A2037" s="1"/>
  <c r="I2037" s="1"/>
  <c r="E2039"/>
  <c r="G2041"/>
  <c r="B2044"/>
  <c r="A2044" s="1"/>
  <c r="I2044" s="1"/>
  <c r="D2046"/>
  <c r="F2048"/>
  <c r="H2050"/>
  <c r="C2053"/>
  <c r="E2055"/>
  <c r="G2057"/>
  <c r="B2060"/>
  <c r="A2060" s="1"/>
  <c r="I2060" s="1"/>
  <c r="D2062"/>
  <c r="F2064"/>
  <c r="H2066"/>
  <c r="C2069"/>
  <c r="E2071"/>
  <c r="G2073"/>
  <c r="B2076"/>
  <c r="A2076" s="1"/>
  <c r="I2076" s="1"/>
  <c r="D2078"/>
  <c r="F2080"/>
  <c r="H2082"/>
  <c r="C2085"/>
  <c r="E2087"/>
  <c r="G2089"/>
  <c r="B2092"/>
  <c r="A2092" s="1"/>
  <c r="I2092" s="1"/>
  <c r="D2094"/>
  <c r="F2096"/>
  <c r="H2098"/>
  <c r="C2101"/>
  <c r="E2103"/>
  <c r="G2105"/>
  <c r="B2108"/>
  <c r="D2110"/>
  <c r="F2112"/>
  <c r="H2114"/>
  <c r="C2117"/>
  <c r="E2119"/>
  <c r="G2121"/>
  <c r="B2124"/>
  <c r="D2126"/>
  <c r="F2128"/>
  <c r="H2130"/>
  <c r="C2133"/>
  <c r="E2135"/>
  <c r="G2137"/>
  <c r="B2140"/>
  <c r="A2140" s="1"/>
  <c r="I2140" s="1"/>
  <c r="D2142"/>
  <c r="F2144"/>
  <c r="H2146"/>
  <c r="C2149"/>
  <c r="E2151"/>
  <c r="G2153"/>
  <c r="B2156"/>
  <c r="A2156" s="1"/>
  <c r="I2156" s="1"/>
  <c r="D2158"/>
  <c r="F2160"/>
  <c r="H2162"/>
  <c r="C2165"/>
  <c r="E2167"/>
  <c r="G2169"/>
  <c r="B2172"/>
  <c r="A2172" s="1"/>
  <c r="I2172" s="1"/>
  <c r="D2174"/>
  <c r="F2176"/>
  <c r="H2178"/>
  <c r="C2181"/>
  <c r="E2183"/>
  <c r="G2185"/>
  <c r="B2188"/>
  <c r="A2188" s="1"/>
  <c r="I2188" s="1"/>
  <c r="D2190"/>
  <c r="F2192"/>
  <c r="H2194"/>
  <c r="C2197"/>
  <c r="E2199"/>
  <c r="G2201"/>
  <c r="B2204"/>
  <c r="A2204" s="1"/>
  <c r="I2204" s="1"/>
  <c r="D2206"/>
  <c r="F2208"/>
  <c r="H2210"/>
  <c r="C2213"/>
  <c r="E2215"/>
  <c r="G2217"/>
  <c r="B2220"/>
  <c r="A2220" s="1"/>
  <c r="I2220" s="1"/>
  <c r="D2222"/>
  <c r="F2224"/>
  <c r="H2226"/>
  <c r="C2229"/>
  <c r="E2231"/>
  <c r="G2233"/>
  <c r="B2236"/>
  <c r="D2238"/>
  <c r="F2240"/>
  <c r="H2242"/>
  <c r="C2245"/>
  <c r="E2247"/>
  <c r="G2249"/>
  <c r="B2252"/>
  <c r="D2254"/>
  <c r="F2256"/>
  <c r="H2258"/>
  <c r="C2261"/>
  <c r="E2263"/>
  <c r="G2265"/>
  <c r="B2268"/>
  <c r="A2268" s="1"/>
  <c r="I2268" s="1"/>
  <c r="D2270"/>
  <c r="F2272"/>
  <c r="H2274"/>
  <c r="C2277"/>
  <c r="E2279"/>
  <c r="G2281"/>
  <c r="B2284"/>
  <c r="A2284" s="1"/>
  <c r="I2284" s="1"/>
  <c r="D2286"/>
  <c r="F2288"/>
  <c r="H2290"/>
  <c r="C2293"/>
  <c r="E2295"/>
  <c r="G2297"/>
  <c r="B2300"/>
  <c r="A2300" s="1"/>
  <c r="I2300" s="1"/>
  <c r="D2302"/>
  <c r="F2304"/>
  <c r="H2306"/>
  <c r="C2309"/>
  <c r="E2311"/>
  <c r="G2313"/>
  <c r="B2316"/>
  <c r="A2316" s="1"/>
  <c r="I2316" s="1"/>
  <c r="D2318"/>
  <c r="F2320"/>
  <c r="H2322"/>
  <c r="C2325"/>
  <c r="E2327"/>
  <c r="G2329"/>
  <c r="B2332"/>
  <c r="A2332" s="1"/>
  <c r="I2332" s="1"/>
  <c r="D2334"/>
  <c r="F2336"/>
  <c r="H2338"/>
  <c r="C2341"/>
  <c r="E2343"/>
  <c r="G2345"/>
  <c r="B2348"/>
  <c r="A2348" s="1"/>
  <c r="I2348" s="1"/>
  <c r="D2350"/>
  <c r="F2352"/>
  <c r="H2354"/>
  <c r="C2357"/>
  <c r="E2359"/>
  <c r="G2361"/>
  <c r="B2364"/>
  <c r="D2366"/>
  <c r="F2368"/>
  <c r="H2370"/>
  <c r="C2373"/>
  <c r="E2375"/>
  <c r="G2377"/>
  <c r="B2380"/>
  <c r="D2382"/>
  <c r="F2384"/>
  <c r="H2386"/>
  <c r="C2389"/>
  <c r="E2391"/>
  <c r="G2393"/>
  <c r="B2396"/>
  <c r="A2396" s="1"/>
  <c r="I2396" s="1"/>
  <c r="D2398"/>
  <c r="F2400"/>
  <c r="H2402"/>
  <c r="C2405"/>
  <c r="E2407"/>
  <c r="G2409"/>
  <c r="B2412"/>
  <c r="A2412" s="1"/>
  <c r="I2412" s="1"/>
  <c r="D2414"/>
  <c r="F2416"/>
  <c r="H2418"/>
  <c r="C2421"/>
  <c r="E2423"/>
  <c r="G2425"/>
  <c r="B2428"/>
  <c r="A2428" s="1"/>
  <c r="I2428" s="1"/>
  <c r="D2429"/>
  <c r="F2430"/>
  <c r="H2431"/>
  <c r="D2433"/>
  <c r="F2434"/>
  <c r="H2435"/>
  <c r="C2437"/>
  <c r="E2438"/>
  <c r="G2439"/>
  <c r="B2441"/>
  <c r="A2441" s="1"/>
  <c r="I2441" s="1"/>
  <c r="E2442"/>
  <c r="G2443"/>
  <c r="B2445"/>
  <c r="A2445" s="1"/>
  <c r="I2445" s="1"/>
  <c r="D2446"/>
  <c r="F2447"/>
  <c r="H2448"/>
  <c r="C2450"/>
  <c r="F2451"/>
  <c r="H2452"/>
  <c r="C2454"/>
  <c r="E2455"/>
  <c r="G2456"/>
  <c r="B2458"/>
  <c r="A2458" s="1"/>
  <c r="I2458" s="1"/>
  <c r="D2459"/>
  <c r="G2460"/>
  <c r="B2462"/>
  <c r="A2462" s="1"/>
  <c r="I2462" s="1"/>
  <c r="D2463"/>
  <c r="F2464"/>
  <c r="H2465"/>
  <c r="C2467"/>
  <c r="E2468"/>
  <c r="H2469"/>
  <c r="C2471"/>
  <c r="E2472"/>
  <c r="G2473"/>
  <c r="B2475"/>
  <c r="D2476"/>
  <c r="F2477"/>
  <c r="B2479"/>
  <c r="A2479" s="1"/>
  <c r="I2479" s="1"/>
  <c r="D2480"/>
  <c r="F2481"/>
  <c r="H2482"/>
  <c r="C2484"/>
  <c r="E2485"/>
  <c r="G2486"/>
  <c r="C2488"/>
  <c r="E2489"/>
  <c r="G2490"/>
  <c r="B2492"/>
  <c r="A2492" s="1"/>
  <c r="I2492" s="1"/>
  <c r="D2493"/>
  <c r="F2494"/>
  <c r="H2495"/>
  <c r="D2497"/>
  <c r="F2498"/>
  <c r="H2499"/>
  <c r="C2501"/>
  <c r="E2502"/>
  <c r="G2503"/>
  <c r="B2505"/>
  <c r="E2506"/>
  <c r="G2507"/>
  <c r="B2509"/>
  <c r="A2509" s="1"/>
  <c r="I2509" s="1"/>
  <c r="D2510"/>
  <c r="F2511"/>
  <c r="H2512"/>
  <c r="C2514"/>
  <c r="F2515"/>
  <c r="H2516"/>
  <c r="C2518"/>
  <c r="E2519"/>
  <c r="G2520"/>
  <c r="B2522"/>
  <c r="A2522" s="1"/>
  <c r="I2522" s="1"/>
  <c r="D2523"/>
  <c r="G2524"/>
  <c r="B2526"/>
  <c r="A2526" s="1"/>
  <c r="I2526" s="1"/>
  <c r="G223"/>
  <c r="H324"/>
  <c r="F405"/>
  <c r="F465"/>
  <c r="D512"/>
  <c r="C554"/>
  <c r="E591"/>
  <c r="D615"/>
  <c r="D639"/>
  <c r="C663"/>
  <c r="E686"/>
  <c r="D707"/>
  <c r="D728"/>
  <c r="C749"/>
  <c r="B770"/>
  <c r="A770" s="1"/>
  <c r="I770" s="1"/>
  <c r="B791"/>
  <c r="H811"/>
  <c r="G832"/>
  <c r="F853"/>
  <c r="F874"/>
  <c r="E895"/>
  <c r="D916"/>
  <c r="B937"/>
  <c r="A937" s="1"/>
  <c r="I937" s="1"/>
  <c r="D955"/>
  <c r="F973"/>
  <c r="H991"/>
  <c r="C1010"/>
  <c r="E1028"/>
  <c r="G1046"/>
  <c r="B1065"/>
  <c r="A1065" s="1"/>
  <c r="I1065" s="1"/>
  <c r="D1083"/>
  <c r="F1101"/>
  <c r="C1112"/>
  <c r="F1122"/>
  <c r="B1133"/>
  <c r="A1133" s="1"/>
  <c r="I1133" s="1"/>
  <c r="E1143"/>
  <c r="H1153"/>
  <c r="D1164"/>
  <c r="G1174"/>
  <c r="D1185"/>
  <c r="G1195"/>
  <c r="C1206"/>
  <c r="F1216"/>
  <c r="B1227"/>
  <c r="A1227" s="1"/>
  <c r="I1227" s="1"/>
  <c r="E1237"/>
  <c r="H1247"/>
  <c r="E1258"/>
  <c r="H1268"/>
  <c r="D1279"/>
  <c r="G1289"/>
  <c r="C1300"/>
  <c r="F1310"/>
  <c r="B1321"/>
  <c r="A1321" s="1"/>
  <c r="I1321" s="1"/>
  <c r="F1331"/>
  <c r="B1342"/>
  <c r="A1342" s="1"/>
  <c r="I1342" s="1"/>
  <c r="E1352"/>
  <c r="H1362"/>
  <c r="D1373"/>
  <c r="G1383"/>
  <c r="C1394"/>
  <c r="G1404"/>
  <c r="C1415"/>
  <c r="F1425"/>
  <c r="B1436"/>
  <c r="A1436" s="1"/>
  <c r="I1436" s="1"/>
  <c r="E1446"/>
  <c r="H1456"/>
  <c r="D1467"/>
  <c r="H1477"/>
  <c r="D1488"/>
  <c r="G1498"/>
  <c r="C1509"/>
  <c r="B1516"/>
  <c r="H1521"/>
  <c r="H1527"/>
  <c r="H1533"/>
  <c r="H1539"/>
  <c r="G1545"/>
  <c r="G1551"/>
  <c r="H1557"/>
  <c r="G1563"/>
  <c r="G1569"/>
  <c r="C1575"/>
  <c r="E1580"/>
  <c r="F1585"/>
  <c r="H1590"/>
  <c r="C1596"/>
  <c r="D1601"/>
  <c r="F1606"/>
  <c r="G1611"/>
  <c r="B1617"/>
  <c r="A1617" s="1"/>
  <c r="I1617" s="1"/>
  <c r="C1622"/>
  <c r="E1627"/>
  <c r="G1632"/>
  <c r="H1637"/>
  <c r="C1643"/>
  <c r="D1648"/>
  <c r="F1653"/>
  <c r="G1658"/>
  <c r="B1664"/>
  <c r="A1664" s="1"/>
  <c r="I1664" s="1"/>
  <c r="D1669"/>
  <c r="E1674"/>
  <c r="G1679"/>
  <c r="H1684"/>
  <c r="C1690"/>
  <c r="D1695"/>
  <c r="F1700"/>
  <c r="H1705"/>
  <c r="B1711"/>
  <c r="A1711" s="1"/>
  <c r="I1711" s="1"/>
  <c r="D1716"/>
  <c r="E1721"/>
  <c r="G1726"/>
  <c r="H1731"/>
  <c r="C1737"/>
  <c r="E1742"/>
  <c r="F1747"/>
  <c r="H1752"/>
  <c r="B1758"/>
  <c r="A1758" s="1"/>
  <c r="I1758" s="1"/>
  <c r="D1763"/>
  <c r="E1768"/>
  <c r="G1773"/>
  <c r="B1779"/>
  <c r="C1784"/>
  <c r="E1789"/>
  <c r="F1794"/>
  <c r="H1799"/>
  <c r="B1805"/>
  <c r="A1805" s="1"/>
  <c r="I1805" s="1"/>
  <c r="D1810"/>
  <c r="D1815"/>
  <c r="C1818"/>
  <c r="F1821"/>
  <c r="D1824"/>
  <c r="C1827"/>
  <c r="G1830"/>
  <c r="E1833"/>
  <c r="D1836"/>
  <c r="B1839"/>
  <c r="E1842"/>
  <c r="D1845"/>
  <c r="B1848"/>
  <c r="A1848" s="1"/>
  <c r="I1848" s="1"/>
  <c r="F1851"/>
  <c r="E1854"/>
  <c r="C1857"/>
  <c r="H1859"/>
  <c r="D1863"/>
  <c r="C1866"/>
  <c r="H1868"/>
  <c r="E1872"/>
  <c r="D1875"/>
  <c r="B1878"/>
  <c r="A1878" s="1"/>
  <c r="I1878" s="1"/>
  <c r="H1880"/>
  <c r="D1884"/>
  <c r="B1887"/>
  <c r="H1889"/>
  <c r="E1893"/>
  <c r="C1896"/>
  <c r="B1899"/>
  <c r="A1899" s="1"/>
  <c r="I1899" s="1"/>
  <c r="G1901"/>
  <c r="C1905"/>
  <c r="H1907"/>
  <c r="G1910"/>
  <c r="D1914"/>
  <c r="B1917"/>
  <c r="A1917" s="1"/>
  <c r="I1917" s="1"/>
  <c r="H1919"/>
  <c r="F1922"/>
  <c r="B1926"/>
  <c r="A1926" s="1"/>
  <c r="I1926" s="1"/>
  <c r="H1928"/>
  <c r="F1931"/>
  <c r="C1935"/>
  <c r="B1938"/>
  <c r="G1940"/>
  <c r="F1943"/>
  <c r="B1947"/>
  <c r="A1947" s="1"/>
  <c r="I1947" s="1"/>
  <c r="G1949"/>
  <c r="E1952"/>
  <c r="C1956"/>
  <c r="H1958"/>
  <c r="F1961"/>
  <c r="E1964"/>
  <c r="H1967"/>
  <c r="F1970"/>
  <c r="E1973"/>
  <c r="B1977"/>
  <c r="A1977" s="1"/>
  <c r="I1977" s="1"/>
  <c r="G1979"/>
  <c r="F1982"/>
  <c r="D1985"/>
  <c r="G1988"/>
  <c r="F1991"/>
  <c r="C1994"/>
  <c r="G1996"/>
  <c r="D1999"/>
  <c r="B2002"/>
  <c r="A2002" s="1"/>
  <c r="I2002" s="1"/>
  <c r="F2004"/>
  <c r="C2007"/>
  <c r="H2009"/>
  <c r="E2012"/>
  <c r="B2015"/>
  <c r="A2015" s="1"/>
  <c r="I2015" s="1"/>
  <c r="F2017"/>
  <c r="D2020"/>
  <c r="H2022"/>
  <c r="E2025"/>
  <c r="C2028"/>
  <c r="G2030"/>
  <c r="D2033"/>
  <c r="H2035"/>
  <c r="E2038"/>
  <c r="G2040"/>
  <c r="B2043"/>
  <c r="A2043" s="1"/>
  <c r="I2043" s="1"/>
  <c r="D2045"/>
  <c r="F2047"/>
  <c r="H2049"/>
  <c r="C2052"/>
  <c r="E2054"/>
  <c r="G2056"/>
  <c r="B2059"/>
  <c r="A2059" s="1"/>
  <c r="I2059" s="1"/>
  <c r="D2061"/>
  <c r="F2063"/>
  <c r="H2065"/>
  <c r="C2068"/>
  <c r="E2070"/>
  <c r="G2072"/>
  <c r="B2075"/>
  <c r="A2075" s="1"/>
  <c r="I2075" s="1"/>
  <c r="D2077"/>
  <c r="F2079"/>
  <c r="H2081"/>
  <c r="C2084"/>
  <c r="E2086"/>
  <c r="G2088"/>
  <c r="B2091"/>
  <c r="A2091" s="1"/>
  <c r="I2091" s="1"/>
  <c r="D2093"/>
  <c r="F2095"/>
  <c r="H2097"/>
  <c r="C2100"/>
  <c r="E2102"/>
  <c r="G2104"/>
  <c r="B2107"/>
  <c r="A2107" s="1"/>
  <c r="I2107" s="1"/>
  <c r="D2109"/>
  <c r="F2111"/>
  <c r="H2113"/>
  <c r="C2116"/>
  <c r="E2118"/>
  <c r="G2120"/>
  <c r="B2123"/>
  <c r="A2123" s="1"/>
  <c r="I2123" s="1"/>
  <c r="D2125"/>
  <c r="F2127"/>
  <c r="H2129"/>
  <c r="C2132"/>
  <c r="E2134"/>
  <c r="G2136"/>
  <c r="B2139"/>
  <c r="D2141"/>
  <c r="F2143"/>
  <c r="H2145"/>
  <c r="C2148"/>
  <c r="E2150"/>
  <c r="G2152"/>
  <c r="B2155"/>
  <c r="D2157"/>
  <c r="F2159"/>
  <c r="H2161"/>
  <c r="C2164"/>
  <c r="E2166"/>
  <c r="G2168"/>
  <c r="B2171"/>
  <c r="A2171" s="1"/>
  <c r="I2171" s="1"/>
  <c r="D2173"/>
  <c r="F2175"/>
  <c r="H2177"/>
  <c r="C2180"/>
  <c r="E2182"/>
  <c r="G2184"/>
  <c r="B2187"/>
  <c r="A2187" s="1"/>
  <c r="I2187" s="1"/>
  <c r="D2189"/>
  <c r="F2191"/>
  <c r="H2193"/>
  <c r="C2196"/>
  <c r="E2198"/>
  <c r="G2200"/>
  <c r="B2203"/>
  <c r="A2203" s="1"/>
  <c r="I2203" s="1"/>
  <c r="D2205"/>
  <c r="F2207"/>
  <c r="H2209"/>
  <c r="C2212"/>
  <c r="E2214"/>
  <c r="G2216"/>
  <c r="B2219"/>
  <c r="A2219" s="1"/>
  <c r="I2219" s="1"/>
  <c r="D2221"/>
  <c r="F2223"/>
  <c r="H2225"/>
  <c r="C2228"/>
  <c r="E2230"/>
  <c r="G2232"/>
  <c r="B2235"/>
  <c r="A2235" s="1"/>
  <c r="I2235" s="1"/>
  <c r="D2237"/>
  <c r="F2239"/>
  <c r="H2241"/>
  <c r="C2244"/>
  <c r="E2246"/>
  <c r="G2248"/>
  <c r="B2251"/>
  <c r="A2251" s="1"/>
  <c r="I2251" s="1"/>
  <c r="D2253"/>
  <c r="F2255"/>
  <c r="H2257"/>
  <c r="C2260"/>
  <c r="E2262"/>
  <c r="G2264"/>
  <c r="B2267"/>
  <c r="D2269"/>
  <c r="F2271"/>
  <c r="H2273"/>
  <c r="C2276"/>
  <c r="E2278"/>
  <c r="G2280"/>
  <c r="B2283"/>
  <c r="D2285"/>
  <c r="F2287"/>
  <c r="H2289"/>
  <c r="C2292"/>
  <c r="E2294"/>
  <c r="G2296"/>
  <c r="B2299"/>
  <c r="A2299" s="1"/>
  <c r="I2299" s="1"/>
  <c r="D2301"/>
  <c r="F2303"/>
  <c r="H2305"/>
  <c r="C2308"/>
  <c r="E2310"/>
  <c r="G2312"/>
  <c r="B2315"/>
  <c r="A2315" s="1"/>
  <c r="I2315" s="1"/>
  <c r="D2317"/>
  <c r="F2319"/>
  <c r="H2321"/>
  <c r="C2324"/>
  <c r="E2326"/>
  <c r="G2328"/>
  <c r="B2331"/>
  <c r="A2331" s="1"/>
  <c r="I2331" s="1"/>
  <c r="D2333"/>
  <c r="F2335"/>
  <c r="H2337"/>
  <c r="C2340"/>
  <c r="E2342"/>
  <c r="G2344"/>
  <c r="B2347"/>
  <c r="A2347" s="1"/>
  <c r="I2347" s="1"/>
  <c r="D2349"/>
  <c r="F2351"/>
  <c r="H2353"/>
  <c r="C2356"/>
  <c r="E2358"/>
  <c r="G2360"/>
  <c r="B2363"/>
  <c r="A2363" s="1"/>
  <c r="I2363" s="1"/>
  <c r="D2365"/>
  <c r="F2367"/>
  <c r="H2369"/>
  <c r="C2372"/>
  <c r="E2374"/>
  <c r="G2376"/>
  <c r="B2379"/>
  <c r="A2379" s="1"/>
  <c r="I2379" s="1"/>
  <c r="D2381"/>
  <c r="F2383"/>
  <c r="H2385"/>
  <c r="C2388"/>
  <c r="E2390"/>
  <c r="G2392"/>
  <c r="B2395"/>
  <c r="D2397"/>
  <c r="F2399"/>
  <c r="H2401"/>
  <c r="C2404"/>
  <c r="E2406"/>
  <c r="G2408"/>
  <c r="B2411"/>
  <c r="D2413"/>
  <c r="F2415"/>
  <c r="H2417"/>
  <c r="C2420"/>
  <c r="E2422"/>
  <c r="G2424"/>
  <c r="B2427"/>
  <c r="A2427" s="1"/>
  <c r="I2427" s="1"/>
  <c r="H2428"/>
  <c r="C2430"/>
  <c r="E2431"/>
  <c r="G2432"/>
  <c r="B2434"/>
  <c r="A2434" s="1"/>
  <c r="I2434" s="1"/>
  <c r="D2435"/>
  <c r="G2436"/>
  <c r="B2438"/>
  <c r="A2438" s="1"/>
  <c r="I2438" s="1"/>
  <c r="D2439"/>
  <c r="F2440"/>
  <c r="H2441"/>
  <c r="C2443"/>
  <c r="E2444"/>
  <c r="H2445"/>
  <c r="C2447"/>
  <c r="E2448"/>
  <c r="G2449"/>
  <c r="B2451"/>
  <c r="D2452"/>
  <c r="F2453"/>
  <c r="B2455"/>
  <c r="A2455" s="1"/>
  <c r="I2455" s="1"/>
  <c r="D2456"/>
  <c r="F2457"/>
  <c r="H2458"/>
  <c r="C2460"/>
  <c r="E2461"/>
  <c r="G2462"/>
  <c r="C2464"/>
  <c r="E2465"/>
  <c r="G2466"/>
  <c r="B2468"/>
  <c r="A2468" s="1"/>
  <c r="I2468" s="1"/>
  <c r="D2469"/>
  <c r="F2470"/>
  <c r="H2471"/>
  <c r="D2473"/>
  <c r="F2474"/>
  <c r="H2475"/>
  <c r="C2477"/>
  <c r="E2478"/>
  <c r="G2479"/>
  <c r="B2481"/>
  <c r="A2481" s="1"/>
  <c r="I2481" s="1"/>
  <c r="E2482"/>
  <c r="G2483"/>
  <c r="B2485"/>
  <c r="A2485" s="1"/>
  <c r="I2485" s="1"/>
  <c r="D2486"/>
  <c r="F2487"/>
  <c r="H2488"/>
  <c r="C2490"/>
  <c r="F2491"/>
  <c r="H2492"/>
  <c r="C2494"/>
  <c r="E2495"/>
  <c r="G2496"/>
  <c r="B2498"/>
  <c r="A2498" s="1"/>
  <c r="I2498" s="1"/>
  <c r="D2499"/>
  <c r="G2500"/>
  <c r="B2502"/>
  <c r="D2503"/>
  <c r="F2504"/>
  <c r="H2505"/>
  <c r="C2507"/>
  <c r="E2508"/>
  <c r="H2509"/>
  <c r="C2511"/>
  <c r="E2512"/>
  <c r="G2513"/>
  <c r="B2515"/>
  <c r="A2515" s="1"/>
  <c r="I2515" s="1"/>
  <c r="D2516"/>
  <c r="F2517"/>
  <c r="B2519"/>
  <c r="A2519" s="1"/>
  <c r="I2519" s="1"/>
  <c r="D2520"/>
  <c r="F2521"/>
  <c r="H2522"/>
  <c r="C2524"/>
  <c r="E2525"/>
  <c r="G2526"/>
  <c r="D223"/>
  <c r="F324"/>
  <c r="C405"/>
  <c r="D465"/>
  <c r="B512"/>
  <c r="A512" s="1"/>
  <c r="I512" s="1"/>
  <c r="G553"/>
  <c r="C591"/>
  <c r="B615"/>
  <c r="A615" s="1"/>
  <c r="I615" s="1"/>
  <c r="H638"/>
  <c r="H662"/>
  <c r="C686"/>
  <c r="B707"/>
  <c r="A707" s="1"/>
  <c r="I707" s="1"/>
  <c r="H727"/>
  <c r="H748"/>
  <c r="G769"/>
  <c r="F790"/>
  <c r="F811"/>
  <c r="E832"/>
  <c r="D853"/>
  <c r="C874"/>
  <c r="C895"/>
  <c r="B916"/>
  <c r="A916" s="1"/>
  <c r="I916" s="1"/>
  <c r="G936"/>
  <c r="B955"/>
  <c r="A955" s="1"/>
  <c r="I955" s="1"/>
  <c r="D973"/>
  <c r="F991"/>
  <c r="H1009"/>
  <c r="C1028"/>
  <c r="E1046"/>
  <c r="G1064"/>
  <c r="B1083"/>
  <c r="A1083" s="1"/>
  <c r="I1083" s="1"/>
  <c r="D1101"/>
  <c r="G1111"/>
  <c r="C1122"/>
  <c r="G1132"/>
  <c r="C1143"/>
  <c r="F1153"/>
  <c r="B1164"/>
  <c r="E1174"/>
  <c r="H1184"/>
  <c r="D1195"/>
  <c r="H1205"/>
  <c r="D1216"/>
  <c r="G1226"/>
  <c r="C1237"/>
  <c r="F1247"/>
  <c r="B1258"/>
  <c r="A1258" s="1"/>
  <c r="I1258" s="1"/>
  <c r="E1268"/>
  <c r="B1279"/>
  <c r="A1279" s="1"/>
  <c r="I1279" s="1"/>
  <c r="E1289"/>
  <c r="H1299"/>
  <c r="D1310"/>
  <c r="G1320"/>
  <c r="C1331"/>
  <c r="F1341"/>
  <c r="C1352"/>
  <c r="F1362"/>
  <c r="B1373"/>
  <c r="A1373" s="1"/>
  <c r="I1373" s="1"/>
  <c r="E1383"/>
  <c r="D345"/>
  <c r="H511"/>
  <c r="H602"/>
  <c r="F668"/>
  <c r="G727"/>
  <c r="B780"/>
  <c r="A780" s="1"/>
  <c r="I780" s="1"/>
  <c r="E837"/>
  <c r="B895"/>
  <c r="A895" s="1"/>
  <c r="I895" s="1"/>
  <c r="G945"/>
  <c r="B996"/>
  <c r="D1046"/>
  <c r="B1092"/>
  <c r="A1092" s="1"/>
  <c r="I1092" s="1"/>
  <c r="G1124"/>
  <c r="E1153"/>
  <c r="F1179"/>
  <c r="D1208"/>
  <c r="B1237"/>
  <c r="A1237" s="1"/>
  <c r="I1237" s="1"/>
  <c r="C1263"/>
  <c r="H1291"/>
  <c r="F1320"/>
  <c r="G1346"/>
  <c r="E1375"/>
  <c r="B1399"/>
  <c r="A1399" s="1"/>
  <c r="I1399" s="1"/>
  <c r="H1419"/>
  <c r="G1440"/>
  <c r="F1461"/>
  <c r="F1482"/>
  <c r="E1503"/>
  <c r="D1518"/>
  <c r="E1530"/>
  <c r="D1542"/>
  <c r="C1554"/>
  <c r="C1566"/>
  <c r="D1577"/>
  <c r="G1587"/>
  <c r="C1598"/>
  <c r="G1608"/>
  <c r="C1619"/>
  <c r="F1629"/>
  <c r="B1640"/>
  <c r="A1640" s="1"/>
  <c r="I1640" s="1"/>
  <c r="E1650"/>
  <c r="H1660"/>
  <c r="D1671"/>
  <c r="H1681"/>
  <c r="D1692"/>
  <c r="G1702"/>
  <c r="C1713"/>
  <c r="F1723"/>
  <c r="B1734"/>
  <c r="A1734" s="1"/>
  <c r="I1734" s="1"/>
  <c r="E1744"/>
  <c r="B1755"/>
  <c r="E1765"/>
  <c r="H1775"/>
  <c r="D1786"/>
  <c r="G1796"/>
  <c r="C1807"/>
  <c r="D1816"/>
  <c r="H1821"/>
  <c r="D1828"/>
  <c r="H1833"/>
  <c r="B1840"/>
  <c r="A1840" s="1"/>
  <c r="I1840" s="1"/>
  <c r="E1846"/>
  <c r="H1851"/>
  <c r="C1858"/>
  <c r="G1863"/>
  <c r="B1870"/>
  <c r="F1875"/>
  <c r="H1881"/>
  <c r="C1888"/>
  <c r="G1893"/>
  <c r="H1899"/>
  <c r="E1905"/>
  <c r="H1911"/>
  <c r="E1917"/>
  <c r="F1923"/>
  <c r="B1930"/>
  <c r="A1930" s="1"/>
  <c r="I1930" s="1"/>
  <c r="F1935"/>
  <c r="G1941"/>
  <c r="D1947"/>
  <c r="F1953"/>
  <c r="C1959"/>
  <c r="E1965"/>
  <c r="G1971"/>
  <c r="D1977"/>
  <c r="F1983"/>
  <c r="B1989"/>
  <c r="A1989" s="1"/>
  <c r="I1989" s="1"/>
  <c r="E1994"/>
  <c r="G1999"/>
  <c r="H2004"/>
  <c r="C2010"/>
  <c r="D2015"/>
  <c r="F2020"/>
  <c r="H2025"/>
  <c r="B2031"/>
  <c r="A2031" s="1"/>
  <c r="I2031" s="1"/>
  <c r="D2036"/>
  <c r="B2041"/>
  <c r="A2041" s="1"/>
  <c r="I2041" s="1"/>
  <c r="F2045"/>
  <c r="C2050"/>
  <c r="G2054"/>
  <c r="D2059"/>
  <c r="H2063"/>
  <c r="E2068"/>
  <c r="B2073"/>
  <c r="A2073" s="1"/>
  <c r="I2073" s="1"/>
  <c r="F2077"/>
  <c r="C2082"/>
  <c r="G2086"/>
  <c r="D2091"/>
  <c r="H2095"/>
  <c r="E2100"/>
  <c r="B2105"/>
  <c r="A2105" s="1"/>
  <c r="I2105" s="1"/>
  <c r="F2109"/>
  <c r="C2114"/>
  <c r="G2118"/>
  <c r="D2123"/>
  <c r="H2127"/>
  <c r="E2132"/>
  <c r="B2137"/>
  <c r="A2137" s="1"/>
  <c r="I2137" s="1"/>
  <c r="F2141"/>
  <c r="C2146"/>
  <c r="G2150"/>
  <c r="D2155"/>
  <c r="H2159"/>
  <c r="E2164"/>
  <c r="B2169"/>
  <c r="A2169" s="1"/>
  <c r="I2169" s="1"/>
  <c r="F2173"/>
  <c r="C2178"/>
  <c r="G2182"/>
  <c r="D2187"/>
  <c r="H2191"/>
  <c r="E2196"/>
  <c r="B2201"/>
  <c r="F2205"/>
  <c r="C2210"/>
  <c r="G2214"/>
  <c r="D2219"/>
  <c r="H2223"/>
  <c r="E2228"/>
  <c r="B2233"/>
  <c r="F2237"/>
  <c r="C2242"/>
  <c r="G2246"/>
  <c r="D2251"/>
  <c r="H2255"/>
  <c r="E2260"/>
  <c r="B2265"/>
  <c r="A2265" s="1"/>
  <c r="I2265" s="1"/>
  <c r="F2269"/>
  <c r="C2274"/>
  <c r="G2278"/>
  <c r="D2283"/>
  <c r="H2287"/>
  <c r="E2292"/>
  <c r="B2297"/>
  <c r="A2297" s="1"/>
  <c r="I2297" s="1"/>
  <c r="F2301"/>
  <c r="C2306"/>
  <c r="G2310"/>
  <c r="D2315"/>
  <c r="H2319"/>
  <c r="E2324"/>
  <c r="B2329"/>
  <c r="A2329" s="1"/>
  <c r="I2329" s="1"/>
  <c r="F2333"/>
  <c r="C2338"/>
  <c r="G2342"/>
  <c r="D2347"/>
  <c r="H2351"/>
  <c r="E2356"/>
  <c r="B2361"/>
  <c r="A2361" s="1"/>
  <c r="I2361" s="1"/>
  <c r="F2365"/>
  <c r="C2370"/>
  <c r="G2374"/>
  <c r="D2379"/>
  <c r="H2383"/>
  <c r="E2388"/>
  <c r="B2393"/>
  <c r="A2393" s="1"/>
  <c r="I2393" s="1"/>
  <c r="F2397"/>
  <c r="C2402"/>
  <c r="G2406"/>
  <c r="D2411"/>
  <c r="H2415"/>
  <c r="E2420"/>
  <c r="B2425"/>
  <c r="A2425" s="1"/>
  <c r="I2425" s="1"/>
  <c r="C2429"/>
  <c r="G2431"/>
  <c r="E2434"/>
  <c r="B2437"/>
  <c r="A2437" s="1"/>
  <c r="I2437" s="1"/>
  <c r="F2439"/>
  <c r="C2442"/>
  <c r="H2444"/>
  <c r="E2447"/>
  <c r="B2450"/>
  <c r="A2450" s="1"/>
  <c r="I2450" s="1"/>
  <c r="G2452"/>
  <c r="D2455"/>
  <c r="H2457"/>
  <c r="E2460"/>
  <c r="C2463"/>
  <c r="G2465"/>
  <c r="D2468"/>
  <c r="B2471"/>
  <c r="A2471" s="1"/>
  <c r="I2471" s="1"/>
  <c r="F2473"/>
  <c r="C2476"/>
  <c r="G2478"/>
  <c r="E2481"/>
  <c r="B2484"/>
  <c r="F2486"/>
  <c r="D2489"/>
  <c r="H2491"/>
  <c r="E2494"/>
  <c r="B2497"/>
  <c r="A2497" s="1"/>
  <c r="I2497" s="1"/>
  <c r="G2499"/>
  <c r="D2502"/>
  <c r="H2504"/>
  <c r="F2507"/>
  <c r="C2510"/>
  <c r="G2512"/>
  <c r="D2515"/>
  <c r="B2518"/>
  <c r="A2518" s="1"/>
  <c r="I2518" s="1"/>
  <c r="F2520"/>
  <c r="C2523"/>
  <c r="H2525"/>
  <c r="C465"/>
  <c r="G644"/>
  <c r="F816"/>
  <c r="G977"/>
  <c r="C1114"/>
  <c r="H1197"/>
  <c r="E1281"/>
  <c r="B1365"/>
  <c r="F1435"/>
  <c r="C1498"/>
  <c r="C1539"/>
  <c r="G1574"/>
  <c r="B1606"/>
  <c r="A1606" s="1"/>
  <c r="I1606" s="1"/>
  <c r="E1637"/>
  <c r="G1668"/>
  <c r="C1700"/>
  <c r="E1731"/>
  <c r="G1762"/>
  <c r="C1794"/>
  <c r="F1820"/>
  <c r="G1838"/>
  <c r="H1856"/>
  <c r="C1874"/>
  <c r="D1892"/>
  <c r="E1910"/>
  <c r="H1927"/>
  <c r="B1946"/>
  <c r="A1946" s="1"/>
  <c r="I1946" s="1"/>
  <c r="C1964"/>
  <c r="F1969"/>
  <c r="G1987"/>
  <c r="E1998"/>
  <c r="H2008"/>
  <c r="D2019"/>
  <c r="B2035"/>
  <c r="A2035" s="1"/>
  <c r="I2035" s="1"/>
  <c r="B2049"/>
  <c r="A2049" s="1"/>
  <c r="I2049" s="1"/>
  <c r="G2062"/>
  <c r="E2076"/>
  <c r="C2090"/>
  <c r="H2103"/>
  <c r="F2117"/>
  <c r="D2131"/>
  <c r="B2145"/>
  <c r="A2145" s="1"/>
  <c r="I2145" s="1"/>
  <c r="G2158"/>
  <c r="E2172"/>
  <c r="C2186"/>
  <c r="H2199"/>
  <c r="F2213"/>
  <c r="D2227"/>
  <c r="B2241"/>
  <c r="A2241" s="1"/>
  <c r="I2241" s="1"/>
  <c r="G2254"/>
  <c r="H2263"/>
  <c r="F2277"/>
  <c r="D2291"/>
  <c r="B2305"/>
  <c r="A2305" s="1"/>
  <c r="I2305" s="1"/>
  <c r="G2318"/>
  <c r="E2332"/>
  <c r="C2346"/>
  <c r="H2359"/>
  <c r="F2373"/>
  <c r="D2387"/>
  <c r="B2401"/>
  <c r="A2401" s="1"/>
  <c r="I2401" s="1"/>
  <c r="G2414"/>
  <c r="E2428"/>
  <c r="D2436"/>
  <c r="C2444"/>
  <c r="B2452"/>
  <c r="A2452" s="1"/>
  <c r="I2452" s="1"/>
  <c r="H2459"/>
  <c r="G2467"/>
  <c r="F2475"/>
  <c r="D2483"/>
  <c r="C2491"/>
  <c r="B2499"/>
  <c r="A2499" s="1"/>
  <c r="I2499" s="1"/>
  <c r="H2506"/>
  <c r="G2514"/>
  <c r="F2522"/>
  <c r="C223"/>
  <c r="H753"/>
  <c r="B921"/>
  <c r="A921" s="1"/>
  <c r="I921" s="1"/>
  <c r="H1018"/>
  <c r="F1111"/>
  <c r="E1166"/>
  <c r="D1221"/>
  <c r="G1278"/>
  <c r="F1333"/>
  <c r="E1388"/>
  <c r="D1430"/>
  <c r="C1472"/>
  <c r="E1512"/>
  <c r="D1536"/>
  <c r="C1572"/>
  <c r="B1593"/>
  <c r="A1593" s="1"/>
  <c r="I1593" s="1"/>
  <c r="H1613"/>
  <c r="G1634"/>
  <c r="C1666"/>
  <c r="B1687"/>
  <c r="A1687" s="1"/>
  <c r="I1687" s="1"/>
  <c r="H1707"/>
  <c r="H1728"/>
  <c r="G1749"/>
  <c r="F1770"/>
  <c r="F1791"/>
  <c r="E1812"/>
  <c r="E1825"/>
  <c r="D1837"/>
  <c r="C1849"/>
  <c r="H1860"/>
  <c r="F1884"/>
  <c r="G1902"/>
  <c r="F1914"/>
  <c r="G1932"/>
  <c r="E1944"/>
  <c r="E1956"/>
  <c r="F1974"/>
  <c r="D1986"/>
  <c r="B1997"/>
  <c r="A1997" s="1"/>
  <c r="I1997" s="1"/>
  <c r="F2007"/>
  <c r="B2018"/>
  <c r="A2018" s="1"/>
  <c r="I2018" s="1"/>
  <c r="E2028"/>
  <c r="D2043"/>
  <c r="E2052"/>
  <c r="F2061"/>
  <c r="G2070"/>
  <c r="H2079"/>
  <c r="B2089"/>
  <c r="A2089" s="1"/>
  <c r="I2089" s="1"/>
  <c r="D2107"/>
  <c r="E2116"/>
  <c r="C2130"/>
  <c r="D2139"/>
  <c r="E2148"/>
  <c r="F2157"/>
  <c r="G2166"/>
  <c r="H2175"/>
  <c r="C2194"/>
  <c r="D2203"/>
  <c r="E2212"/>
  <c r="F2221"/>
  <c r="D2235"/>
  <c r="E2244"/>
  <c r="G2262"/>
  <c r="E2276"/>
  <c r="F2285"/>
  <c r="G2294"/>
  <c r="H2303"/>
  <c r="B2313"/>
  <c r="A2313" s="1"/>
  <c r="I2313" s="1"/>
  <c r="C2322"/>
  <c r="D2331"/>
  <c r="E2340"/>
  <c r="F2349"/>
  <c r="G2358"/>
  <c r="H2367"/>
  <c r="B2377"/>
  <c r="A2377" s="1"/>
  <c r="I2377" s="1"/>
  <c r="G2390"/>
  <c r="H2399"/>
  <c r="B2409"/>
  <c r="G2422"/>
  <c r="E2430"/>
  <c r="G2435"/>
  <c r="H2440"/>
  <c r="C2446"/>
  <c r="D2451"/>
  <c r="F2456"/>
  <c r="H2461"/>
  <c r="B2467"/>
  <c r="A2467" s="1"/>
  <c r="I2467" s="1"/>
  <c r="E2477"/>
  <c r="D2485"/>
  <c r="C2493"/>
  <c r="B2501"/>
  <c r="A2501" s="1"/>
  <c r="I2501" s="1"/>
  <c r="C2506"/>
  <c r="B2514"/>
  <c r="H2521"/>
  <c r="E324"/>
  <c r="H490"/>
  <c r="H596"/>
  <c r="F662"/>
  <c r="D717"/>
  <c r="G774"/>
  <c r="D832"/>
  <c r="E884"/>
  <c r="C941"/>
  <c r="E991"/>
  <c r="C1037"/>
  <c r="E1087"/>
  <c r="B1122"/>
  <c r="A1122" s="1"/>
  <c r="I1122" s="1"/>
  <c r="C1148"/>
  <c r="H1176"/>
  <c r="F1205"/>
  <c r="G1231"/>
  <c r="E1260"/>
  <c r="D1289"/>
  <c r="D1315"/>
  <c r="C1344"/>
  <c r="H1372"/>
  <c r="D1396"/>
  <c r="D1417"/>
  <c r="C1438"/>
  <c r="B1459"/>
  <c r="A1459" s="1"/>
  <c r="I1459" s="1"/>
  <c r="H1479"/>
  <c r="H1500"/>
  <c r="H1516"/>
  <c r="G1528"/>
  <c r="H1540"/>
  <c r="G1552"/>
  <c r="G1564"/>
  <c r="B1576"/>
  <c r="A1576" s="1"/>
  <c r="I1576" s="1"/>
  <c r="E1586"/>
  <c r="H1596"/>
  <c r="D1607"/>
  <c r="H1617"/>
  <c r="D1628"/>
  <c r="G1638"/>
  <c r="C1649"/>
  <c r="F1659"/>
  <c r="B1670"/>
  <c r="A1670" s="1"/>
  <c r="I1670" s="1"/>
  <c r="E1680"/>
  <c r="B1691"/>
  <c r="A1691" s="1"/>
  <c r="I1691" s="1"/>
  <c r="E1701"/>
  <c r="H1711"/>
  <c r="D1722"/>
  <c r="G1732"/>
  <c r="C1743"/>
  <c r="F1753"/>
  <c r="C1764"/>
  <c r="F1774"/>
  <c r="B1785"/>
  <c r="A1785" s="1"/>
  <c r="I1785" s="1"/>
  <c r="E1795"/>
  <c r="H1805"/>
  <c r="F1815"/>
  <c r="G1821"/>
  <c r="C1828"/>
  <c r="F1833"/>
  <c r="H1839"/>
  <c r="E1845"/>
  <c r="G1851"/>
  <c r="D1857"/>
  <c r="F1863"/>
  <c r="H1869"/>
  <c r="E1875"/>
  <c r="F1881"/>
  <c r="C1887"/>
  <c r="F1893"/>
  <c r="C1899"/>
  <c r="D1905"/>
  <c r="G1911"/>
  <c r="D1917"/>
  <c r="E1923"/>
  <c r="B1929"/>
  <c r="A1929" s="1"/>
  <c r="I1929" s="1"/>
  <c r="D1935"/>
  <c r="H1940"/>
  <c r="C1947"/>
  <c r="E1953"/>
  <c r="B1959"/>
  <c r="A1959" s="1"/>
  <c r="I1959" s="1"/>
  <c r="D1965"/>
  <c r="G1970"/>
  <c r="C1977"/>
  <c r="G1982"/>
  <c r="H1988"/>
  <c r="D1994"/>
  <c r="F1999"/>
  <c r="G2004"/>
  <c r="B2010"/>
  <c r="A2010" s="1"/>
  <c r="I2010" s="1"/>
  <c r="C2015"/>
  <c r="E2020"/>
  <c r="F2025"/>
  <c r="H2030"/>
  <c r="C2036"/>
  <c r="H2040"/>
  <c r="E2045"/>
  <c r="B2050"/>
  <c r="A2050" s="1"/>
  <c r="I2050" s="1"/>
  <c r="F2054"/>
  <c r="C2059"/>
  <c r="G2063"/>
  <c r="D2068"/>
  <c r="H2072"/>
  <c r="E2077"/>
  <c r="B2082"/>
  <c r="A2082" s="1"/>
  <c r="I2082" s="1"/>
  <c r="F2086"/>
  <c r="C2091"/>
  <c r="G2095"/>
  <c r="D2100"/>
  <c r="H2104"/>
  <c r="E2109"/>
  <c r="B2114"/>
  <c r="A2114" s="1"/>
  <c r="I2114" s="1"/>
  <c r="F2118"/>
  <c r="C2123"/>
  <c r="G2127"/>
  <c r="D2132"/>
  <c r="H2136"/>
  <c r="E2141"/>
  <c r="B2146"/>
  <c r="A2146" s="1"/>
  <c r="I2146" s="1"/>
  <c r="F2150"/>
  <c r="C2155"/>
  <c r="G2159"/>
  <c r="D2164"/>
  <c r="H2168"/>
  <c r="E2173"/>
  <c r="B2178"/>
  <c r="A2178" s="1"/>
  <c r="I2178" s="1"/>
  <c r="F2182"/>
  <c r="C2187"/>
  <c r="G2191"/>
  <c r="D2196"/>
  <c r="H2200"/>
  <c r="E2205"/>
  <c r="B2210"/>
  <c r="A2210" s="1"/>
  <c r="I2210" s="1"/>
  <c r="F2214"/>
  <c r="C2219"/>
  <c r="G2223"/>
  <c r="D2228"/>
  <c r="H2232"/>
  <c r="E2237"/>
  <c r="B2242"/>
  <c r="A2242" s="1"/>
  <c r="I2242" s="1"/>
  <c r="F2246"/>
  <c r="C2251"/>
  <c r="G2255"/>
  <c r="D2260"/>
  <c r="H2264"/>
  <c r="E2269"/>
  <c r="B2274"/>
  <c r="A2274" s="1"/>
  <c r="I2274" s="1"/>
  <c r="F2278"/>
  <c r="C2283"/>
  <c r="G2287"/>
  <c r="D2292"/>
  <c r="H2296"/>
  <c r="E2301"/>
  <c r="B2306"/>
  <c r="A2306" s="1"/>
  <c r="I2306" s="1"/>
  <c r="F2310"/>
  <c r="C2315"/>
  <c r="G2319"/>
  <c r="D2324"/>
  <c r="H2328"/>
  <c r="E2333"/>
  <c r="B2338"/>
  <c r="A2338" s="1"/>
  <c r="I2338" s="1"/>
  <c r="F2342"/>
  <c r="C2347"/>
  <c r="G2351"/>
  <c r="D2356"/>
  <c r="H2360"/>
  <c r="E2365"/>
  <c r="B2370"/>
  <c r="F2374"/>
  <c r="C2379"/>
  <c r="G2383"/>
  <c r="D2388"/>
  <c r="H2392"/>
  <c r="E2397"/>
  <c r="B2402"/>
  <c r="A2402" s="1"/>
  <c r="I2402" s="1"/>
  <c r="F2406"/>
  <c r="C2411"/>
  <c r="G2415"/>
  <c r="D2420"/>
  <c r="H2424"/>
  <c r="B2429"/>
  <c r="A2429" s="1"/>
  <c r="I2429" s="1"/>
  <c r="F2431"/>
  <c r="C2434"/>
  <c r="H2436"/>
  <c r="E2439"/>
  <c r="B2442"/>
  <c r="A2442" s="1"/>
  <c r="I2442" s="1"/>
  <c r="G2444"/>
  <c r="D2447"/>
  <c r="H2449"/>
  <c r="E2452"/>
  <c r="C2455"/>
  <c r="G2457"/>
  <c r="D2460"/>
  <c r="B2463"/>
  <c r="A2463" s="1"/>
  <c r="I2463" s="1"/>
  <c r="F2465"/>
  <c r="C2468"/>
  <c r="G2470"/>
  <c r="E2473"/>
  <c r="B2476"/>
  <c r="F2478"/>
  <c r="D2481"/>
  <c r="H2483"/>
  <c r="E2486"/>
  <c r="B2489"/>
  <c r="A2489" s="1"/>
  <c r="I2489" s="1"/>
  <c r="G2491"/>
  <c r="D2494"/>
  <c r="H2496"/>
  <c r="F2499"/>
  <c r="C2502"/>
  <c r="G2504"/>
  <c r="D2507"/>
  <c r="B2510"/>
  <c r="A2510" s="1"/>
  <c r="I2510" s="1"/>
  <c r="F2512"/>
  <c r="C2515"/>
  <c r="H2517"/>
  <c r="E2520"/>
  <c r="B2523"/>
  <c r="A2523" s="1"/>
  <c r="I2523" s="1"/>
  <c r="F2525"/>
  <c r="E256"/>
  <c r="H706"/>
  <c r="B874"/>
  <c r="A874" s="1"/>
  <c r="I874" s="1"/>
  <c r="B1028"/>
  <c r="A1028" s="1"/>
  <c r="I1028" s="1"/>
  <c r="B1143"/>
  <c r="A1143" s="1"/>
  <c r="I1143" s="1"/>
  <c r="F1226"/>
  <c r="C1310"/>
  <c r="G1393"/>
  <c r="E1456"/>
  <c r="D1515"/>
  <c r="D1551"/>
  <c r="F1595"/>
  <c r="B1627"/>
  <c r="A1627" s="1"/>
  <c r="I1627" s="1"/>
  <c r="D1658"/>
  <c r="F1689"/>
  <c r="B1721"/>
  <c r="A1721" s="1"/>
  <c r="I1721" s="1"/>
  <c r="D1752"/>
  <c r="G1783"/>
  <c r="B1815"/>
  <c r="A1815" s="1"/>
  <c r="I1815" s="1"/>
  <c r="D1832"/>
  <c r="E1850"/>
  <c r="F1868"/>
  <c r="B1886"/>
  <c r="A1886" s="1"/>
  <c r="I1886" s="1"/>
  <c r="C1904"/>
  <c r="D1922"/>
  <c r="E1940"/>
  <c r="G1957"/>
  <c r="H1975"/>
  <c r="C1993"/>
  <c r="B2014"/>
  <c r="G2029"/>
  <c r="E2044"/>
  <c r="C2058"/>
  <c r="H2071"/>
  <c r="F2085"/>
  <c r="D2099"/>
  <c r="B2113"/>
  <c r="A2113" s="1"/>
  <c r="I2113" s="1"/>
  <c r="G2126"/>
  <c r="E2140"/>
  <c r="C2154"/>
  <c r="H2167"/>
  <c r="F2181"/>
  <c r="D2195"/>
  <c r="B2209"/>
  <c r="A2209" s="1"/>
  <c r="I2209" s="1"/>
  <c r="G2222"/>
  <c r="E2236"/>
  <c r="C2250"/>
  <c r="E2268"/>
  <c r="C2282"/>
  <c r="H2295"/>
  <c r="F2309"/>
  <c r="D2323"/>
  <c r="B2337"/>
  <c r="A2337" s="1"/>
  <c r="I2337" s="1"/>
  <c r="G2350"/>
  <c r="E2364"/>
  <c r="C2378"/>
  <c r="H2391"/>
  <c r="F2405"/>
  <c r="D2419"/>
  <c r="C2431"/>
  <c r="B2439"/>
  <c r="A2439" s="1"/>
  <c r="I2439" s="1"/>
  <c r="G2446"/>
  <c r="F2454"/>
  <c r="E2462"/>
  <c r="D2470"/>
  <c r="C2478"/>
  <c r="B2486"/>
  <c r="A2486" s="1"/>
  <c r="I2486" s="1"/>
  <c r="H2493"/>
  <c r="F2501"/>
  <c r="E2509"/>
  <c r="D2517"/>
  <c r="C2525"/>
  <c r="G435"/>
  <c r="G638"/>
  <c r="E696"/>
  <c r="D811"/>
  <c r="F863"/>
  <c r="C973"/>
  <c r="C1069"/>
  <c r="G1137"/>
  <c r="C1195"/>
  <c r="B1250"/>
  <c r="A1250" s="1"/>
  <c r="I1250" s="1"/>
  <c r="H1304"/>
  <c r="E1362"/>
  <c r="E1409"/>
  <c r="C1451"/>
  <c r="B1493"/>
  <c r="A1493" s="1"/>
  <c r="I1493" s="1"/>
  <c r="D1524"/>
  <c r="C1548"/>
  <c r="C1560"/>
  <c r="F1582"/>
  <c r="E1603"/>
  <c r="D1624"/>
  <c r="D1645"/>
  <c r="G1655"/>
  <c r="F1676"/>
  <c r="E1697"/>
  <c r="E1718"/>
  <c r="D1739"/>
  <c r="C1760"/>
  <c r="B1781"/>
  <c r="B1802"/>
  <c r="C1819"/>
  <c r="B1831"/>
  <c r="A1831" s="1"/>
  <c r="I1831" s="1"/>
  <c r="G1842"/>
  <c r="G1854"/>
  <c r="D1867"/>
  <c r="B1879"/>
  <c r="A1879" s="1"/>
  <c r="I1879" s="1"/>
  <c r="B1891"/>
  <c r="A1891" s="1"/>
  <c r="I1891" s="1"/>
  <c r="E1896"/>
  <c r="B1909"/>
  <c r="A1909" s="1"/>
  <c r="I1909" s="1"/>
  <c r="H1920"/>
  <c r="E1926"/>
  <c r="D1938"/>
  <c r="H1950"/>
  <c r="F1962"/>
  <c r="C1968"/>
  <c r="C1980"/>
  <c r="H1991"/>
  <c r="D2002"/>
  <c r="G2012"/>
  <c r="C2023"/>
  <c r="F2033"/>
  <c r="G2038"/>
  <c r="H2047"/>
  <c r="B2057"/>
  <c r="C2066"/>
  <c r="D2075"/>
  <c r="E2084"/>
  <c r="F2093"/>
  <c r="G2102"/>
  <c r="H2111"/>
  <c r="B2121"/>
  <c r="F2125"/>
  <c r="G2134"/>
  <c r="H2143"/>
  <c r="B2153"/>
  <c r="A2153" s="1"/>
  <c r="I2153" s="1"/>
  <c r="C2162"/>
  <c r="D2171"/>
  <c r="E2180"/>
  <c r="F2189"/>
  <c r="G2198"/>
  <c r="H2207"/>
  <c r="B2217"/>
  <c r="A2217" s="1"/>
  <c r="I2217" s="1"/>
  <c r="C2226"/>
  <c r="G2230"/>
  <c r="H2239"/>
  <c r="B2249"/>
  <c r="A2249" s="1"/>
  <c r="I2249" s="1"/>
  <c r="C2258"/>
  <c r="D2267"/>
  <c r="H2271"/>
  <c r="B2281"/>
  <c r="A2281" s="1"/>
  <c r="I2281" s="1"/>
  <c r="C2290"/>
  <c r="D2299"/>
  <c r="E2308"/>
  <c r="F2317"/>
  <c r="G2326"/>
  <c r="H2335"/>
  <c r="B2345"/>
  <c r="A2345" s="1"/>
  <c r="I2345" s="1"/>
  <c r="C2354"/>
  <c r="D2363"/>
  <c r="E2372"/>
  <c r="C2386"/>
  <c r="D2395"/>
  <c r="E2404"/>
  <c r="F2413"/>
  <c r="C2418"/>
  <c r="D2427"/>
  <c r="B2433"/>
  <c r="A2433" s="1"/>
  <c r="I2433" s="1"/>
  <c r="D2438"/>
  <c r="F2443"/>
  <c r="G2448"/>
  <c r="B2454"/>
  <c r="A2454" s="1"/>
  <c r="I2454" s="1"/>
  <c r="C2459"/>
  <c r="E2464"/>
  <c r="F2469"/>
  <c r="H2474"/>
  <c r="C2480"/>
  <c r="G2482"/>
  <c r="F2490"/>
  <c r="G2495"/>
  <c r="E2498"/>
  <c r="F2503"/>
  <c r="H2508"/>
  <c r="E2511"/>
  <c r="G2516"/>
  <c r="D2519"/>
  <c r="E2524"/>
  <c r="F280"/>
  <c r="E479"/>
  <c r="B591"/>
  <c r="A591" s="1"/>
  <c r="I591" s="1"/>
  <c r="F650"/>
  <c r="C712"/>
  <c r="F769"/>
  <c r="H821"/>
  <c r="D879"/>
  <c r="F936"/>
  <c r="D982"/>
  <c r="F1032"/>
  <c r="H1082"/>
  <c r="H1116"/>
  <c r="F1145"/>
  <c r="D1174"/>
  <c r="E1200"/>
  <c r="C1229"/>
  <c r="H1257"/>
  <c r="B1284"/>
  <c r="A1284" s="1"/>
  <c r="I1284" s="1"/>
  <c r="G1312"/>
  <c r="E1341"/>
  <c r="F1367"/>
  <c r="H1393"/>
  <c r="G1414"/>
  <c r="G1435"/>
  <c r="F1456"/>
  <c r="E1477"/>
  <c r="E1498"/>
  <c r="F1515"/>
  <c r="E1527"/>
  <c r="F1539"/>
  <c r="E1551"/>
  <c r="D1563"/>
  <c r="H1574"/>
  <c r="D1585"/>
  <c r="G1595"/>
  <c r="C1606"/>
  <c r="G1616"/>
  <c r="C1627"/>
  <c r="F1637"/>
  <c r="B1648"/>
  <c r="E1658"/>
  <c r="H1668"/>
  <c r="D1679"/>
  <c r="H1689"/>
  <c r="D1700"/>
  <c r="G1710"/>
  <c r="C1721"/>
  <c r="F1731"/>
  <c r="B1742"/>
  <c r="A1742" s="1"/>
  <c r="I1742" s="1"/>
  <c r="E1752"/>
  <c r="B1763"/>
  <c r="A1763" s="1"/>
  <c r="I1763" s="1"/>
  <c r="E1773"/>
  <c r="H1783"/>
  <c r="D1794"/>
  <c r="G1804"/>
  <c r="C1815"/>
  <c r="G1820"/>
  <c r="B1827"/>
  <c r="A1827" s="1"/>
  <c r="I1827" s="1"/>
  <c r="D1833"/>
  <c r="H1838"/>
  <c r="B1845"/>
  <c r="A1845" s="1"/>
  <c r="I1845" s="1"/>
  <c r="F1850"/>
  <c r="B1857"/>
  <c r="A1857" s="1"/>
  <c r="I1857" s="1"/>
  <c r="F1862"/>
  <c r="G1868"/>
  <c r="C1875"/>
  <c r="G1880"/>
  <c r="H1886"/>
  <c r="E1892"/>
  <c r="G1898"/>
  <c r="D1904"/>
  <c r="F1910"/>
  <c r="H1916"/>
  <c r="E1922"/>
  <c r="G1928"/>
  <c r="C1934"/>
  <c r="F1940"/>
  <c r="C1946"/>
  <c r="D1952"/>
  <c r="G1958"/>
  <c r="D1964"/>
  <c r="E1970"/>
  <c r="B1976"/>
  <c r="A1976" s="1"/>
  <c r="I1976" s="1"/>
  <c r="E1982"/>
  <c r="H1987"/>
  <c r="B1994"/>
  <c r="A1994" s="1"/>
  <c r="I1994" s="1"/>
  <c r="C1999"/>
  <c r="E2004"/>
  <c r="F2009"/>
  <c r="H2014"/>
  <c r="C2020"/>
  <c r="D2025"/>
  <c r="F2030"/>
  <c r="G2035"/>
  <c r="F2040"/>
  <c r="C2045"/>
  <c r="G2049"/>
  <c r="D2054"/>
  <c r="H2058"/>
  <c r="E2063"/>
  <c r="B2068"/>
  <c r="A2068" s="1"/>
  <c r="I2068" s="1"/>
  <c r="F2072"/>
  <c r="C2077"/>
  <c r="G2081"/>
  <c r="D2086"/>
  <c r="H2090"/>
  <c r="E2095"/>
  <c r="B2100"/>
  <c r="A2100" s="1"/>
  <c r="I2100" s="1"/>
  <c r="F2104"/>
  <c r="C2109"/>
  <c r="G2113"/>
  <c r="D2118"/>
  <c r="H2122"/>
  <c r="E2127"/>
  <c r="B2132"/>
  <c r="A2132" s="1"/>
  <c r="I2132" s="1"/>
  <c r="F2136"/>
  <c r="C2141"/>
  <c r="G2145"/>
  <c r="D2150"/>
  <c r="H2154"/>
  <c r="E2159"/>
  <c r="B2164"/>
  <c r="A2164" s="1"/>
  <c r="I2164" s="1"/>
  <c r="F2168"/>
  <c r="C2173"/>
  <c r="G2177"/>
  <c r="D2182"/>
  <c r="H2186"/>
  <c r="E2191"/>
  <c r="B2196"/>
  <c r="F2200"/>
  <c r="C2205"/>
  <c r="G2209"/>
  <c r="D2214"/>
  <c r="H2218"/>
  <c r="E2223"/>
  <c r="B2228"/>
  <c r="F2232"/>
  <c r="C2237"/>
  <c r="G2241"/>
  <c r="D2246"/>
  <c r="H2250"/>
  <c r="E2255"/>
  <c r="B2260"/>
  <c r="A2260" s="1"/>
  <c r="I2260" s="1"/>
  <c r="F2264"/>
  <c r="C2269"/>
  <c r="G2273"/>
  <c r="D2278"/>
  <c r="H2282"/>
  <c r="E2287"/>
  <c r="B2292"/>
  <c r="A2292" s="1"/>
  <c r="I2292" s="1"/>
  <c r="F2296"/>
  <c r="C2301"/>
  <c r="G2305"/>
  <c r="D2310"/>
  <c r="H2314"/>
  <c r="E2319"/>
  <c r="B2324"/>
  <c r="A2324" s="1"/>
  <c r="I2324" s="1"/>
  <c r="F2328"/>
  <c r="C2333"/>
  <c r="G2337"/>
  <c r="D2342"/>
  <c r="H2346"/>
  <c r="E2351"/>
  <c r="B2356"/>
  <c r="A2356" s="1"/>
  <c r="I2356" s="1"/>
  <c r="F2360"/>
  <c r="C2365"/>
  <c r="G2369"/>
  <c r="D2374"/>
  <c r="H2378"/>
  <c r="E2383"/>
  <c r="B2388"/>
  <c r="A2388" s="1"/>
  <c r="I2388" s="1"/>
  <c r="F2392"/>
  <c r="C2397"/>
  <c r="G2401"/>
  <c r="D2406"/>
  <c r="H2410"/>
  <c r="E2415"/>
  <c r="B2420"/>
  <c r="A2420" s="1"/>
  <c r="I2420" s="1"/>
  <c r="F2424"/>
  <c r="G2428"/>
  <c r="D2431"/>
  <c r="H2433"/>
  <c r="E2436"/>
  <c r="C2439"/>
  <c r="G2441"/>
  <c r="D2444"/>
  <c r="B2447"/>
  <c r="A2447" s="1"/>
  <c r="I2447" s="1"/>
  <c r="F2449"/>
  <c r="C2452"/>
  <c r="G2454"/>
  <c r="E2457"/>
  <c r="B2460"/>
  <c r="F2462"/>
  <c r="D2465"/>
  <c r="H2467"/>
  <c r="E2470"/>
  <c r="B2473"/>
  <c r="A2473" s="1"/>
  <c r="I2473" s="1"/>
  <c r="G2475"/>
  <c r="D2478"/>
  <c r="H2480"/>
  <c r="F2483"/>
  <c r="C2486"/>
  <c r="G2488"/>
  <c r="D2491"/>
  <c r="B2494"/>
  <c r="A2494" s="1"/>
  <c r="I2494" s="1"/>
  <c r="F2496"/>
  <c r="C2499"/>
  <c r="H2501"/>
  <c r="E2504"/>
  <c r="B2507"/>
  <c r="A2507" s="1"/>
  <c r="I2507" s="1"/>
  <c r="F2509"/>
  <c r="D2512"/>
  <c r="H2514"/>
  <c r="E2517"/>
  <c r="C2520"/>
  <c r="G2522"/>
  <c r="D2525"/>
  <c r="F574"/>
  <c r="C759"/>
  <c r="D926"/>
  <c r="G1073"/>
  <c r="B1169"/>
  <c r="A1169" s="1"/>
  <c r="I1169" s="1"/>
  <c r="G1252"/>
  <c r="D1336"/>
  <c r="F1414"/>
  <c r="D1477"/>
  <c r="D1527"/>
  <c r="C1563"/>
  <c r="C1585"/>
  <c r="E1616"/>
  <c r="H1647"/>
  <c r="C1679"/>
  <c r="F1710"/>
  <c r="H1741"/>
  <c r="D1773"/>
  <c r="F1804"/>
  <c r="G1826"/>
  <c r="D1844"/>
  <c r="E1862"/>
  <c r="E1880"/>
  <c r="F1898"/>
  <c r="H1915"/>
  <c r="B1934"/>
  <c r="A1934" s="1"/>
  <c r="I1934" s="1"/>
  <c r="C1952"/>
  <c r="C1982"/>
  <c r="F2003"/>
  <c r="E2024"/>
  <c r="H2039"/>
  <c r="F2053"/>
  <c r="D2067"/>
  <c r="B2081"/>
  <c r="A2081" s="1"/>
  <c r="I2081" s="1"/>
  <c r="G2094"/>
  <c r="E2108"/>
  <c r="C2122"/>
  <c r="H2135"/>
  <c r="F2149"/>
  <c r="D2163"/>
  <c r="B2177"/>
  <c r="A2177" s="1"/>
  <c r="I2177" s="1"/>
  <c r="G2190"/>
  <c r="E2204"/>
  <c r="C2218"/>
  <c r="H2231"/>
  <c r="F2245"/>
  <c r="D2259"/>
  <c r="B2273"/>
  <c r="G2286"/>
  <c r="E2300"/>
  <c r="C2314"/>
  <c r="H2327"/>
  <c r="F2341"/>
  <c r="D2355"/>
  <c r="B2369"/>
  <c r="A2369" s="1"/>
  <c r="I2369" s="1"/>
  <c r="G2382"/>
  <c r="E2396"/>
  <c r="C2410"/>
  <c r="H2423"/>
  <c r="G2433"/>
  <c r="F2441"/>
  <c r="E2449"/>
  <c r="D2457"/>
  <c r="B2465"/>
  <c r="A2465" s="1"/>
  <c r="I2465" s="1"/>
  <c r="H2472"/>
  <c r="G2480"/>
  <c r="F2488"/>
  <c r="E2496"/>
  <c r="D2504"/>
  <c r="C2512"/>
  <c r="H2519"/>
  <c r="H1872"/>
  <c r="C2098"/>
  <c r="F2253"/>
  <c r="F2381"/>
  <c r="D2472"/>
  <c r="D120"/>
  <c r="B421"/>
  <c r="A421" s="1"/>
  <c r="I421" s="1"/>
  <c r="F553"/>
  <c r="G626"/>
  <c r="C691"/>
  <c r="G748"/>
  <c r="H800"/>
  <c r="E858"/>
  <c r="H915"/>
  <c r="B964"/>
  <c r="A964" s="1"/>
  <c r="I964" s="1"/>
  <c r="D1014"/>
  <c r="F1064"/>
  <c r="E1106"/>
  <c r="C1135"/>
  <c r="H1163"/>
  <c r="B1190"/>
  <c r="A1190" s="1"/>
  <c r="I1190" s="1"/>
  <c r="G1218"/>
  <c r="E1247"/>
  <c r="F1273"/>
  <c r="D1302"/>
  <c r="B1331"/>
  <c r="A1331" s="1"/>
  <c r="I1331" s="1"/>
  <c r="C1357"/>
  <c r="H1385"/>
  <c r="G1406"/>
  <c r="G1427"/>
  <c r="F1448"/>
  <c r="E1469"/>
  <c r="E1490"/>
  <c r="G1510"/>
  <c r="H1522"/>
  <c r="G1534"/>
  <c r="G1546"/>
  <c r="F1558"/>
  <c r="F1570"/>
  <c r="D1581"/>
  <c r="G1591"/>
  <c r="C1602"/>
  <c r="F1612"/>
  <c r="B1623"/>
  <c r="A1623" s="1"/>
  <c r="I1623" s="1"/>
  <c r="E1633"/>
  <c r="H1643"/>
  <c r="E1654"/>
  <c r="H1664"/>
  <c r="D1675"/>
  <c r="G1685"/>
  <c r="C1696"/>
  <c r="F1706"/>
  <c r="B1717"/>
  <c r="A1717" s="1"/>
  <c r="I1717" s="1"/>
  <c r="F1727"/>
  <c r="B1738"/>
  <c r="A1738" s="1"/>
  <c r="I1738" s="1"/>
  <c r="E1748"/>
  <c r="H1758"/>
  <c r="D1769"/>
  <c r="G1779"/>
  <c r="C1790"/>
  <c r="G1800"/>
  <c r="C1811"/>
  <c r="B1819"/>
  <c r="A1819" s="1"/>
  <c r="I1819" s="1"/>
  <c r="E1824"/>
  <c r="H1830"/>
  <c r="E1836"/>
  <c r="F1842"/>
  <c r="B1849"/>
  <c r="A1849" s="1"/>
  <c r="I1849" s="1"/>
  <c r="F1854"/>
  <c r="G1860"/>
  <c r="D1866"/>
  <c r="G1872"/>
  <c r="C1878"/>
  <c r="E1884"/>
  <c r="G1890"/>
  <c r="D1896"/>
  <c r="F1902"/>
  <c r="C1908"/>
  <c r="E1914"/>
  <c r="B1920"/>
  <c r="C1926"/>
  <c r="F1932"/>
  <c r="C1938"/>
  <c r="D1944"/>
  <c r="H1949"/>
  <c r="D1956"/>
  <c r="H1961"/>
  <c r="B1968"/>
  <c r="E1974"/>
  <c r="H1979"/>
  <c r="C1986"/>
  <c r="G1991"/>
  <c r="H1996"/>
  <c r="C2002"/>
  <c r="D2007"/>
  <c r="F2012"/>
  <c r="H2017"/>
  <c r="B2023"/>
  <c r="A2023" s="1"/>
  <c r="I2023" s="1"/>
  <c r="D2028"/>
  <c r="E2033"/>
  <c r="F2038"/>
  <c r="C2043"/>
  <c r="G2047"/>
  <c r="D2052"/>
  <c r="H2056"/>
  <c r="E2061"/>
  <c r="B2066"/>
  <c r="A2066" s="1"/>
  <c r="I2066" s="1"/>
  <c r="F2070"/>
  <c r="C2075"/>
  <c r="G2079"/>
  <c r="D2084"/>
  <c r="H2088"/>
  <c r="E2093"/>
  <c r="B2098"/>
  <c r="A2098" s="1"/>
  <c r="I2098" s="1"/>
  <c r="F2102"/>
  <c r="C2107"/>
  <c r="G2111"/>
  <c r="D2116"/>
  <c r="H2120"/>
  <c r="E2125"/>
  <c r="B2130"/>
  <c r="F2134"/>
  <c r="C2139"/>
  <c r="G2143"/>
  <c r="D2148"/>
  <c r="H2152"/>
  <c r="E2157"/>
  <c r="B2162"/>
  <c r="A2162" s="1"/>
  <c r="I2162" s="1"/>
  <c r="F2166"/>
  <c r="C2171"/>
  <c r="G2175"/>
  <c r="D2180"/>
  <c r="H2184"/>
  <c r="E2189"/>
  <c r="B2194"/>
  <c r="A2194" s="1"/>
  <c r="I2194" s="1"/>
  <c r="F2198"/>
  <c r="C2203"/>
  <c r="G2207"/>
  <c r="D2212"/>
  <c r="H2216"/>
  <c r="E2221"/>
  <c r="B2226"/>
  <c r="A2226" s="1"/>
  <c r="I2226" s="1"/>
  <c r="F2230"/>
  <c r="C2235"/>
  <c r="G2239"/>
  <c r="D2244"/>
  <c r="H2248"/>
  <c r="E2253"/>
  <c r="B2258"/>
  <c r="A2258" s="1"/>
  <c r="I2258" s="1"/>
  <c r="F2262"/>
  <c r="C2267"/>
  <c r="G2271"/>
  <c r="D2276"/>
  <c r="H2280"/>
  <c r="E2285"/>
  <c r="B2290"/>
  <c r="A2290" s="1"/>
  <c r="I2290" s="1"/>
  <c r="F2294"/>
  <c r="C2299"/>
  <c r="G2303"/>
  <c r="D2308"/>
  <c r="H2312"/>
  <c r="E2317"/>
  <c r="B2322"/>
  <c r="A2322" s="1"/>
  <c r="I2322" s="1"/>
  <c r="F2326"/>
  <c r="C2331"/>
  <c r="G2335"/>
  <c r="D2340"/>
  <c r="H2344"/>
  <c r="E2349"/>
  <c r="B2354"/>
  <c r="A2354" s="1"/>
  <c r="I2354" s="1"/>
  <c r="F2358"/>
  <c r="C2363"/>
  <c r="G2367"/>
  <c r="D2372"/>
  <c r="H2376"/>
  <c r="E2381"/>
  <c r="B2386"/>
  <c r="A2386" s="1"/>
  <c r="I2386" s="1"/>
  <c r="F2390"/>
  <c r="C2395"/>
  <c r="G2399"/>
  <c r="D2404"/>
  <c r="H2408"/>
  <c r="E2413"/>
  <c r="B2418"/>
  <c r="A2418" s="1"/>
  <c r="I2418" s="1"/>
  <c r="F2422"/>
  <c r="C2427"/>
  <c r="D2430"/>
  <c r="H2432"/>
  <c r="F2435"/>
  <c r="C2438"/>
  <c r="G2440"/>
  <c r="D2443"/>
  <c r="B2446"/>
  <c r="F2448"/>
  <c r="C2451"/>
  <c r="H2453"/>
  <c r="E2456"/>
  <c r="B2459"/>
  <c r="A2459" s="1"/>
  <c r="I2459" s="1"/>
  <c r="F2461"/>
  <c r="D2464"/>
  <c r="H2466"/>
  <c r="E2469"/>
  <c r="C2472"/>
  <c r="G2474"/>
  <c r="D2477"/>
  <c r="H2479"/>
  <c r="F2482"/>
  <c r="C2485"/>
  <c r="G2487"/>
  <c r="E2490"/>
  <c r="B2493"/>
  <c r="A2493" s="1"/>
  <c r="I2493" s="1"/>
  <c r="F2495"/>
  <c r="C2498"/>
  <c r="H2500"/>
  <c r="E2503"/>
  <c r="B2506"/>
  <c r="G2508"/>
  <c r="D2511"/>
  <c r="H2513"/>
  <c r="E2516"/>
  <c r="C2519"/>
  <c r="G2521"/>
  <c r="D2524"/>
  <c r="C61"/>
  <c r="F404"/>
  <c r="G532"/>
  <c r="G620"/>
  <c r="B686"/>
  <c r="A686" s="1"/>
  <c r="I686" s="1"/>
  <c r="C738"/>
  <c r="G795"/>
  <c r="C853"/>
  <c r="E905"/>
  <c r="E959"/>
  <c r="G1009"/>
  <c r="E1055"/>
  <c r="G1103"/>
  <c r="E1132"/>
  <c r="F1158"/>
  <c r="D1187"/>
  <c r="C1216"/>
  <c r="C1242"/>
  <c r="B1271"/>
  <c r="A1271" s="1"/>
  <c r="I1271" s="1"/>
  <c r="G1299"/>
  <c r="H1325"/>
  <c r="F1354"/>
  <c r="D1383"/>
  <c r="D1404"/>
  <c r="D1425"/>
  <c r="C1446"/>
  <c r="B1467"/>
  <c r="A1467" s="1"/>
  <c r="I1467" s="1"/>
  <c r="H1487"/>
  <c r="H1508"/>
  <c r="F1521"/>
  <c r="E1533"/>
  <c r="E1545"/>
  <c r="D1557"/>
  <c r="D1569"/>
  <c r="C1580"/>
  <c r="F1590"/>
  <c r="B1601"/>
  <c r="A1601" s="1"/>
  <c r="I1601" s="1"/>
  <c r="E1611"/>
  <c r="H1621"/>
  <c r="D1632"/>
  <c r="G1642"/>
  <c r="D1653"/>
  <c r="G1663"/>
  <c r="C1674"/>
  <c r="F1684"/>
  <c r="B1695"/>
  <c r="A1695" s="1"/>
  <c r="I1695" s="1"/>
  <c r="E1705"/>
  <c r="H1715"/>
  <c r="E1726"/>
  <c r="H1736"/>
  <c r="D1747"/>
  <c r="G1757"/>
  <c r="C1768"/>
  <c r="F1778"/>
  <c r="B1789"/>
  <c r="A1789" s="1"/>
  <c r="I1789" s="1"/>
  <c r="F1799"/>
  <c r="B1810"/>
  <c r="A1810" s="1"/>
  <c r="I1810" s="1"/>
  <c r="B1818"/>
  <c r="C1824"/>
  <c r="G1829"/>
  <c r="C1836"/>
  <c r="F1841"/>
  <c r="H1847"/>
  <c r="C1854"/>
  <c r="G1859"/>
  <c r="B1866"/>
  <c r="F1871"/>
  <c r="H1877"/>
  <c r="E1883"/>
  <c r="F1889"/>
  <c r="B1896"/>
  <c r="A1896" s="1"/>
  <c r="I1896" s="1"/>
  <c r="F1901"/>
  <c r="G1907"/>
  <c r="D1913"/>
  <c r="G1919"/>
  <c r="D1925"/>
  <c r="E1931"/>
  <c r="H1937"/>
  <c r="D1943"/>
  <c r="F1949"/>
  <c r="C1955"/>
  <c r="E1961"/>
  <c r="B1967"/>
  <c r="A1967" s="1"/>
  <c r="I1967" s="1"/>
  <c r="D1973"/>
  <c r="F1979"/>
  <c r="C1985"/>
  <c r="D1991"/>
  <c r="F1996"/>
  <c r="H2001"/>
  <c r="B2007"/>
  <c r="A2007" s="1"/>
  <c r="I2007" s="1"/>
  <c r="D2012"/>
  <c r="E2017"/>
  <c r="G2022"/>
  <c r="H2027"/>
  <c r="C2033"/>
  <c r="D2038"/>
  <c r="H2042"/>
  <c r="E2047"/>
  <c r="B2052"/>
  <c r="A2052" s="1"/>
  <c r="I2052" s="1"/>
  <c r="F2056"/>
  <c r="C2061"/>
  <c r="G2065"/>
  <c r="D2070"/>
  <c r="H2074"/>
  <c r="E2079"/>
  <c r="B2084"/>
  <c r="F2088"/>
  <c r="C2093"/>
  <c r="G2097"/>
  <c r="D2102"/>
  <c r="H2106"/>
  <c r="E2111"/>
  <c r="B2116"/>
  <c r="A2116" s="1"/>
  <c r="I2116" s="1"/>
  <c r="F2120"/>
  <c r="C2125"/>
  <c r="G2129"/>
  <c r="D2134"/>
  <c r="H2138"/>
  <c r="E2143"/>
  <c r="B2148"/>
  <c r="A2148" s="1"/>
  <c r="I2148" s="1"/>
  <c r="F2152"/>
  <c r="C2157"/>
  <c r="G2161"/>
  <c r="D2166"/>
  <c r="H2170"/>
  <c r="E2175"/>
  <c r="B2180"/>
  <c r="A2180" s="1"/>
  <c r="I2180" s="1"/>
  <c r="F2184"/>
  <c r="C2189"/>
  <c r="G2193"/>
  <c r="D2198"/>
  <c r="H2202"/>
  <c r="E2207"/>
  <c r="B2212"/>
  <c r="A2212" s="1"/>
  <c r="I2212" s="1"/>
  <c r="F2216"/>
  <c r="C2221"/>
  <c r="G2225"/>
  <c r="D2230"/>
  <c r="H2234"/>
  <c r="E2239"/>
  <c r="B2244"/>
  <c r="A2244" s="1"/>
  <c r="I2244" s="1"/>
  <c r="F2248"/>
  <c r="C2253"/>
  <c r="G2257"/>
  <c r="D2262"/>
  <c r="H2266"/>
  <c r="E2271"/>
  <c r="B2276"/>
  <c r="A2276" s="1"/>
  <c r="I2276" s="1"/>
  <c r="F2280"/>
  <c r="C2285"/>
  <c r="G2289"/>
  <c r="D2294"/>
  <c r="H2298"/>
  <c r="E2303"/>
  <c r="B2308"/>
  <c r="A2308" s="1"/>
  <c r="I2308" s="1"/>
  <c r="F2312"/>
  <c r="C2317"/>
  <c r="G2321"/>
  <c r="D2326"/>
  <c r="H2330"/>
  <c r="E2335"/>
  <c r="B2340"/>
  <c r="A2340" s="1"/>
  <c r="I2340" s="1"/>
  <c r="F2344"/>
  <c r="C2349"/>
  <c r="G2353"/>
  <c r="D2358"/>
  <c r="H2362"/>
  <c r="E2367"/>
  <c r="B2372"/>
  <c r="F2376"/>
  <c r="C2381"/>
  <c r="G2385"/>
  <c r="D2390"/>
  <c r="H2394"/>
  <c r="E2399"/>
  <c r="B2404"/>
  <c r="A2404" s="1"/>
  <c r="I2404" s="1"/>
  <c r="F2408"/>
  <c r="C2413"/>
  <c r="G2417"/>
  <c r="D2422"/>
  <c r="H2426"/>
  <c r="B2430"/>
  <c r="A2430" s="1"/>
  <c r="I2430" s="1"/>
  <c r="F2432"/>
  <c r="C2435"/>
  <c r="H2437"/>
  <c r="E2440"/>
  <c r="B2443"/>
  <c r="A2443" s="1"/>
  <c r="I2443" s="1"/>
  <c r="F2445"/>
  <c r="D2448"/>
  <c r="H2450"/>
  <c r="E2453"/>
  <c r="C2456"/>
  <c r="G2458"/>
  <c r="D2461"/>
  <c r="H2463"/>
  <c r="F2466"/>
  <c r="C2469"/>
  <c r="G2471"/>
  <c r="E2474"/>
  <c r="B2477"/>
  <c r="A2477" s="1"/>
  <c r="I2477" s="1"/>
  <c r="F2479"/>
  <c r="C2482"/>
  <c r="H2484"/>
  <c r="E2487"/>
  <c r="B2490"/>
  <c r="A2490" s="1"/>
  <c r="I2490" s="1"/>
  <c r="G2492"/>
  <c r="D2495"/>
  <c r="H2497"/>
  <c r="E2500"/>
  <c r="C2503"/>
  <c r="G2505"/>
  <c r="D2508"/>
  <c r="B2511"/>
  <c r="A2511" s="1"/>
  <c r="I2511" s="1"/>
  <c r="F2513"/>
  <c r="C2516"/>
  <c r="G2518"/>
  <c r="E2521"/>
  <c r="B2524"/>
  <c r="A2524" s="1"/>
  <c r="I2524" s="1"/>
  <c r="F2526"/>
  <c r="C366"/>
  <c r="D522"/>
  <c r="H614"/>
  <c r="F674"/>
  <c r="B733"/>
  <c r="A733" s="1"/>
  <c r="I733" s="1"/>
  <c r="E790"/>
  <c r="G842"/>
  <c r="C900"/>
  <c r="H954"/>
  <c r="F1000"/>
  <c r="H1050"/>
  <c r="C1101"/>
  <c r="D1127"/>
  <c r="B1156"/>
  <c r="G1184"/>
  <c r="H1210"/>
  <c r="F1239"/>
  <c r="D1268"/>
  <c r="E1294"/>
  <c r="C1323"/>
  <c r="H1351"/>
  <c r="B1378"/>
  <c r="A1378" s="1"/>
  <c r="I1378" s="1"/>
  <c r="C1404"/>
  <c r="B1425"/>
  <c r="A1425" s="1"/>
  <c r="I1425" s="1"/>
  <c r="B1446"/>
  <c r="A1446" s="1"/>
  <c r="I1446" s="1"/>
  <c r="H1466"/>
  <c r="G1487"/>
  <c r="G1508"/>
  <c r="E1521"/>
  <c r="D1533"/>
  <c r="D1545"/>
  <c r="C1557"/>
  <c r="B1569"/>
  <c r="A1569" s="1"/>
  <c r="I1569" s="1"/>
  <c r="H1579"/>
  <c r="E1590"/>
  <c r="H1600"/>
  <c r="D1611"/>
  <c r="G1621"/>
  <c r="C1632"/>
  <c r="F1642"/>
  <c r="B1653"/>
  <c r="A1653" s="1"/>
  <c r="I1653" s="1"/>
  <c r="F1663"/>
  <c r="B1674"/>
  <c r="A1674" s="1"/>
  <c r="I1674" s="1"/>
  <c r="E1684"/>
  <c r="H1694"/>
  <c r="D1705"/>
  <c r="G1715"/>
  <c r="C1726"/>
  <c r="G1736"/>
  <c r="C1747"/>
  <c r="F1757"/>
  <c r="B1768"/>
  <c r="A1768" s="1"/>
  <c r="I1768" s="1"/>
  <c r="E1778"/>
  <c r="H1788"/>
  <c r="D1799"/>
  <c r="H1809"/>
  <c r="H1817"/>
  <c r="D1823"/>
  <c r="F1829"/>
  <c r="H1835"/>
  <c r="E1841"/>
  <c r="G1847"/>
  <c r="D1853"/>
  <c r="F1859"/>
  <c r="C1865"/>
  <c r="D1871"/>
  <c r="G1877"/>
  <c r="D1883"/>
  <c r="E1889"/>
  <c r="B1895"/>
  <c r="A1895" s="1"/>
  <c r="I1895" s="1"/>
  <c r="E1901"/>
  <c r="B1907"/>
  <c r="A1907" s="1"/>
  <c r="I1907" s="1"/>
  <c r="C1913"/>
  <c r="F1919"/>
  <c r="B1925"/>
  <c r="A1925" s="1"/>
  <c r="I1925" s="1"/>
  <c r="D1931"/>
  <c r="H1936"/>
  <c r="C1943"/>
  <c r="G1948"/>
  <c r="B1955"/>
  <c r="A1955" s="1"/>
  <c r="I1955" s="1"/>
  <c r="D1961"/>
  <c r="H1966"/>
  <c r="B1973"/>
  <c r="A1973" s="1"/>
  <c r="I1973" s="1"/>
  <c r="F1978"/>
  <c r="B1985"/>
  <c r="A1985" s="1"/>
  <c r="I1985" s="1"/>
  <c r="F1990"/>
  <c r="G1995"/>
  <c r="B2001"/>
  <c r="A2001" s="1"/>
  <c r="I2001" s="1"/>
  <c r="C2006"/>
  <c r="E2011"/>
  <c r="G2016"/>
  <c r="H2021"/>
  <c r="C2027"/>
  <c r="D2032"/>
  <c r="F2037"/>
  <c r="C2042"/>
  <c r="G2046"/>
  <c r="D2051"/>
  <c r="H2055"/>
  <c r="E2060"/>
  <c r="B2065"/>
  <c r="A2065" s="1"/>
  <c r="I2065" s="1"/>
  <c r="F2069"/>
  <c r="C2074"/>
  <c r="G2078"/>
  <c r="D2083"/>
  <c r="H2087"/>
  <c r="E2092"/>
  <c r="B2097"/>
  <c r="A2097" s="1"/>
  <c r="I2097" s="1"/>
  <c r="F2101"/>
  <c r="C2106"/>
  <c r="G2110"/>
  <c r="D2115"/>
  <c r="H2119"/>
  <c r="E2124"/>
  <c r="B2129"/>
  <c r="A2129" s="1"/>
  <c r="I2129" s="1"/>
  <c r="F2133"/>
  <c r="C2138"/>
  <c r="G2142"/>
  <c r="D2147"/>
  <c r="H2151"/>
  <c r="E2156"/>
  <c r="B2161"/>
  <c r="A2161" s="1"/>
  <c r="I2161" s="1"/>
  <c r="F2165"/>
  <c r="C2170"/>
  <c r="G2174"/>
  <c r="D2179"/>
  <c r="H2183"/>
  <c r="E2188"/>
  <c r="B2193"/>
  <c r="A2193" s="1"/>
  <c r="I2193" s="1"/>
  <c r="F2197"/>
  <c r="C2202"/>
  <c r="G2206"/>
  <c r="D2211"/>
  <c r="H2215"/>
  <c r="E2220"/>
  <c r="B2225"/>
  <c r="A2225" s="1"/>
  <c r="I2225" s="1"/>
  <c r="F2229"/>
  <c r="C2234"/>
  <c r="G2238"/>
  <c r="D2243"/>
  <c r="H2247"/>
  <c r="E2252"/>
  <c r="B2257"/>
  <c r="F2261"/>
  <c r="C2266"/>
  <c r="G2270"/>
  <c r="D2275"/>
  <c r="H2279"/>
  <c r="E2284"/>
  <c r="B2289"/>
  <c r="A2289" s="1"/>
  <c r="I2289" s="1"/>
  <c r="F2293"/>
  <c r="C2298"/>
  <c r="G2302"/>
  <c r="D2307"/>
  <c r="H2311"/>
  <c r="E2316"/>
  <c r="B2321"/>
  <c r="A2321" s="1"/>
  <c r="I2321" s="1"/>
  <c r="F2325"/>
  <c r="C2330"/>
  <c r="G2334"/>
  <c r="D2339"/>
  <c r="H2343"/>
  <c r="E2348"/>
  <c r="B2353"/>
  <c r="A2353" s="1"/>
  <c r="I2353" s="1"/>
  <c r="F2357"/>
  <c r="C2362"/>
  <c r="G2366"/>
  <c r="D2371"/>
  <c r="H2375"/>
  <c r="E2380"/>
  <c r="B2385"/>
  <c r="A2385" s="1"/>
  <c r="I2385" s="1"/>
  <c r="F2389"/>
  <c r="C2394"/>
  <c r="G2398"/>
  <c r="D2403"/>
  <c r="H2407"/>
  <c r="E2412"/>
  <c r="B2417"/>
  <c r="A2417" s="1"/>
  <c r="I2417" s="1"/>
  <c r="F2421"/>
  <c r="C2426"/>
  <c r="H2429"/>
  <c r="E2432"/>
  <c r="B2435"/>
  <c r="A2435" s="1"/>
  <c r="I2435" s="1"/>
  <c r="F2437"/>
  <c r="D2440"/>
  <c r="H2442"/>
  <c r="E2445"/>
  <c r="C2448"/>
  <c r="G2450"/>
  <c r="D2453"/>
  <c r="H2455"/>
  <c r="F2458"/>
  <c r="C2461"/>
  <c r="G2463"/>
  <c r="E2466"/>
  <c r="B2469"/>
  <c r="A2469" s="1"/>
  <c r="I2469" s="1"/>
  <c r="F2471"/>
  <c r="C2474"/>
  <c r="H2476"/>
  <c r="E2479"/>
  <c r="B2482"/>
  <c r="A2482" s="1"/>
  <c r="I2482" s="1"/>
  <c r="G2484"/>
  <c r="D2487"/>
  <c r="H2489"/>
  <c r="E2492"/>
  <c r="C2495"/>
  <c r="G2497"/>
  <c r="D2500"/>
  <c r="B2503"/>
  <c r="A2503" s="1"/>
  <c r="I2503" s="1"/>
  <c r="F2505"/>
  <c r="C2508"/>
  <c r="G2510"/>
  <c r="E2513"/>
  <c r="B2516"/>
  <c r="A2516" s="1"/>
  <c r="I2516" s="1"/>
  <c r="F2518"/>
  <c r="D2521"/>
  <c r="H2523"/>
  <c r="E2526"/>
  <c r="B564"/>
  <c r="A564" s="1"/>
  <c r="I564" s="1"/>
  <c r="B2185"/>
  <c r="A2185" s="1"/>
  <c r="I2185" s="1"/>
  <c r="H2487"/>
  <c r="A33"/>
  <c r="I33" s="1"/>
  <c r="A97"/>
  <c r="I97" s="1"/>
  <c r="A161"/>
  <c r="I161" s="1"/>
  <c r="A225"/>
  <c r="I225" s="1"/>
  <c r="A18"/>
  <c r="I18" s="1"/>
  <c r="A26"/>
  <c r="I26" s="1"/>
  <c r="A82"/>
  <c r="I82" s="1"/>
  <c r="A90"/>
  <c r="I90" s="1"/>
  <c r="A146"/>
  <c r="I146" s="1"/>
  <c r="A154"/>
  <c r="I154" s="1"/>
  <c r="A202"/>
  <c r="I202" s="1"/>
  <c r="A226"/>
  <c r="I226" s="1"/>
  <c r="A290"/>
  <c r="I290" s="1"/>
  <c r="A28"/>
  <c r="I28" s="1"/>
  <c r="A36"/>
  <c r="I36" s="1"/>
  <c r="A156"/>
  <c r="I156" s="1"/>
  <c r="A180"/>
  <c r="I180" s="1"/>
  <c r="A236"/>
  <c r="I236" s="1"/>
  <c r="A244"/>
  <c r="I244" s="1"/>
  <c r="A252"/>
  <c r="I252" s="1"/>
  <c r="A276"/>
  <c r="I276" s="1"/>
  <c r="A292"/>
  <c r="I292" s="1"/>
  <c r="A6"/>
  <c r="A38"/>
  <c r="I38" s="1"/>
  <c r="A47"/>
  <c r="I47" s="1"/>
  <c r="A123"/>
  <c r="I123" s="1"/>
  <c r="A150"/>
  <c r="I150" s="1"/>
  <c r="A214"/>
  <c r="I214" s="1"/>
  <c r="A338"/>
  <c r="I338" s="1"/>
  <c r="A394"/>
  <c r="I394" s="1"/>
  <c r="A498"/>
  <c r="I498" s="1"/>
  <c r="A191"/>
  <c r="I191" s="1"/>
  <c r="A239"/>
  <c r="I239" s="1"/>
  <c r="A271"/>
  <c r="I271" s="1"/>
  <c r="A287"/>
  <c r="I287" s="1"/>
  <c r="A331"/>
  <c r="I331" s="1"/>
  <c r="A101"/>
  <c r="I101" s="1"/>
  <c r="A243"/>
  <c r="I243" s="1"/>
  <c r="A259"/>
  <c r="I259" s="1"/>
  <c r="A324"/>
  <c r="I324" s="1"/>
  <c r="A340"/>
  <c r="I340" s="1"/>
  <c r="A388"/>
  <c r="I388" s="1"/>
  <c r="A396"/>
  <c r="I396" s="1"/>
  <c r="A444"/>
  <c r="I444" s="1"/>
  <c r="A325"/>
  <c r="I325" s="1"/>
  <c r="A389"/>
  <c r="I389" s="1"/>
  <c r="A397"/>
  <c r="I397" s="1"/>
  <c r="A445"/>
  <c r="I445" s="1"/>
  <c r="A453"/>
  <c r="I453" s="1"/>
  <c r="A313"/>
  <c r="I313" s="1"/>
  <c r="A345"/>
  <c r="I345" s="1"/>
  <c r="A391"/>
  <c r="I391" s="1"/>
  <c r="A424"/>
  <c r="I424" s="1"/>
  <c r="A455"/>
  <c r="I455" s="1"/>
  <c r="A483"/>
  <c r="I483" s="1"/>
  <c r="A143"/>
  <c r="I143" s="1"/>
  <c r="A310"/>
  <c r="I310" s="1"/>
  <c r="A475"/>
  <c r="I475" s="1"/>
  <c r="A303"/>
  <c r="I303" s="1"/>
  <c r="A319"/>
  <c r="I319" s="1"/>
  <c r="A374"/>
  <c r="I374" s="1"/>
  <c r="A387"/>
  <c r="I387" s="1"/>
  <c r="A103"/>
  <c r="I103" s="1"/>
  <c r="A115"/>
  <c r="I115" s="1"/>
  <c r="A408"/>
  <c r="I408" s="1"/>
  <c r="A486"/>
  <c r="I486" s="1"/>
  <c r="A537"/>
  <c r="I537" s="1"/>
  <c r="A577"/>
  <c r="I577" s="1"/>
  <c r="A548"/>
  <c r="I548" s="1"/>
  <c r="A630"/>
  <c r="I630" s="1"/>
  <c r="A670"/>
  <c r="I670" s="1"/>
  <c r="A93"/>
  <c r="I93" s="1"/>
  <c r="A607"/>
  <c r="I607" s="1"/>
  <c r="A631"/>
  <c r="I631" s="1"/>
  <c r="A206"/>
  <c r="I206" s="1"/>
  <c r="A566"/>
  <c r="I566" s="1"/>
  <c r="A608"/>
  <c r="I608" s="1"/>
  <c r="A624"/>
  <c r="I624" s="1"/>
  <c r="A672"/>
  <c r="I672" s="1"/>
  <c r="A736"/>
  <c r="I736" s="1"/>
  <c r="A87"/>
  <c r="I87" s="1"/>
  <c r="A157"/>
  <c r="I157" s="1"/>
  <c r="A221"/>
  <c r="I221" s="1"/>
  <c r="A285"/>
  <c r="I285" s="1"/>
  <c r="A525"/>
  <c r="I525" s="1"/>
  <c r="A572"/>
  <c r="I572" s="1"/>
  <c r="A603"/>
  <c r="I603" s="1"/>
  <c r="A611"/>
  <c r="I611" s="1"/>
  <c r="A667"/>
  <c r="I667" s="1"/>
  <c r="A675"/>
  <c r="I675" s="1"/>
  <c r="A85"/>
  <c r="I85" s="1"/>
  <c r="A238"/>
  <c r="I238" s="1"/>
  <c r="A471"/>
  <c r="I471" s="1"/>
  <c r="A547"/>
  <c r="I547" s="1"/>
  <c r="A581"/>
  <c r="I581" s="1"/>
  <c r="A700"/>
  <c r="I700" s="1"/>
  <c r="A772"/>
  <c r="I772" s="1"/>
  <c r="A804"/>
  <c r="I804" s="1"/>
  <c r="A773"/>
  <c r="I773" s="1"/>
  <c r="A794"/>
  <c r="I794" s="1"/>
  <c r="A827"/>
  <c r="I827" s="1"/>
  <c r="A907"/>
  <c r="I907" s="1"/>
  <c r="A963"/>
  <c r="I963" s="1"/>
  <c r="A979"/>
  <c r="I979" s="1"/>
  <c r="A1035"/>
  <c r="I1035" s="1"/>
  <c r="A383"/>
  <c r="I383" s="1"/>
  <c r="A526"/>
  <c r="I526" s="1"/>
  <c r="A836"/>
  <c r="I836" s="1"/>
  <c r="A876"/>
  <c r="I876" s="1"/>
  <c r="A940"/>
  <c r="I940" s="1"/>
  <c r="A605"/>
  <c r="I605" s="1"/>
  <c r="A715"/>
  <c r="I715" s="1"/>
  <c r="A731"/>
  <c r="I731" s="1"/>
  <c r="A757"/>
  <c r="I757" s="1"/>
  <c r="A761"/>
  <c r="I761" s="1"/>
  <c r="A791"/>
  <c r="I791" s="1"/>
  <c r="A869"/>
  <c r="I869" s="1"/>
  <c r="A949"/>
  <c r="I949" s="1"/>
  <c r="A957"/>
  <c r="I957" s="1"/>
  <c r="A1013"/>
  <c r="I1013" s="1"/>
  <c r="A1021"/>
  <c r="I1021" s="1"/>
  <c r="A480"/>
  <c r="I480" s="1"/>
  <c r="A665"/>
  <c r="I665" s="1"/>
  <c r="A721"/>
  <c r="I721" s="1"/>
  <c r="A737"/>
  <c r="I737" s="1"/>
  <c r="A758"/>
  <c r="I758" s="1"/>
  <c r="A762"/>
  <c r="I762" s="1"/>
  <c r="A792"/>
  <c r="I792" s="1"/>
  <c r="A839"/>
  <c r="I839" s="1"/>
  <c r="A847"/>
  <c r="I847" s="1"/>
  <c r="A887"/>
  <c r="I887" s="1"/>
  <c r="A967"/>
  <c r="I967" s="1"/>
  <c r="A975"/>
  <c r="I975" s="1"/>
  <c r="A730"/>
  <c r="I730" s="1"/>
  <c r="A856"/>
  <c r="I856" s="1"/>
  <c r="A920"/>
  <c r="I920" s="1"/>
  <c r="A976"/>
  <c r="I976" s="1"/>
  <c r="A416"/>
  <c r="I416" s="1"/>
  <c r="A541"/>
  <c r="I541" s="1"/>
  <c r="A698"/>
  <c r="I698" s="1"/>
  <c r="A825"/>
  <c r="I825" s="1"/>
  <c r="A857"/>
  <c r="I857" s="1"/>
  <c r="A897"/>
  <c r="I897" s="1"/>
  <c r="A929"/>
  <c r="I929" s="1"/>
  <c r="A1025"/>
  <c r="I1025" s="1"/>
  <c r="A1041"/>
  <c r="I1041" s="1"/>
  <c r="A1105"/>
  <c r="I1105" s="1"/>
  <c r="A1161"/>
  <c r="I1161" s="1"/>
  <c r="A1185"/>
  <c r="I1185" s="1"/>
  <c r="A1209"/>
  <c r="I1209" s="1"/>
  <c r="A539"/>
  <c r="I539" s="1"/>
  <c r="A817"/>
  <c r="I817" s="1"/>
  <c r="A1030"/>
  <c r="I1030" s="1"/>
  <c r="A1094"/>
  <c r="I1094" s="1"/>
  <c r="A1124"/>
  <c r="I1124" s="1"/>
  <c r="A1188"/>
  <c r="I1188" s="1"/>
  <c r="A1232"/>
  <c r="I1232" s="1"/>
  <c r="A1296"/>
  <c r="I1296" s="1"/>
  <c r="A1360"/>
  <c r="I1360" s="1"/>
  <c r="A1424"/>
  <c r="I1424" s="1"/>
  <c r="A1039"/>
  <c r="I1039" s="1"/>
  <c r="A1052"/>
  <c r="I1052" s="1"/>
  <c r="A1086"/>
  <c r="I1086" s="1"/>
  <c r="A1150"/>
  <c r="I1150" s="1"/>
  <c r="A1210"/>
  <c r="I1210" s="1"/>
  <c r="A1233"/>
  <c r="I1233" s="1"/>
  <c r="A1273"/>
  <c r="I1273" s="1"/>
  <c r="A1305"/>
  <c r="I1305" s="1"/>
  <c r="A1313"/>
  <c r="I1313" s="1"/>
  <c r="A1377"/>
  <c r="I1377" s="1"/>
  <c r="A1433"/>
  <c r="I1433" s="1"/>
  <c r="A1449"/>
  <c r="I1449" s="1"/>
  <c r="A1505"/>
  <c r="I1505" s="1"/>
  <c r="A1521"/>
  <c r="I1521" s="1"/>
  <c r="A304"/>
  <c r="I304" s="1"/>
  <c r="A629"/>
  <c r="I629" s="1"/>
  <c r="A641"/>
  <c r="I641" s="1"/>
  <c r="A800"/>
  <c r="I800" s="1"/>
  <c r="A958"/>
  <c r="I958" s="1"/>
  <c r="A984"/>
  <c r="I984" s="1"/>
  <c r="A1095"/>
  <c r="I1095" s="1"/>
  <c r="A1108"/>
  <c r="I1108" s="1"/>
  <c r="A1189"/>
  <c r="I1189" s="1"/>
  <c r="A1218"/>
  <c r="I1218" s="1"/>
  <c r="A1266"/>
  <c r="I1266" s="1"/>
  <c r="A1282"/>
  <c r="I1282" s="1"/>
  <c r="A1314"/>
  <c r="I1314" s="1"/>
  <c r="A1338"/>
  <c r="I1338" s="1"/>
  <c r="A1370"/>
  <c r="I1370" s="1"/>
  <c r="A1434"/>
  <c r="I1434" s="1"/>
  <c r="A1442"/>
  <c r="I1442" s="1"/>
  <c r="A1514"/>
  <c r="I1514" s="1"/>
  <c r="A187"/>
  <c r="I187" s="1"/>
  <c r="A518"/>
  <c r="I518" s="1"/>
  <c r="A966"/>
  <c r="I966" s="1"/>
  <c r="A1022"/>
  <c r="I1022" s="1"/>
  <c r="A1126"/>
  <c r="I1126" s="1"/>
  <c r="A1156"/>
  <c r="I1156" s="1"/>
  <c r="A1203"/>
  <c r="I1203" s="1"/>
  <c r="A1276"/>
  <c r="I1276" s="1"/>
  <c r="A1340"/>
  <c r="I1340" s="1"/>
  <c r="A1356"/>
  <c r="I1356" s="1"/>
  <c r="A1388"/>
  <c r="I1388" s="1"/>
  <c r="A1484"/>
  <c r="I1484" s="1"/>
  <c r="A497"/>
  <c r="I497" s="1"/>
  <c r="A846"/>
  <c r="I846" s="1"/>
  <c r="A878"/>
  <c r="I878" s="1"/>
  <c r="A1040"/>
  <c r="I1040" s="1"/>
  <c r="A1076"/>
  <c r="I1076" s="1"/>
  <c r="A1140"/>
  <c r="I1140" s="1"/>
  <c r="A1170"/>
  <c r="I1170" s="1"/>
  <c r="A1191"/>
  <c r="I1191" s="1"/>
  <c r="A1230"/>
  <c r="I1230" s="1"/>
  <c r="A1246"/>
  <c r="I1246" s="1"/>
  <c r="A1254"/>
  <c r="I1254" s="1"/>
  <c r="A1294"/>
  <c r="I1294" s="1"/>
  <c r="A1494"/>
  <c r="I1494" s="1"/>
  <c r="A1542"/>
  <c r="I1542" s="1"/>
  <c r="A1566"/>
  <c r="I1566" s="1"/>
  <c r="A1598"/>
  <c r="I1598" s="1"/>
  <c r="A1662"/>
  <c r="I1662" s="1"/>
  <c r="A1702"/>
  <c r="I1702" s="1"/>
  <c r="A472"/>
  <c r="I472" s="1"/>
  <c r="A609"/>
  <c r="I609" s="1"/>
  <c r="A882"/>
  <c r="I882" s="1"/>
  <c r="A1131"/>
  <c r="I1131" s="1"/>
  <c r="A1275"/>
  <c r="I1275" s="1"/>
  <c r="A1391"/>
  <c r="I1391" s="1"/>
  <c r="A1397"/>
  <c r="I1397" s="1"/>
  <c r="A1733"/>
  <c r="I1733" s="1"/>
  <c r="A1741"/>
  <c r="I1741" s="1"/>
  <c r="A1765"/>
  <c r="I1765" s="1"/>
  <c r="A1797"/>
  <c r="I1797" s="1"/>
  <c r="A1829"/>
  <c r="I1829" s="1"/>
  <c r="A930"/>
  <c r="I930" s="1"/>
  <c r="A1068"/>
  <c r="I1068" s="1"/>
  <c r="A1427"/>
  <c r="I1427" s="1"/>
  <c r="A1491"/>
  <c r="I1491" s="1"/>
  <c r="A1609"/>
  <c r="I1609" s="1"/>
  <c r="A1626"/>
  <c r="I1626" s="1"/>
  <c r="A1766"/>
  <c r="I1766" s="1"/>
  <c r="A1179"/>
  <c r="I1179" s="1"/>
  <c r="A1567"/>
  <c r="I1567" s="1"/>
  <c r="A1712"/>
  <c r="I1712" s="1"/>
  <c r="A1735"/>
  <c r="I1735" s="1"/>
  <c r="A815"/>
  <c r="I815" s="1"/>
  <c r="A962"/>
  <c r="I962" s="1"/>
  <c r="A1147"/>
  <c r="I1147" s="1"/>
  <c r="A1168"/>
  <c r="I1168" s="1"/>
  <c r="A1182"/>
  <c r="I1182" s="1"/>
  <c r="A1335"/>
  <c r="I1335" s="1"/>
  <c r="A1610"/>
  <c r="I1610" s="1"/>
  <c r="A1661"/>
  <c r="I1661" s="1"/>
  <c r="A1744"/>
  <c r="I1744" s="1"/>
  <c r="A1808"/>
  <c r="I1808" s="1"/>
  <c r="A1832"/>
  <c r="I1832" s="1"/>
  <c r="A1880"/>
  <c r="I1880" s="1"/>
  <c r="A415"/>
  <c r="I415" s="1"/>
  <c r="A751"/>
  <c r="I751" s="1"/>
  <c r="A1164"/>
  <c r="I1164" s="1"/>
  <c r="A1231"/>
  <c r="I1231" s="1"/>
  <c r="A1683"/>
  <c r="I1683" s="1"/>
  <c r="A1777"/>
  <c r="I1777" s="1"/>
  <c r="A1822"/>
  <c r="I1822" s="1"/>
  <c r="A1883"/>
  <c r="I1883" s="1"/>
  <c r="A1921"/>
  <c r="I1921" s="1"/>
  <c r="A1975"/>
  <c r="I1975" s="1"/>
  <c r="A2047"/>
  <c r="I2047" s="1"/>
  <c r="A866"/>
  <c r="I866" s="1"/>
  <c r="A1031"/>
  <c r="I1031" s="1"/>
  <c r="A1115"/>
  <c r="I1115" s="1"/>
  <c r="A1255"/>
  <c r="I1255" s="1"/>
  <c r="A1560"/>
  <c r="I1560" s="1"/>
  <c r="A1641"/>
  <c r="I1641" s="1"/>
  <c r="A1754"/>
  <c r="I1754" s="1"/>
  <c r="A1786"/>
  <c r="I1786" s="1"/>
  <c r="A1866"/>
  <c r="I1866" s="1"/>
  <c r="A1944"/>
  <c r="I1944" s="1"/>
  <c r="A2016"/>
  <c r="I2016" s="1"/>
  <c r="A2056"/>
  <c r="I2056" s="1"/>
  <c r="A2064"/>
  <c r="I2064" s="1"/>
  <c r="A2120"/>
  <c r="I2120" s="1"/>
  <c r="A2128"/>
  <c r="I2128" s="1"/>
  <c r="A2184"/>
  <c r="I2184" s="1"/>
  <c r="A1285"/>
  <c r="I1285" s="1"/>
  <c r="A1485"/>
  <c r="I1485" s="1"/>
  <c r="A1517"/>
  <c r="I1517" s="1"/>
  <c r="A1531"/>
  <c r="I1531" s="1"/>
  <c r="A1552"/>
  <c r="I1552" s="1"/>
  <c r="A1620"/>
  <c r="I1620" s="1"/>
  <c r="A1714"/>
  <c r="I1714" s="1"/>
  <c r="A1814"/>
  <c r="I1814" s="1"/>
  <c r="A1817"/>
  <c r="I1817" s="1"/>
  <c r="A1843"/>
  <c r="I1843" s="1"/>
  <c r="A1913"/>
  <c r="I1913" s="1"/>
  <c r="A1953"/>
  <c r="I1953" s="1"/>
  <c r="A2017"/>
  <c r="I2017" s="1"/>
  <c r="A1303"/>
  <c r="I1303" s="1"/>
  <c r="A1443"/>
  <c r="I1443" s="1"/>
  <c r="A1565"/>
  <c r="I1565" s="1"/>
  <c r="A1672"/>
  <c r="I1672" s="1"/>
  <c r="A1693"/>
  <c r="I1693" s="1"/>
  <c r="A1756"/>
  <c r="I1756" s="1"/>
  <c r="A1884"/>
  <c r="I1884" s="1"/>
  <c r="A1887"/>
  <c r="I1887" s="1"/>
  <c r="A1922"/>
  <c r="I1922" s="1"/>
  <c r="A1954"/>
  <c r="I1954" s="1"/>
  <c r="A1986"/>
  <c r="I1986" s="1"/>
  <c r="A1488"/>
  <c r="I1488" s="1"/>
  <c r="A1619"/>
  <c r="I1619" s="1"/>
  <c r="A1713"/>
  <c r="I1713" s="1"/>
  <c r="A1838"/>
  <c r="I1838" s="1"/>
  <c r="A1870"/>
  <c r="I1870" s="1"/>
  <c r="A1902"/>
  <c r="I1902" s="1"/>
  <c r="A1971"/>
  <c r="I1971" s="1"/>
  <c r="A2011"/>
  <c r="I2011" s="1"/>
  <c r="A2019"/>
  <c r="I2019" s="1"/>
  <c r="A2027"/>
  <c r="I2027" s="1"/>
  <c r="A2131"/>
  <c r="I2131" s="1"/>
  <c r="A2139"/>
  <c r="I2139" s="1"/>
  <c r="A2155"/>
  <c r="I2155" s="1"/>
  <c r="A1048"/>
  <c r="I1048" s="1"/>
  <c r="A1104"/>
  <c r="I1104" s="1"/>
  <c r="A1349"/>
  <c r="I1349" s="1"/>
  <c r="A1650"/>
  <c r="I1650" s="1"/>
  <c r="A1684"/>
  <c r="I1684" s="1"/>
  <c r="A1723"/>
  <c r="I1723" s="1"/>
  <c r="A1755"/>
  <c r="I1755" s="1"/>
  <c r="A1787"/>
  <c r="I1787" s="1"/>
  <c r="A1793"/>
  <c r="I1793" s="1"/>
  <c r="A1859"/>
  <c r="I1859" s="1"/>
  <c r="A1865"/>
  <c r="I1865" s="1"/>
  <c r="A1965"/>
  <c r="I1965" s="1"/>
  <c r="A2093"/>
  <c r="I2093" s="1"/>
  <c r="A2101"/>
  <c r="I2101" s="1"/>
  <c r="A2157"/>
  <c r="I2157" s="1"/>
  <c r="A2165"/>
  <c r="I2165" s="1"/>
  <c r="A2221"/>
  <c r="I2221" s="1"/>
  <c r="A2229"/>
  <c r="I2229" s="1"/>
  <c r="A2285"/>
  <c r="I2285" s="1"/>
  <c r="A2293"/>
  <c r="I2293" s="1"/>
  <c r="A2349"/>
  <c r="I2349" s="1"/>
  <c r="A2357"/>
  <c r="I2357" s="1"/>
  <c r="A1812"/>
  <c r="I1812" s="1"/>
  <c r="A1818"/>
  <c r="I1818" s="1"/>
  <c r="A1940"/>
  <c r="I1940" s="1"/>
  <c r="A2014"/>
  <c r="I2014" s="1"/>
  <c r="A2119"/>
  <c r="I2119" s="1"/>
  <c r="A2228"/>
  <c r="I2228" s="1"/>
  <c r="A2384"/>
  <c r="I2384" s="1"/>
  <c r="A2440"/>
  <c r="I2440" s="1"/>
  <c r="A2448"/>
  <c r="I2448" s="1"/>
  <c r="A2504"/>
  <c r="I2504" s="1"/>
  <c r="A2512"/>
  <c r="I2512" s="1"/>
  <c r="A1239"/>
  <c r="I1239" s="1"/>
  <c r="A1990"/>
  <c r="I1990" s="1"/>
  <c r="A2130"/>
  <c r="I2130" s="1"/>
  <c r="A2233"/>
  <c r="I2233" s="1"/>
  <c r="A2267"/>
  <c r="I2267" s="1"/>
  <c r="A2378"/>
  <c r="I2378" s="1"/>
  <c r="A2409"/>
  <c r="I2409" s="1"/>
  <c r="A1379"/>
  <c r="I1379" s="1"/>
  <c r="A2102"/>
  <c r="I2102" s="1"/>
  <c r="A1762"/>
  <c r="I1762" s="1"/>
  <c r="A2084"/>
  <c r="I2084" s="1"/>
  <c r="A2238"/>
  <c r="I2238" s="1"/>
  <c r="A2259"/>
  <c r="I2259" s="1"/>
  <c r="A2302"/>
  <c r="I2302" s="1"/>
  <c r="A2370"/>
  <c r="I2370" s="1"/>
  <c r="A2394"/>
  <c r="I2394" s="1"/>
  <c r="A2506"/>
  <c r="I2506" s="1"/>
  <c r="A1871"/>
  <c r="I1871" s="1"/>
  <c r="A1998"/>
  <c r="I1998" s="1"/>
  <c r="A1671"/>
  <c r="I1671" s="1"/>
  <c r="A1692"/>
  <c r="I1692" s="1"/>
  <c r="A1876"/>
  <c r="I1876" s="1"/>
  <c r="A2046"/>
  <c r="I2046" s="1"/>
  <c r="A2111"/>
  <c r="I2111" s="1"/>
  <c r="A2175"/>
  <c r="I2175" s="1"/>
  <c r="A2192"/>
  <c r="I2192" s="1"/>
  <c r="A2196"/>
  <c r="I2196" s="1"/>
  <c r="A2243"/>
  <c r="I2243" s="1"/>
  <c r="A2256"/>
  <c r="I2256" s="1"/>
  <c r="A2273"/>
  <c r="I2273" s="1"/>
  <c r="A2320"/>
  <c r="I2320" s="1"/>
  <c r="A2367"/>
  <c r="I2367" s="1"/>
  <c r="A2371"/>
  <c r="I2371" s="1"/>
  <c r="A2380"/>
  <c r="I2380" s="1"/>
  <c r="A2436"/>
  <c r="I2436" s="1"/>
  <c r="A2460"/>
  <c r="I2460" s="1"/>
  <c r="A2484"/>
  <c r="I2484" s="1"/>
  <c r="A2500"/>
  <c r="I2500" s="1"/>
  <c r="A1608"/>
  <c r="I1608" s="1"/>
  <c r="A1629"/>
  <c r="I1629" s="1"/>
  <c r="A1839"/>
  <c r="I1839" s="1"/>
  <c r="A2006"/>
  <c r="I2006" s="1"/>
  <c r="A2122"/>
  <c r="I2122" s="1"/>
  <c r="A2138"/>
  <c r="I2138" s="1"/>
  <c r="A1543"/>
  <c r="I1543" s="1"/>
  <c r="A1850"/>
  <c r="I1850" s="1"/>
  <c r="A1911"/>
  <c r="I1911" s="1"/>
  <c r="A2108"/>
  <c r="I2108" s="1"/>
  <c r="A2257"/>
  <c r="I2257" s="1"/>
  <c r="A2372"/>
  <c r="I2372" s="1"/>
  <c r="A2422"/>
  <c r="I2422" s="1"/>
  <c r="A2446"/>
  <c r="I2446" s="1"/>
  <c r="A2502"/>
  <c r="I2502" s="1"/>
  <c r="A2283"/>
  <c r="I2283" s="1"/>
  <c r="A2431"/>
  <c r="I2431" s="1"/>
  <c r="A1748"/>
  <c r="I1748" s="1"/>
  <c r="A1807"/>
  <c r="I1807" s="1"/>
  <c r="A1950"/>
  <c r="I1950" s="1"/>
  <c r="A2110"/>
  <c r="I2110" s="1"/>
  <c r="A2174"/>
  <c r="I2174" s="1"/>
  <c r="A2266"/>
  <c r="I2266" s="1"/>
  <c r="A2247"/>
  <c r="I2247" s="1"/>
  <c r="A2387"/>
  <c r="I2387" s="1"/>
  <c r="A2230"/>
  <c r="I2230" s="1"/>
  <c r="A2252"/>
  <c r="I2252" s="1"/>
  <c r="A2421"/>
  <c r="I2421" s="1"/>
  <c r="A2413"/>
  <c r="I2413" s="1"/>
  <c r="A2358"/>
  <c r="I2358" s="1"/>
  <c r="A2411"/>
  <c r="I2411" s="1"/>
  <c r="A2475"/>
  <c r="I2475" s="1"/>
  <c r="A2461"/>
  <c r="I2461" s="1"/>
  <c r="A2395"/>
  <c r="I2395" s="1"/>
  <c r="A2376"/>
  <c r="I2376" s="1"/>
  <c r="A168"/>
  <c r="I168" s="1"/>
  <c r="A207"/>
  <c r="I207" s="1"/>
  <c r="A96"/>
  <c r="I96" s="1"/>
  <c r="A29"/>
  <c r="I29" s="1"/>
  <c r="A132"/>
  <c r="I132" s="1"/>
  <c r="A409"/>
  <c r="I409" s="1"/>
  <c r="A473"/>
  <c r="I473" s="1"/>
  <c r="A419"/>
  <c r="I419" s="1"/>
  <c r="A440"/>
  <c r="I440" s="1"/>
  <c r="A527"/>
  <c r="I527" s="1"/>
  <c r="A621"/>
  <c r="I621" s="1"/>
  <c r="A681"/>
  <c r="I681" s="1"/>
  <c r="A233"/>
  <c r="I233" s="1"/>
  <c r="A377"/>
  <c r="I377" s="1"/>
  <c r="A230"/>
  <c r="I230" s="1"/>
  <c r="A32"/>
  <c r="I32" s="1"/>
  <c r="A242"/>
  <c r="I242" s="1"/>
  <c r="A204"/>
  <c r="I204" s="1"/>
  <c r="A251"/>
  <c r="I251" s="1"/>
  <c r="A263"/>
  <c r="I263" s="1"/>
  <c r="A356"/>
  <c r="I356" s="1"/>
  <c r="A323"/>
  <c r="I323" s="1"/>
  <c r="A986"/>
  <c r="I986" s="1"/>
  <c r="A410"/>
  <c r="I410" s="1"/>
  <c r="A63"/>
  <c r="I63" s="1"/>
  <c r="A41"/>
  <c r="I41" s="1"/>
  <c r="A495"/>
  <c r="I495" s="1"/>
  <c r="A105"/>
  <c r="I105" s="1"/>
  <c r="A224"/>
  <c r="I224" s="1"/>
  <c r="A59"/>
  <c r="I59" s="1"/>
  <c r="A465"/>
  <c r="I465" s="1"/>
  <c r="A569"/>
  <c r="I569" s="1"/>
  <c r="A655"/>
  <c r="I655" s="1"/>
  <c r="A346"/>
  <c r="I346" s="1"/>
  <c r="A580"/>
  <c r="I580" s="1"/>
  <c r="A40"/>
  <c r="I40" s="1"/>
  <c r="A232"/>
  <c r="I232" s="1"/>
  <c r="A169"/>
  <c r="I169" s="1"/>
  <c r="A367"/>
  <c r="I367" s="1"/>
  <c r="A1176"/>
  <c r="I1176" s="1"/>
  <c r="A709"/>
  <c r="I709" s="1"/>
  <c r="A928"/>
  <c r="I928" s="1"/>
  <c r="A1002"/>
  <c r="I1002" s="1"/>
  <c r="A1085"/>
  <c r="I1085" s="1"/>
  <c r="A867"/>
  <c r="I867" s="1"/>
  <c r="A395"/>
  <c r="I395" s="1"/>
  <c r="A845"/>
  <c r="I845" s="1"/>
  <c r="A418"/>
  <c r="I418" s="1"/>
  <c r="A140"/>
  <c r="I140" s="1"/>
  <c r="A205"/>
  <c r="I205" s="1"/>
  <c r="A918"/>
  <c r="I918" s="1"/>
  <c r="A1091"/>
  <c r="I1091" s="1"/>
  <c r="A864"/>
  <c r="I864" s="1"/>
  <c r="A1365"/>
  <c r="I1365" s="1"/>
  <c r="A160"/>
  <c r="I160" s="1"/>
  <c r="A516"/>
  <c r="I516" s="1"/>
  <c r="A148"/>
  <c r="I148" s="1"/>
  <c r="A558"/>
  <c r="I558" s="1"/>
  <c r="A909"/>
  <c r="I909" s="1"/>
  <c r="A742"/>
  <c r="I742" s="1"/>
  <c r="A787"/>
  <c r="I787" s="1"/>
  <c r="A1317"/>
  <c r="I1317" s="1"/>
  <c r="A1225"/>
  <c r="I1225" s="1"/>
  <c r="A1974"/>
  <c r="I1974" s="1"/>
  <c r="A2038"/>
  <c r="I2038" s="1"/>
  <c r="A2166"/>
  <c r="I2166" s="1"/>
  <c r="A142"/>
  <c r="I142" s="1"/>
  <c r="A288"/>
  <c r="I288" s="1"/>
  <c r="A782"/>
  <c r="I782" s="1"/>
  <c r="A1398"/>
  <c r="I1398" s="1"/>
  <c r="A1112"/>
  <c r="I1112" s="1"/>
  <c r="A51"/>
  <c r="I51" s="1"/>
  <c r="A719"/>
  <c r="I719" s="1"/>
  <c r="A556"/>
  <c r="I556" s="1"/>
  <c r="A924"/>
  <c r="I924" s="1"/>
  <c r="A1333"/>
  <c r="I1333" s="1"/>
  <c r="A104"/>
  <c r="I104" s="1"/>
  <c r="A1455"/>
  <c r="I1455" s="1"/>
  <c r="A1901"/>
  <c r="I1901" s="1"/>
  <c r="A2005"/>
  <c r="I2005" s="1"/>
  <c r="A1657"/>
  <c r="I1657" s="1"/>
  <c r="A1077"/>
  <c r="I1077" s="1"/>
  <c r="A438"/>
  <c r="I438" s="1"/>
  <c r="A474"/>
  <c r="I474" s="1"/>
  <c r="A536"/>
  <c r="I536" s="1"/>
  <c r="A803"/>
  <c r="I803" s="1"/>
  <c r="A482"/>
  <c r="I482" s="1"/>
  <c r="A1211"/>
  <c r="I1211" s="1"/>
  <c r="A678"/>
  <c r="I678" s="1"/>
  <c r="A491"/>
  <c r="I491" s="1"/>
  <c r="A1368"/>
  <c r="I1368" s="1"/>
  <c r="A1432"/>
  <c r="I1432" s="1"/>
  <c r="A1418"/>
  <c r="I1418" s="1"/>
  <c r="A1938"/>
  <c r="I1938" s="1"/>
  <c r="A1648"/>
  <c r="I1648" s="1"/>
  <c r="A2239"/>
  <c r="I2239" s="1"/>
  <c r="A2312"/>
  <c r="I2312" s="1"/>
  <c r="A996"/>
  <c r="I996" s="1"/>
  <c r="A797"/>
  <c r="I797" s="1"/>
  <c r="A1634"/>
  <c r="I1634" s="1"/>
  <c r="A1613"/>
  <c r="I1613" s="1"/>
  <c r="A1554"/>
  <c r="I1554" s="1"/>
  <c r="A2250"/>
  <c r="I2250" s="1"/>
  <c r="A1475"/>
  <c r="I1475" s="1"/>
  <c r="A2115"/>
  <c r="I2115" s="1"/>
  <c r="A2364"/>
  <c r="I2364" s="1"/>
  <c r="A2451"/>
  <c r="I2451" s="1"/>
  <c r="A796"/>
  <c r="I796" s="1"/>
  <c r="A1820"/>
  <c r="I1820" s="1"/>
  <c r="A2124"/>
  <c r="I2124" s="1"/>
  <c r="A868"/>
  <c r="I868" s="1"/>
  <c r="A2375"/>
  <c r="I2375" s="1"/>
  <c r="A179"/>
  <c r="I179" s="1"/>
  <c r="A1359"/>
  <c r="I1359" s="1"/>
  <c r="A2004"/>
  <c r="I2004" s="1"/>
  <c r="A2311"/>
  <c r="I2311" s="1"/>
  <c r="A223"/>
  <c r="I223" s="1"/>
  <c r="A296"/>
  <c r="I296" s="1"/>
  <c r="A158"/>
  <c r="I158" s="1"/>
  <c r="A2183"/>
  <c r="I2183" s="1"/>
  <c r="A1628"/>
  <c r="I1628" s="1"/>
  <c r="A2514"/>
  <c r="I2514" s="1"/>
  <c r="A1496"/>
  <c r="I1496" s="1"/>
  <c r="A2236"/>
  <c r="I2236" s="1"/>
  <c r="A1463"/>
  <c r="I1463" s="1"/>
  <c r="A2057"/>
  <c r="I2057" s="1"/>
  <c r="A1995"/>
  <c r="I1995" s="1"/>
  <c r="A818"/>
  <c r="I818" s="1"/>
  <c r="A653"/>
  <c r="I653" s="1"/>
  <c r="A1473"/>
  <c r="I1473" s="1"/>
  <c r="A1577"/>
  <c r="I1577" s="1"/>
  <c r="A1439"/>
  <c r="I1439" s="1"/>
  <c r="A1482"/>
  <c r="I1482" s="1"/>
  <c r="A2026"/>
  <c r="I2026" s="1"/>
  <c r="A1240"/>
  <c r="I1240" s="1"/>
  <c r="A1873"/>
  <c r="I1873" s="1"/>
  <c r="A1779"/>
  <c r="I1779" s="1"/>
  <c r="A2201"/>
  <c r="I2201" s="1"/>
  <c r="A1584"/>
  <c r="I1584" s="1"/>
  <c r="A1968"/>
  <c r="I1968" s="1"/>
  <c r="A1599"/>
  <c r="I1599" s="1"/>
  <c r="A1503"/>
  <c r="I1503" s="1"/>
  <c r="A1003"/>
  <c r="I1003" s="1"/>
  <c r="A12"/>
  <c r="I12" s="1"/>
  <c r="A14"/>
  <c r="I14" s="1"/>
  <c r="A826"/>
  <c r="I826" s="1"/>
  <c r="A1324"/>
  <c r="I1324" s="1"/>
  <c r="A1781"/>
  <c r="I1781" s="1"/>
  <c r="A1669"/>
  <c r="I1669" s="1"/>
  <c r="A1605"/>
  <c r="I1605" s="1"/>
  <c r="A2055"/>
  <c r="I2055" s="1"/>
  <c r="A1530"/>
  <c r="I1530" s="1"/>
  <c r="A1419"/>
  <c r="I1419" s="1"/>
  <c r="A2012"/>
  <c r="I2012" s="1"/>
  <c r="A2303"/>
  <c r="I2303" s="1"/>
  <c r="A2121"/>
  <c r="I2121" s="1"/>
  <c r="A1516"/>
  <c r="I1516" s="1"/>
  <c r="A2294"/>
  <c r="I2294" s="1"/>
  <c r="A728"/>
  <c r="I728" s="1"/>
  <c r="A660"/>
  <c r="I660" s="1"/>
  <c r="A1541"/>
  <c r="I1541" s="1"/>
  <c r="A1129"/>
  <c r="I1129" s="1"/>
  <c r="A2366"/>
  <c r="I2366" s="1"/>
  <c r="A1578"/>
  <c r="I1578" s="1"/>
  <c r="A1518"/>
  <c r="I1518" s="1"/>
  <c r="A1802"/>
  <c r="I1802" s="1"/>
  <c r="A1234"/>
  <c r="I1234" s="1"/>
  <c r="A2505"/>
  <c r="I2505" s="1"/>
  <c r="A1948"/>
  <c r="I1948" s="1"/>
  <c r="A1304"/>
  <c r="I1304" s="1"/>
  <c r="A1881"/>
  <c r="I1881" s="1"/>
  <c r="A2248"/>
  <c r="I2248" s="1"/>
  <c r="A2476"/>
  <c r="I2476" s="1"/>
  <c r="A1920"/>
  <c r="I1920" s="1"/>
  <c r="A1923"/>
  <c r="I1923" s="1"/>
  <c r="F2" l="1"/>
  <c r="I197"/>
  <c r="D3"/>
  <c r="I6"/>
  <c r="K10"/>
  <c r="K11"/>
</calcChain>
</file>

<file path=xl/sharedStrings.xml><?xml version="1.0" encoding="utf-8"?>
<sst xmlns="http://schemas.openxmlformats.org/spreadsheetml/2006/main" count="43" uniqueCount="41">
  <si>
    <t>1d</t>
  </si>
  <si>
    <t>Interval (1d / 1wk / 1mo)</t>
  </si>
  <si>
    <t>Dividends</t>
  </si>
  <si>
    <t>Date Conv</t>
  </si>
  <si>
    <t>Date</t>
  </si>
  <si>
    <t>&lt;&lt;&lt;&lt;&lt;&lt;                               ARRAY                                    &gt;&gt;&gt;&gt;&gt;&gt;</t>
  </si>
  <si>
    <t>&lt;&lt;==Link</t>
  </si>
  <si>
    <t>&lt;&lt;== Ending Date</t>
  </si>
  <si>
    <t>&lt;&lt;== Starting Date</t>
  </si>
  <si>
    <t>smfGetCSVFile() does not retrieve historical</t>
  </si>
  <si>
    <t>workbook and extract data from csv file.</t>
  </si>
  <si>
    <t>&lt;&lt;== ENTER CORRECT TICKER</t>
  </si>
  <si>
    <t>Max Array Date</t>
  </si>
  <si>
    <t>Min Array Date</t>
  </si>
  <si>
    <t>Latest Yahoo Quote</t>
  </si>
  <si>
    <t>Latest Dividend</t>
  </si>
  <si>
    <t>To extract from csv file:  Create new blank</t>
  </si>
  <si>
    <t xml:space="preserve">[Data, From Text, select xxx.csv file, Import, </t>
  </si>
  <si>
    <t>Delimited, Next, Comma, Next, Finish].</t>
  </si>
  <si>
    <t xml:space="preserve">Select YahooFinance link above to access </t>
  </si>
  <si>
    <t>Historical Data page. Set time period to Max,</t>
  </si>
  <si>
    <t xml:space="preserve">Show Dividends only, Frequency Daily. </t>
  </si>
  <si>
    <t>Apply and Download.</t>
  </si>
  <si>
    <t>This workbook is set for manual recalculation.</t>
  </si>
  <si>
    <t>&lt;&lt;==Copy extracted Dividend data here</t>
  </si>
  <si>
    <t>&lt;&lt;== Main Yahoo Ticker</t>
  </si>
  <si>
    <t>&lt;&lt;== Secondary Ticker</t>
  </si>
  <si>
    <t>Copy and paste extracted data to cell O1 in this</t>
  </si>
  <si>
    <t>Enter Date here ==&gt;&gt;</t>
  </si>
  <si>
    <t>MSFT</t>
  </si>
  <si>
    <t xml:space="preserve">Only manual inputs are Yahoo Ticker, lookup date </t>
  </si>
  <si>
    <t xml:space="preserve">for price lookup, Ticker for dividend data and </t>
  </si>
  <si>
    <t>Dividend Data (from CSV extraction).</t>
  </si>
  <si>
    <t>dividend data. Follow instructions below to retrieve.</t>
  </si>
  <si>
    <t xml:space="preserve">workbook. Add Yahoo Ticker. Database match will </t>
  </si>
  <si>
    <t xml:space="preserve">not recognize symbol mismatch. Column I will </t>
  </si>
  <si>
    <t>match dividends to dates (if Tickers match) when</t>
  </si>
  <si>
    <t>workbook calculation is performed (use F9 key).</t>
  </si>
  <si>
    <t>The dates above are set to automatically extract</t>
  </si>
  <si>
    <t>up to 10 years of available daily price data from</t>
  </si>
  <si>
    <t>Yahoo Finance.</t>
  </si>
</sst>
</file>

<file path=xl/styles.xml><?xml version="1.0" encoding="utf-8"?>
<styleSheet xmlns="http://schemas.openxmlformats.org/spreadsheetml/2006/main">
  <numFmts count="6">
    <numFmt numFmtId="43" formatCode="_-* #,##0.00_-;\-* #,##0.00_-;_-* &quot;-&quot;??_-;_-@_-"/>
    <numFmt numFmtId="164" formatCode="[$-1009]d\-mmm\-yy;@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$-F400]h:mm:ss\ AM/PM"/>
    <numFmt numFmtId="168" formatCode="0.0000"/>
  </numFmts>
  <fonts count="38">
    <font>
      <sz val="11"/>
      <color theme="1"/>
      <name val="Calibri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theme="1"/>
      <name val="Arial"/>
      <family val="2"/>
    </font>
    <font>
      <sz val="10"/>
      <color indexed="64"/>
      <name val="Arial"/>
      <family val="2"/>
    </font>
    <font>
      <b/>
      <sz val="10"/>
      <color indexed="64"/>
      <name val="Arial"/>
      <family val="2"/>
    </font>
    <font>
      <b/>
      <sz val="9"/>
      <color indexed="64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0"/>
      <color indexed="12"/>
      <name val="Arial"/>
      <family val="2"/>
    </font>
    <font>
      <b/>
      <sz val="10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1"/>
      <color theme="1"/>
      <name val="Arial"/>
      <family val="2"/>
    </font>
    <font>
      <b/>
      <sz val="10"/>
      <color rgb="FF3333FF"/>
      <name val="Arial"/>
      <family val="2"/>
    </font>
    <font>
      <b/>
      <sz val="10"/>
      <color theme="10"/>
      <name val="Arial"/>
      <family val="2"/>
    </font>
    <font>
      <b/>
      <sz val="10"/>
      <color indexed="64"/>
      <name val="Arial Narrow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7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2" fillId="0" borderId="0" applyFont="0" applyFill="0" applyBorder="0" applyAlignment="0" applyProtection="0">
      <alignment vertical="center"/>
    </xf>
    <xf numFmtId="166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164" fontId="27" fillId="0" borderId="0" applyNumberFormat="0" applyFill="0" applyBorder="0" applyAlignment="0" applyProtection="0">
      <alignment vertical="top"/>
      <protection locked="0"/>
    </xf>
    <xf numFmtId="164" fontId="22" fillId="0" borderId="0" applyFont="0" applyFill="0" applyBorder="0" applyAlignment="0" applyProtection="0">
      <alignment vertical="center"/>
    </xf>
    <xf numFmtId="166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164" fontId="27" fillId="0" borderId="0" applyNumberFormat="0" applyFill="0" applyBorder="0" applyAlignment="0" applyProtection="0">
      <alignment vertical="top"/>
      <protection locked="0"/>
    </xf>
    <xf numFmtId="164" fontId="22" fillId="0" borderId="0" applyNumberFormat="0" applyFont="0" applyFill="0" applyBorder="0" applyAlignment="0" applyProtection="0">
      <alignment vertical="center"/>
    </xf>
    <xf numFmtId="164" fontId="25" fillId="0" borderId="0"/>
    <xf numFmtId="166" fontId="25" fillId="0" borderId="0" applyFont="0" applyFill="0" applyBorder="0" applyAlignment="0" applyProtection="0"/>
    <xf numFmtId="0" fontId="22" fillId="0" borderId="0" applyFont="0" applyFill="0" applyBorder="0" applyAlignment="0" applyProtection="0">
      <alignment vertical="center"/>
    </xf>
    <xf numFmtId="165" fontId="22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NumberFormat="0" applyFont="0" applyFill="0" applyBorder="0" applyAlignment="0" applyProtection="0">
      <alignment vertical="center"/>
    </xf>
    <xf numFmtId="0" fontId="25" fillId="0" borderId="0"/>
    <xf numFmtId="0" fontId="25" fillId="0" borderId="0"/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167" fontId="27" fillId="0" borderId="0" applyNumberFormat="0" applyFill="0" applyBorder="0" applyAlignment="0" applyProtection="0">
      <alignment vertical="top"/>
      <protection locked="0"/>
    </xf>
    <xf numFmtId="167" fontId="22" fillId="0" borderId="0" applyFont="0" applyFill="0" applyBorder="0" applyAlignment="0" applyProtection="0">
      <alignment vertical="center"/>
    </xf>
    <xf numFmtId="167" fontId="27" fillId="0" borderId="0" applyNumberFormat="0" applyFill="0" applyBorder="0" applyAlignment="0" applyProtection="0">
      <alignment vertical="top"/>
      <protection locked="0"/>
    </xf>
    <xf numFmtId="167" fontId="22" fillId="0" borderId="0" applyNumberFormat="0" applyFont="0" applyFill="0" applyBorder="0" applyAlignment="0" applyProtection="0">
      <alignment vertical="center"/>
    </xf>
    <xf numFmtId="167" fontId="25" fillId="0" borderId="0"/>
    <xf numFmtId="167" fontId="22" fillId="0" borderId="0" applyFont="0" applyFill="0" applyBorder="0" applyAlignment="0" applyProtection="0">
      <alignment vertical="center"/>
    </xf>
    <xf numFmtId="167" fontId="22" fillId="0" borderId="0" applyFont="0" applyFill="0" applyBorder="0" applyAlignment="0" applyProtection="0">
      <alignment vertical="center"/>
    </xf>
    <xf numFmtId="167" fontId="22" fillId="0" borderId="0" applyFont="0" applyFill="0" applyBorder="0" applyAlignment="0" applyProtection="0">
      <alignment vertical="center"/>
    </xf>
    <xf numFmtId="167" fontId="22" fillId="0" borderId="0" applyFont="0" applyFill="0" applyBorder="0" applyAlignment="0" applyProtection="0">
      <alignment vertical="center"/>
    </xf>
    <xf numFmtId="167" fontId="22" fillId="0" borderId="0" applyFont="0" applyFill="0" applyBorder="0" applyAlignment="0" applyProtection="0">
      <alignment vertical="center"/>
    </xf>
    <xf numFmtId="167" fontId="22" fillId="0" borderId="0" applyFont="0" applyFill="0" applyBorder="0" applyAlignment="0" applyProtection="0">
      <alignment vertical="center"/>
    </xf>
    <xf numFmtId="167" fontId="22" fillId="0" borderId="0" applyFont="0" applyFill="0" applyBorder="0" applyAlignment="0" applyProtection="0">
      <alignment vertical="center"/>
    </xf>
    <xf numFmtId="167" fontId="22" fillId="0" borderId="0" applyFont="0" applyFill="0" applyBorder="0" applyAlignment="0" applyProtection="0">
      <alignment vertical="center"/>
    </xf>
    <xf numFmtId="167" fontId="22" fillId="0" borderId="0" applyFont="0" applyFill="0" applyBorder="0" applyAlignment="0" applyProtection="0">
      <alignment vertical="center"/>
    </xf>
    <xf numFmtId="164" fontId="27" fillId="0" borderId="0" applyNumberFormat="0" applyFill="0" applyBorder="0" applyAlignment="0" applyProtection="0">
      <alignment vertical="top"/>
      <protection locked="0"/>
    </xf>
    <xf numFmtId="164" fontId="22" fillId="0" borderId="0" applyFont="0" applyFill="0" applyBorder="0" applyAlignment="0" applyProtection="0">
      <alignment vertical="center"/>
    </xf>
    <xf numFmtId="164" fontId="27" fillId="0" borderId="0" applyNumberFormat="0" applyFill="0" applyBorder="0" applyAlignment="0" applyProtection="0">
      <alignment vertical="top"/>
      <protection locked="0"/>
    </xf>
    <xf numFmtId="164" fontId="22" fillId="0" borderId="0" applyNumberFormat="0" applyFont="0" applyFill="0" applyBorder="0" applyAlignment="0" applyProtection="0">
      <alignment vertical="center"/>
    </xf>
    <xf numFmtId="164" fontId="25" fillId="0" borderId="0"/>
    <xf numFmtId="0" fontId="25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NumberFormat="0" applyFont="0" applyFill="0" applyBorder="0" applyAlignment="0" applyProtection="0">
      <alignment vertical="center"/>
    </xf>
    <xf numFmtId="0" fontId="25" fillId="0" borderId="0"/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</cellStyleXfs>
  <cellXfs count="81">
    <xf numFmtId="0" fontId="0" fillId="0" borderId="0" xfId="0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3" fillId="0" borderId="0" xfId="0" applyNumberFormat="1" applyFont="1" applyAlignment="1">
      <alignment horizontal="center"/>
    </xf>
    <xf numFmtId="0" fontId="21" fillId="0" borderId="10" xfId="0" applyNumberFormat="1" applyFont="1" applyBorder="1" applyAlignment="1">
      <alignment horizontal="center"/>
    </xf>
    <xf numFmtId="0" fontId="23" fillId="0" borderId="11" xfId="42" applyFont="1" applyBorder="1" applyAlignment="1"/>
    <xf numFmtId="0" fontId="3" fillId="0" borderId="0" xfId="0" applyNumberFormat="1" applyFont="1" applyBorder="1"/>
    <xf numFmtId="0" fontId="21" fillId="0" borderId="10" xfId="0" applyNumberFormat="1" applyFont="1" applyBorder="1" applyAlignment="1"/>
    <xf numFmtId="0" fontId="23" fillId="0" borderId="0" xfId="42" applyFont="1" applyBorder="1" applyAlignment="1"/>
    <xf numFmtId="0" fontId="3" fillId="0" borderId="0" xfId="0" applyNumberFormat="1" applyFont="1" applyAlignment="1"/>
    <xf numFmtId="0" fontId="26" fillId="33" borderId="10" xfId="0" applyNumberFormat="1" applyFont="1" applyFill="1" applyBorder="1" applyAlignment="1"/>
    <xf numFmtId="0" fontId="21" fillId="35" borderId="10" xfId="0" applyNumberFormat="1" applyFont="1" applyFill="1" applyBorder="1" applyAlignment="1">
      <alignment horizontal="center"/>
    </xf>
    <xf numFmtId="164" fontId="21" fillId="35" borderId="10" xfId="0" applyNumberFormat="1" applyFont="1" applyFill="1" applyBorder="1" applyAlignment="1">
      <alignment horizontal="center"/>
    </xf>
    <xf numFmtId="164" fontId="21" fillId="37" borderId="10" xfId="0" applyNumberFormat="1" applyFont="1" applyFill="1" applyBorder="1" applyAlignment="1"/>
    <xf numFmtId="0" fontId="21" fillId="38" borderId="13" xfId="0" applyNumberFormat="1" applyFont="1" applyFill="1" applyBorder="1" applyAlignment="1">
      <alignment horizontal="centerContinuous"/>
    </xf>
    <xf numFmtId="0" fontId="3" fillId="38" borderId="14" xfId="0" applyNumberFormat="1" applyFont="1" applyFill="1" applyBorder="1" applyAlignment="1">
      <alignment horizontal="centerContinuous"/>
    </xf>
    <xf numFmtId="0" fontId="3" fillId="38" borderId="11" xfId="0" applyNumberFormat="1" applyFont="1" applyFill="1" applyBorder="1" applyAlignment="1">
      <alignment horizontal="centerContinuous"/>
    </xf>
    <xf numFmtId="0" fontId="21" fillId="37" borderId="13" xfId="0" applyNumberFormat="1" applyFont="1" applyFill="1" applyBorder="1"/>
    <xf numFmtId="0" fontId="21" fillId="37" borderId="11" xfId="0" applyNumberFormat="1" applyFont="1" applyFill="1" applyBorder="1"/>
    <xf numFmtId="0" fontId="21" fillId="37" borderId="13" xfId="0" applyNumberFormat="1" applyFont="1" applyFill="1" applyBorder="1" applyAlignment="1"/>
    <xf numFmtId="164" fontId="2" fillId="37" borderId="13" xfId="0" applyNumberFormat="1" applyFont="1" applyFill="1" applyBorder="1"/>
    <xf numFmtId="0" fontId="2" fillId="0" borderId="10" xfId="0" applyNumberFormat="1" applyFont="1" applyBorder="1" applyAlignment="1">
      <alignment horizontal="center"/>
    </xf>
    <xf numFmtId="43" fontId="2" fillId="0" borderId="10" xfId="0" applyNumberFormat="1" applyFont="1" applyBorder="1" applyAlignment="1">
      <alignment horizontal="right"/>
    </xf>
    <xf numFmtId="0" fontId="2" fillId="37" borderId="11" xfId="0" applyNumberFormat="1" applyFont="1" applyFill="1" applyBorder="1"/>
    <xf numFmtId="0" fontId="2" fillId="0" borderId="0" xfId="0" applyNumberFormat="1" applyFont="1"/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right"/>
    </xf>
    <xf numFmtId="0" fontId="32" fillId="0" borderId="10" xfId="0" applyFont="1" applyBorder="1"/>
    <xf numFmtId="0" fontId="2" fillId="35" borderId="11" xfId="0" applyNumberFormat="1" applyFont="1" applyFill="1" applyBorder="1" applyAlignment="1">
      <alignment horizontal="center"/>
    </xf>
    <xf numFmtId="0" fontId="21" fillId="0" borderId="13" xfId="0" applyNumberFormat="1" applyFont="1" applyBorder="1" applyAlignment="1"/>
    <xf numFmtId="0" fontId="2" fillId="0" borderId="11" xfId="0" applyNumberFormat="1" applyFont="1" applyBorder="1" applyAlignment="1"/>
    <xf numFmtId="0" fontId="2" fillId="0" borderId="0" xfId="0" applyNumberFormat="1" applyFont="1" applyAlignment="1"/>
    <xf numFmtId="0" fontId="2" fillId="37" borderId="11" xfId="0" applyNumberFormat="1" applyFont="1" applyFill="1" applyBorder="1" applyAlignment="1"/>
    <xf numFmtId="0" fontId="33" fillId="36" borderId="11" xfId="0" applyNumberFormat="1" applyFont="1" applyFill="1" applyBorder="1" applyAlignment="1"/>
    <xf numFmtId="164" fontId="21" fillId="38" borderId="10" xfId="0" applyNumberFormat="1" applyFont="1" applyFill="1" applyBorder="1" applyAlignment="1"/>
    <xf numFmtId="168" fontId="21" fillId="38" borderId="10" xfId="0" applyNumberFormat="1" applyFont="1" applyFill="1" applyBorder="1" applyAlignment="1"/>
    <xf numFmtId="0" fontId="21" fillId="38" borderId="13" xfId="0" applyNumberFormat="1" applyFont="1" applyFill="1" applyBorder="1" applyAlignment="1"/>
    <xf numFmtId="0" fontId="2" fillId="38" borderId="11" xfId="0" applyNumberFormat="1" applyFont="1" applyFill="1" applyBorder="1" applyAlignment="1"/>
    <xf numFmtId="167" fontId="29" fillId="38" borderId="10" xfId="0" applyNumberFormat="1" applyFont="1" applyFill="1" applyBorder="1"/>
    <xf numFmtId="0" fontId="3" fillId="38" borderId="11" xfId="0" applyNumberFormat="1" applyFont="1" applyFill="1" applyBorder="1" applyAlignment="1"/>
    <xf numFmtId="0" fontId="34" fillId="36" borderId="13" xfId="45" applyNumberFormat="1" applyFont="1" applyFill="1" applyBorder="1" applyAlignment="1" applyProtection="1"/>
    <xf numFmtId="167" fontId="30" fillId="0" borderId="10" xfId="0" applyNumberFormat="1" applyFont="1" applyBorder="1"/>
    <xf numFmtId="0" fontId="3" fillId="38" borderId="14" xfId="0" applyNumberFormat="1" applyFont="1" applyFill="1" applyBorder="1" applyAlignment="1"/>
    <xf numFmtId="0" fontId="30" fillId="35" borderId="15" xfId="0" applyFont="1" applyFill="1" applyBorder="1" applyAlignment="1"/>
    <xf numFmtId="0" fontId="3" fillId="35" borderId="16" xfId="0" applyNumberFormat="1" applyFont="1" applyFill="1" applyBorder="1" applyAlignment="1"/>
    <xf numFmtId="0" fontId="3" fillId="35" borderId="17" xfId="0" applyNumberFormat="1" applyFont="1" applyFill="1" applyBorder="1" applyAlignment="1"/>
    <xf numFmtId="0" fontId="30" fillId="35" borderId="18" xfId="0" applyFont="1" applyFill="1" applyBorder="1" applyAlignment="1"/>
    <xf numFmtId="0" fontId="3" fillId="35" borderId="0" xfId="0" applyNumberFormat="1" applyFont="1" applyFill="1" applyBorder="1" applyAlignment="1"/>
    <xf numFmtId="0" fontId="3" fillId="35" borderId="19" xfId="0" applyNumberFormat="1" applyFont="1" applyFill="1" applyBorder="1" applyAlignment="1"/>
    <xf numFmtId="0" fontId="30" fillId="35" borderId="18" xfId="0" applyNumberFormat="1" applyFont="1" applyFill="1" applyBorder="1" applyAlignment="1"/>
    <xf numFmtId="0" fontId="30" fillId="35" borderId="18" xfId="0" applyFont="1" applyFill="1" applyBorder="1"/>
    <xf numFmtId="0" fontId="3" fillId="35" borderId="18" xfId="0" applyNumberFormat="1" applyFont="1" applyFill="1" applyBorder="1" applyAlignment="1"/>
    <xf numFmtId="0" fontId="30" fillId="35" borderId="20" xfId="0" applyNumberFormat="1" applyFont="1" applyFill="1" applyBorder="1" applyAlignment="1"/>
    <xf numFmtId="0" fontId="3" fillId="35" borderId="21" xfId="0" applyNumberFormat="1" applyFont="1" applyFill="1" applyBorder="1" applyAlignment="1"/>
    <xf numFmtId="0" fontId="3" fillId="35" borderId="12" xfId="0" applyNumberFormat="1" applyFont="1" applyFill="1" applyBorder="1" applyAlignment="1"/>
    <xf numFmtId="164" fontId="22" fillId="39" borderId="10" xfId="58" applyNumberFormat="1" applyFill="1" applyBorder="1" applyAlignment="1"/>
    <xf numFmtId="164" fontId="3" fillId="39" borderId="10" xfId="0" applyNumberFormat="1" applyFont="1" applyFill="1" applyBorder="1"/>
    <xf numFmtId="0" fontId="24" fillId="39" borderId="10" xfId="58" applyFont="1" applyFill="1" applyBorder="1" applyAlignment="1" applyProtection="1">
      <alignment horizontal="center" vertical="center" wrapText="1"/>
    </xf>
    <xf numFmtId="0" fontId="1" fillId="0" borderId="0" xfId="0" applyNumberFormat="1" applyFont="1"/>
    <xf numFmtId="0" fontId="35" fillId="0" borderId="13" xfId="42" applyFont="1" applyBorder="1" applyAlignment="1"/>
    <xf numFmtId="164" fontId="26" fillId="33" borderId="10" xfId="0" applyNumberFormat="1" applyFont="1" applyFill="1" applyBorder="1" applyAlignment="1">
      <alignment horizontal="right"/>
    </xf>
    <xf numFmtId="0" fontId="3" fillId="0" borderId="11" xfId="0" applyNumberFormat="1" applyFont="1" applyBorder="1" applyAlignment="1">
      <alignment horizontal="right"/>
    </xf>
    <xf numFmtId="0" fontId="37" fillId="33" borderId="10" xfId="0" applyNumberFormat="1" applyFont="1" applyFill="1" applyBorder="1" applyAlignment="1"/>
    <xf numFmtId="0" fontId="36" fillId="38" borderId="13" xfId="0" applyNumberFormat="1" applyFont="1" applyFill="1" applyBorder="1" applyAlignment="1">
      <alignment horizontal="centerContinuous"/>
    </xf>
    <xf numFmtId="0" fontId="32" fillId="38" borderId="14" xfId="0" applyNumberFormat="1" applyFont="1" applyFill="1" applyBorder="1" applyAlignment="1">
      <alignment horizontal="centerContinuous"/>
    </xf>
    <xf numFmtId="0" fontId="32" fillId="38" borderId="11" xfId="0" applyNumberFormat="1" applyFont="1" applyFill="1" applyBorder="1" applyAlignment="1">
      <alignment horizontal="centerContinuous"/>
    </xf>
    <xf numFmtId="0" fontId="3" fillId="35" borderId="10" xfId="0" applyNumberFormat="1" applyFont="1" applyFill="1" applyBorder="1" applyAlignment="1">
      <alignment horizontal="center"/>
    </xf>
    <xf numFmtId="164" fontId="3" fillId="0" borderId="0" xfId="0" applyNumberFormat="1" applyFont="1" applyAlignment="1"/>
    <xf numFmtId="43" fontId="36" fillId="35" borderId="10" xfId="0" applyNumberFormat="1" applyFont="1" applyFill="1" applyBorder="1" applyAlignment="1">
      <alignment horizontal="right"/>
    </xf>
    <xf numFmtId="3" fontId="30" fillId="0" borderId="10" xfId="0" applyNumberFormat="1" applyFont="1" applyBorder="1"/>
    <xf numFmtId="3" fontId="30" fillId="0" borderId="0" xfId="0" applyNumberFormat="1" applyFont="1"/>
    <xf numFmtId="0" fontId="21" fillId="37" borderId="10" xfId="0" applyNumberFormat="1" applyFont="1" applyFill="1" applyBorder="1"/>
    <xf numFmtId="168" fontId="22" fillId="39" borderId="10" xfId="58" applyNumberFormat="1" applyFill="1" applyBorder="1" applyAlignment="1"/>
    <xf numFmtId="168" fontId="3" fillId="39" borderId="10" xfId="0" applyNumberFormat="1" applyFont="1" applyFill="1" applyBorder="1"/>
    <xf numFmtId="0" fontId="31" fillId="39" borderId="13" xfId="0" applyFont="1" applyFill="1" applyBorder="1"/>
    <xf numFmtId="0" fontId="29" fillId="39" borderId="14" xfId="0" applyNumberFormat="1" applyFont="1" applyFill="1" applyBorder="1"/>
    <xf numFmtId="0" fontId="29" fillId="39" borderId="11" xfId="0" applyNumberFormat="1" applyFont="1" applyFill="1" applyBorder="1"/>
    <xf numFmtId="0" fontId="21" fillId="39" borderId="13" xfId="0" applyNumberFormat="1" applyFont="1" applyFill="1" applyBorder="1"/>
    <xf numFmtId="0" fontId="3" fillId="39" borderId="14" xfId="0" applyNumberFormat="1" applyFont="1" applyFill="1" applyBorder="1"/>
    <xf numFmtId="0" fontId="3" fillId="39" borderId="11" xfId="0" applyNumberFormat="1" applyFont="1" applyFill="1" applyBorder="1"/>
    <xf numFmtId="164" fontId="3" fillId="34" borderId="10" xfId="0" applyNumberFormat="1" applyFont="1" applyFill="1" applyBorder="1"/>
  </cellXfs>
  <cellStyles count="10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7"/>
    <cellStyle name="Comma 3" xfId="52"/>
    <cellStyle name="Comma 4" xfId="43"/>
    <cellStyle name="Currency 2" xfId="5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5" builtinId="8"/>
    <cellStyle name="Hyperlink 2" xfId="49"/>
    <cellStyle name="Hyperlink 2 2" xfId="56"/>
    <cellStyle name="Hyperlink 2 2 2" xfId="94"/>
    <cellStyle name="Hyperlink 2 2 3" xfId="90"/>
    <cellStyle name="Hyperlink 2 3" xfId="76"/>
    <cellStyle name="Hyperlink 2_StockSearch" xfId="55"/>
    <cellStyle name="Hyperlink 3" xfId="57"/>
    <cellStyle name="Hyperlink 3 2" xfId="95"/>
    <cellStyle name="Hyperlink 3 3" xfId="88"/>
    <cellStyle name="Hyperlink 4" xfId="74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8"/>
    <cellStyle name="Normal 10 2" xfId="96"/>
    <cellStyle name="Normal 10 3" xfId="83"/>
    <cellStyle name="Normal 11" xfId="59"/>
    <cellStyle name="Normal 12" xfId="93"/>
    <cellStyle name="Normal 13" xfId="42"/>
    <cellStyle name="Normal 2" xfId="46"/>
    <cellStyle name="Normal 2 2" xfId="61"/>
    <cellStyle name="Normal 2 2 2" xfId="97"/>
    <cellStyle name="Normal 2 2 3" xfId="89"/>
    <cellStyle name="Normal 2 3" xfId="75"/>
    <cellStyle name="Normal 2_StockSearch" xfId="60"/>
    <cellStyle name="Normal 3" xfId="50"/>
    <cellStyle name="Normal 3 2" xfId="62"/>
    <cellStyle name="Normal 3 2 2" xfId="98"/>
    <cellStyle name="Normal 3 2 3" xfId="91"/>
    <cellStyle name="Normal 3 3" xfId="77"/>
    <cellStyle name="Normal 4" xfId="51"/>
    <cellStyle name="Normal 4 2" xfId="64"/>
    <cellStyle name="Normal 4 2 2" xfId="99"/>
    <cellStyle name="Normal 4 2 3" xfId="92"/>
    <cellStyle name="Normal 4 3" xfId="78"/>
    <cellStyle name="Normal 4_StockSearch" xfId="63"/>
    <cellStyle name="Normal 5" xfId="53"/>
    <cellStyle name="Normal 5 2" xfId="65"/>
    <cellStyle name="Normal 5 3" xfId="79"/>
    <cellStyle name="Normal 5_SUMM" xfId="66"/>
    <cellStyle name="Normal 6" xfId="67"/>
    <cellStyle name="Normal 6 2" xfId="100"/>
    <cellStyle name="Normal 6 3" xfId="80"/>
    <cellStyle name="Normal 7" xfId="68"/>
    <cellStyle name="Normal 7 2" xfId="101"/>
    <cellStyle name="Normal 7 3" xfId="81"/>
    <cellStyle name="Normal 8" xfId="69"/>
    <cellStyle name="Normal 8 2" xfId="70"/>
    <cellStyle name="Normal 8 2 2" xfId="103"/>
    <cellStyle name="Normal 8 2 3" xfId="85"/>
    <cellStyle name="Normal 8 3" xfId="71"/>
    <cellStyle name="Normal 8 3 2" xfId="104"/>
    <cellStyle name="Normal 8 3 3" xfId="86"/>
    <cellStyle name="Normal 8 4" xfId="102"/>
    <cellStyle name="Normal 8 5" xfId="82"/>
    <cellStyle name="Normal 9" xfId="72"/>
    <cellStyle name="Normal 9 2" xfId="73"/>
    <cellStyle name="Normal 9 2 2" xfId="106"/>
    <cellStyle name="Normal 9 2 3" xfId="87"/>
    <cellStyle name="Normal 9 3" xfId="105"/>
    <cellStyle name="Normal 9 4" xfId="84"/>
    <cellStyle name="Note" xfId="15" builtinId="10" customBuiltin="1"/>
    <cellStyle name="Output" xfId="10" builtinId="21" customBuiltin="1"/>
    <cellStyle name="Percent 2" xfId="48"/>
    <cellStyle name="Percent 3" xfId="44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  <color rgb="FF00FFFF"/>
      <color rgb="FF3333FF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53340</xdr:colOff>
      <xdr:row>2</xdr:row>
      <xdr:rowOff>76200</xdr:rowOff>
    </xdr:from>
    <xdr:to>
      <xdr:col>18</xdr:col>
      <xdr:colOff>358140</xdr:colOff>
      <xdr:row>4</xdr:row>
      <xdr:rowOff>53340</xdr:rowOff>
    </xdr:to>
    <xdr:sp macro="[0]!ClearDividendData" textlink="">
      <xdr:nvSpPr>
        <xdr:cNvPr id="2" name="Rounded Rectangle 1"/>
        <xdr:cNvSpPr/>
      </xdr:nvSpPr>
      <xdr:spPr>
        <a:xfrm>
          <a:off x="11338560" y="441960"/>
          <a:ext cx="1524000" cy="3276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schemeClr val="tx1">
              <a:alpha val="40000"/>
            </a:schemeClr>
          </a:outerShdw>
        </a:effectLst>
        <a:scene3d>
          <a:camera prst="orthographicFront"/>
          <a:lightRig rig="soft" dir="t"/>
        </a:scene3d>
        <a:sp3d prstMaterial="dkEdge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36000" tIns="36000" rIns="36000" bIns="36000" rtlCol="0" anchor="ctr" anchorCtr="1"/>
        <a:lstStyle/>
        <a:p>
          <a:pPr algn="ctr"/>
          <a:r>
            <a:rPr lang="en-CA" sz="1400" b="1">
              <a:solidFill>
                <a:sysClr val="windowText" lastClr="000000"/>
              </a:solidFill>
              <a:latin typeface="Arial Narrow" pitchFamily="34" charset="0"/>
              <a:cs typeface="Arial" pitchFamily="34" charset="0"/>
            </a:rPr>
            <a:t>Clear</a:t>
          </a:r>
          <a:r>
            <a:rPr lang="en-CA" sz="1400" b="1" baseline="0">
              <a:solidFill>
                <a:sysClr val="windowText" lastClr="000000"/>
              </a:solidFill>
              <a:latin typeface="Arial Narrow" pitchFamily="34" charset="0"/>
              <a:cs typeface="Arial" pitchFamily="34" charset="0"/>
            </a:rPr>
            <a:t> Dividend Data</a:t>
          </a:r>
        </a:p>
      </xdr:txBody>
    </xdr:sp>
    <xdr:clientData/>
  </xdr:twoCellAnchor>
  <xdr:twoCellAnchor>
    <xdr:from>
      <xdr:col>18</xdr:col>
      <xdr:colOff>472440</xdr:colOff>
      <xdr:row>2</xdr:row>
      <xdr:rowOff>68580</xdr:rowOff>
    </xdr:from>
    <xdr:to>
      <xdr:col>19</xdr:col>
      <xdr:colOff>548640</xdr:colOff>
      <xdr:row>4</xdr:row>
      <xdr:rowOff>45720</xdr:rowOff>
    </xdr:to>
    <xdr:sp macro="[0]!Calc" textlink="">
      <xdr:nvSpPr>
        <xdr:cNvPr id="3" name="Rounded Rectangle 2"/>
        <xdr:cNvSpPr/>
      </xdr:nvSpPr>
      <xdr:spPr>
        <a:xfrm>
          <a:off x="12976860" y="434340"/>
          <a:ext cx="685800" cy="327660"/>
        </a:xfrm>
        <a:prstGeom prst="roundRect">
          <a:avLst/>
        </a:prstGeom>
        <a:solidFill>
          <a:srgbClr val="92D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CA" sz="14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Calc</a:t>
          </a:r>
          <a:endParaRPr lang="en-CA" sz="11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MF\RCH_Stock_Market_Functions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smfDate2Unix"/>
      <definedName name="smfGetCSVFile"/>
      <definedName name="smfGetYahooPortfolioView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528"/>
  <sheetViews>
    <sheetView tabSelected="1" zoomScale="110" zoomScaleNormal="11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H1" sqref="H1"/>
    </sheetView>
  </sheetViews>
  <sheetFormatPr defaultRowHeight="13.2"/>
  <cols>
    <col min="1" max="1" width="9.88671875" style="1" customWidth="1"/>
    <col min="2" max="2" width="10.44140625" style="3" bestFit="1" customWidth="1"/>
    <col min="3" max="5" width="10.33203125" style="2" customWidth="1"/>
    <col min="6" max="6" width="9.6640625" style="2" customWidth="1"/>
    <col min="7" max="7" width="10" style="2" customWidth="1"/>
    <col min="8" max="8" width="11" style="1" bestFit="1" customWidth="1"/>
    <col min="9" max="10" width="9.21875" style="1" customWidth="1"/>
    <col min="11" max="13" width="12.77734375" style="9" customWidth="1"/>
    <col min="14" max="14" width="5.33203125" style="1" customWidth="1"/>
    <col min="15" max="15" width="9.6640625" style="1" customWidth="1"/>
    <col min="16" max="16384" width="8.88671875" style="1"/>
  </cols>
  <sheetData>
    <row r="1" spans="1:20" ht="14.4">
      <c r="A1" s="80">
        <f>[1]!smfGetYahooPortfolioView(Ticker,"78")</f>
        <v>44929</v>
      </c>
      <c r="B1" s="63" t="str">
        <f>"Closing Price Lookup "&amp;Ticker&amp;" "&amp;$K$1</f>
        <v>Closing Price Lookup MSFT Microsoft Corporation</v>
      </c>
      <c r="C1" s="64"/>
      <c r="D1" s="64"/>
      <c r="E1" s="64"/>
      <c r="F1" s="65"/>
      <c r="H1" s="62" t="s">
        <v>29</v>
      </c>
      <c r="I1" s="59" t="s">
        <v>25</v>
      </c>
      <c r="J1" s="5"/>
      <c r="K1" s="36" t="str">
        <f>[1]!smfGetYahooPortfolioView(Ticker,"02")</f>
        <v>Microsoft Corporation</v>
      </c>
      <c r="L1" s="42"/>
      <c r="M1" s="39"/>
      <c r="O1" s="57" t="s">
        <v>4</v>
      </c>
      <c r="P1" s="57" t="s">
        <v>2</v>
      </c>
      <c r="Q1" s="77" t="s">
        <v>24</v>
      </c>
      <c r="R1" s="78"/>
      <c r="S1" s="78"/>
      <c r="T1" s="79"/>
    </row>
    <row r="2" spans="1:20" ht="14.4">
      <c r="B2" s="29" t="s">
        <v>28</v>
      </c>
      <c r="C2" s="61"/>
      <c r="D2" s="60">
        <v>43454</v>
      </c>
      <c r="E2" s="66" t="str">
        <f>IF(D2="","",TEXT($D$2,"dddd"))</f>
        <v>Thursday</v>
      </c>
      <c r="F2" s="68">
        <f ca="1">IFERROR(IF($D$2="","",INDEX($F:$F,MATCH($D$2,$A:$A,0))),"Invalid")</f>
        <v>101.510002</v>
      </c>
      <c r="H2" s="62"/>
      <c r="I2" s="59" t="s">
        <v>26</v>
      </c>
      <c r="J2" s="5"/>
      <c r="K2" s="40" t="str">
        <f>HYPERLINK(IF(Ticker&lt;&gt;"","https://ca.finance.yahoo.com/quote/"&amp;Ticker&amp;"/history","https://finance.yahoo.com/"),"Yahoo Finance "&amp;Ticker)</f>
        <v>Yahoo Finance MSFT</v>
      </c>
      <c r="L2" s="33"/>
      <c r="M2" s="7" t="s">
        <v>6</v>
      </c>
      <c r="O2" s="55">
        <v>37671</v>
      </c>
      <c r="P2" s="72">
        <v>0.08</v>
      </c>
      <c r="Q2" s="10" t="s">
        <v>29</v>
      </c>
      <c r="R2" s="74" t="s">
        <v>11</v>
      </c>
      <c r="S2" s="75"/>
      <c r="T2" s="76"/>
    </row>
    <row r="3" spans="1:20" ht="14.4">
      <c r="D3" s="2" t="str">
        <f ca="1">TEXT(DAY(A197),"ddd")</f>
        <v>Sat</v>
      </c>
      <c r="N3" s="8"/>
      <c r="O3" s="56">
        <v>37909</v>
      </c>
      <c r="P3" s="73">
        <v>0.16</v>
      </c>
      <c r="Q3"/>
      <c r="R3"/>
    </row>
    <row r="4" spans="1:20">
      <c r="B4" s="14" t="s">
        <v>5</v>
      </c>
      <c r="C4" s="15"/>
      <c r="D4" s="15"/>
      <c r="E4" s="15"/>
      <c r="F4" s="15"/>
      <c r="G4" s="15"/>
      <c r="H4" s="16"/>
      <c r="I4" s="71" t="str">
        <f>IF(Q2="","--",Q2)</f>
        <v>MSFT</v>
      </c>
      <c r="J4" s="28" t="str">
        <f>TEXT(Start_Date,"dddd")</f>
        <v>Thursday</v>
      </c>
      <c r="K4" s="12">
        <f>IF(DATE(YEAR($K$9)-10, MONTH($K$9), DAY($K$9))=7,DATE(YEAR($K$9)-10, MONTH($K$9), DAY($K$9)-1),IF(DATE(YEAR($K$9)-10, MONTH($K$9), DAY($K$9))=1,DATE(YEAR($K$9)-10, MONTH($K$9), DAY($K$9)-2),DATE(YEAR($K$9)-10, MONTH($K$9), DAY($K$9))))</f>
        <v>41277</v>
      </c>
      <c r="L4" s="29" t="s">
        <v>8</v>
      </c>
      <c r="M4" s="30"/>
      <c r="O4" s="56">
        <v>38222</v>
      </c>
      <c r="P4" s="73">
        <v>0.08</v>
      </c>
    </row>
    <row r="5" spans="1:20">
      <c r="A5" s="17" t="s">
        <v>3</v>
      </c>
      <c r="B5" s="4" t="str">
        <f t="array" aca="1" ref="B5:H2526" ca="1">[1]!smfGetCSVFile("https://query1.finance.yahoo.com/v7/finance/download/"&amp;Ticker&amp;"?period1="&amp;[1]!smfDate2Unix(Start_Date)&amp;"&amp;period2="&amp;[1]!smfDate2Unix(End_Date)&amp;"&amp;interval="&amp;Interval&amp;"&amp;events=history&amp;includeAdjustedClose=true",,CHOOSE(MATCH(Interval,{"1d","1wk","1mo"},0),252/365.25,1/7,12/365)*(End_Date-Start_Date)+2,7)</f>
        <v>Date</v>
      </c>
      <c r="C5" s="11" t="str">
        <f ca="1"/>
        <v>Open</v>
      </c>
      <c r="D5" s="11" t="str">
        <f ca="1"/>
        <v>High</v>
      </c>
      <c r="E5" s="11" t="str">
        <f ca="1"/>
        <v>Low</v>
      </c>
      <c r="F5" s="11" t="str">
        <f ca="1"/>
        <v>Close</v>
      </c>
      <c r="G5" s="11" t="str">
        <f ca="1"/>
        <v>Adj Close</v>
      </c>
      <c r="H5" s="11" t="str">
        <f ca="1"/>
        <v>Volume</v>
      </c>
      <c r="I5" s="18" t="s">
        <v>2</v>
      </c>
      <c r="J5" s="28" t="str">
        <f ca="1">TEXT(End_Date,"dddd")</f>
        <v>Tuesday</v>
      </c>
      <c r="K5" s="12">
        <f ca="1">IF(TODAY()=7,TODAY()-1,IF(TODAY()=1,TODAY()-2,TODAY()))</f>
        <v>44929</v>
      </c>
      <c r="L5" s="29" t="s">
        <v>7</v>
      </c>
      <c r="M5" s="30"/>
      <c r="O5" s="56">
        <v>38306</v>
      </c>
      <c r="P5" s="73">
        <v>3.08</v>
      </c>
    </row>
    <row r="6" spans="1:20" ht="13.8">
      <c r="A6" s="20">
        <f t="shared" ref="A6:A69" ca="1" si="0">IFERROR(DATEVALUE($B6),"--")</f>
        <v>41277</v>
      </c>
      <c r="B6" s="21" t="str">
        <f ca="1"/>
        <v>2013-01-03</v>
      </c>
      <c r="C6" s="22">
        <f ca="1"/>
        <v>27.629999000000002</v>
      </c>
      <c r="D6" s="22">
        <f ca="1"/>
        <v>27.65</v>
      </c>
      <c r="E6" s="22">
        <f ca="1"/>
        <v>27.16</v>
      </c>
      <c r="F6" s="22">
        <f ca="1"/>
        <v>27.25</v>
      </c>
      <c r="G6" s="22">
        <f ca="1"/>
        <v>22.469597</v>
      </c>
      <c r="H6" s="69">
        <f ca="1"/>
        <v>48294400</v>
      </c>
      <c r="I6" s="23" t="str">
        <f t="shared" ref="I6:I69" ca="1" si="1">IFERROR(IF(Ticker&lt;&gt;$Q$2,"",INDEX($P:$P,MATCH($A6,$O:$O,0))),"")</f>
        <v/>
      </c>
      <c r="J6" s="24"/>
      <c r="K6" s="11" t="s">
        <v>0</v>
      </c>
      <c r="L6" s="29" t="s">
        <v>1</v>
      </c>
      <c r="M6" s="30"/>
      <c r="O6" s="56">
        <v>38398</v>
      </c>
      <c r="P6" s="73">
        <v>0.08</v>
      </c>
    </row>
    <row r="7" spans="1:20" ht="13.8">
      <c r="A7" s="20">
        <f t="shared" ca="1" si="0"/>
        <v>41278</v>
      </c>
      <c r="B7" s="21" t="str">
        <f ca="1"/>
        <v>2013-01-04</v>
      </c>
      <c r="C7" s="22">
        <f ca="1"/>
        <v>27.27</v>
      </c>
      <c r="D7" s="22">
        <f ca="1"/>
        <v>27.34</v>
      </c>
      <c r="E7" s="22">
        <f ca="1"/>
        <v>26.73</v>
      </c>
      <c r="F7" s="22">
        <f ca="1"/>
        <v>26.74</v>
      </c>
      <c r="G7" s="22">
        <f ca="1"/>
        <v>22.049063</v>
      </c>
      <c r="H7" s="69">
        <f ca="1"/>
        <v>52521100</v>
      </c>
      <c r="I7" s="23" t="str">
        <f t="shared" ca="1" si="1"/>
        <v/>
      </c>
      <c r="J7" s="24"/>
      <c r="N7" s="8"/>
      <c r="O7" s="56">
        <v>38488</v>
      </c>
      <c r="P7" s="73">
        <v>0.08</v>
      </c>
    </row>
    <row r="8" spans="1:20" ht="13.8">
      <c r="A8" s="20">
        <f t="shared" ca="1" si="0"/>
        <v>41281</v>
      </c>
      <c r="B8" s="21" t="str">
        <f ca="1"/>
        <v>2013-01-07</v>
      </c>
      <c r="C8" s="22">
        <f ca="1"/>
        <v>26.77</v>
      </c>
      <c r="D8" s="22">
        <f ca="1"/>
        <v>26.879999000000002</v>
      </c>
      <c r="E8" s="22">
        <f ca="1"/>
        <v>26.639999</v>
      </c>
      <c r="F8" s="22">
        <f ca="1"/>
        <v>26.690000999999999</v>
      </c>
      <c r="G8" s="22">
        <f ca="1"/>
        <v>22.007833000000002</v>
      </c>
      <c r="H8" s="69">
        <f ca="1"/>
        <v>37110400</v>
      </c>
      <c r="I8" s="23" t="str">
        <f t="shared" ca="1" si="1"/>
        <v/>
      </c>
      <c r="J8" s="24"/>
      <c r="K8" s="36" t="s">
        <v>14</v>
      </c>
      <c r="L8" s="37"/>
      <c r="M8" s="31"/>
      <c r="N8" s="6"/>
      <c r="O8" s="56">
        <v>38579</v>
      </c>
      <c r="P8" s="73">
        <v>0.08</v>
      </c>
    </row>
    <row r="9" spans="1:20" ht="14.4">
      <c r="A9" s="20">
        <f t="shared" ca="1" si="0"/>
        <v>41282</v>
      </c>
      <c r="B9" s="21" t="str">
        <f ca="1"/>
        <v>2013-01-08</v>
      </c>
      <c r="C9" s="22">
        <f ca="1"/>
        <v>26.75</v>
      </c>
      <c r="D9" s="22">
        <f ca="1"/>
        <v>26.790001</v>
      </c>
      <c r="E9" s="22">
        <f ca="1"/>
        <v>26.459999</v>
      </c>
      <c r="F9" s="22">
        <f ca="1"/>
        <v>26.549999</v>
      </c>
      <c r="G9" s="22">
        <f ca="1"/>
        <v>21.892391</v>
      </c>
      <c r="H9" s="69">
        <f ca="1"/>
        <v>44703100</v>
      </c>
      <c r="I9" s="23" t="str">
        <f t="shared" ca="1" si="1"/>
        <v/>
      </c>
      <c r="J9" s="24"/>
      <c r="K9" s="34">
        <f>[1]!smfGetYahooPortfolioView(Ticker,"78")</f>
        <v>44929</v>
      </c>
      <c r="L9" s="38">
        <f>[1]!smfGetYahooPortfolioView(Ticker,"79")</f>
        <v>0.6667129629666666</v>
      </c>
      <c r="N9" s="6"/>
      <c r="O9" s="56">
        <v>38671</v>
      </c>
      <c r="P9" s="73">
        <v>0.08</v>
      </c>
    </row>
    <row r="10" spans="1:20" ht="13.8">
      <c r="A10" s="20">
        <f t="shared" ca="1" si="0"/>
        <v>41283</v>
      </c>
      <c r="B10" s="21" t="str">
        <f ca="1"/>
        <v>2013-01-09</v>
      </c>
      <c r="C10" s="22">
        <f ca="1"/>
        <v>26.719999000000001</v>
      </c>
      <c r="D10" s="22">
        <f ca="1"/>
        <v>26.75</v>
      </c>
      <c r="E10" s="22">
        <f ca="1"/>
        <v>26.559999000000001</v>
      </c>
      <c r="F10" s="22">
        <f ca="1"/>
        <v>26.700001</v>
      </c>
      <c r="G10" s="22">
        <f ca="1"/>
        <v>22.016076999999999</v>
      </c>
      <c r="H10" s="69">
        <f ca="1"/>
        <v>49047900</v>
      </c>
      <c r="I10" s="23" t="str">
        <f t="shared" ca="1" si="1"/>
        <v/>
      </c>
      <c r="J10" s="24"/>
      <c r="K10" s="34">
        <f ca="1">MAX(A5:A2526)</f>
        <v>44924</v>
      </c>
      <c r="L10" s="36" t="s">
        <v>12</v>
      </c>
      <c r="M10" s="37"/>
      <c r="N10" s="6"/>
      <c r="O10" s="56">
        <v>38763</v>
      </c>
      <c r="P10" s="73">
        <v>0.09</v>
      </c>
      <c r="R10" s="58"/>
    </row>
    <row r="11" spans="1:20" ht="13.8">
      <c r="A11" s="20">
        <f t="shared" ca="1" si="0"/>
        <v>41284</v>
      </c>
      <c r="B11" s="21" t="str">
        <f ca="1"/>
        <v>2013-01-10</v>
      </c>
      <c r="C11" s="22">
        <f ca="1"/>
        <v>26.65</v>
      </c>
      <c r="D11" s="22">
        <f ca="1"/>
        <v>26.98</v>
      </c>
      <c r="E11" s="22">
        <f ca="1"/>
        <v>26.290001</v>
      </c>
      <c r="F11" s="22">
        <f ca="1"/>
        <v>26.459999</v>
      </c>
      <c r="G11" s="22">
        <f ca="1"/>
        <v>21.818186000000001</v>
      </c>
      <c r="H11" s="69">
        <f ca="1"/>
        <v>71431300</v>
      </c>
      <c r="I11" s="23" t="str">
        <f t="shared" ca="1" si="1"/>
        <v/>
      </c>
      <c r="J11" s="24"/>
      <c r="K11" s="13">
        <f ca="1">MIN(A:A)</f>
        <v>41277</v>
      </c>
      <c r="L11" s="19" t="s">
        <v>13</v>
      </c>
      <c r="M11" s="32"/>
      <c r="O11" s="56">
        <v>38852</v>
      </c>
      <c r="P11" s="73">
        <v>0.09</v>
      </c>
    </row>
    <row r="12" spans="1:20" ht="13.8">
      <c r="A12" s="20">
        <f t="shared" ca="1" si="0"/>
        <v>41285</v>
      </c>
      <c r="B12" s="21" t="str">
        <f ca="1"/>
        <v>2013-01-11</v>
      </c>
      <c r="C12" s="22">
        <f ca="1"/>
        <v>26.49</v>
      </c>
      <c r="D12" s="22">
        <f ca="1"/>
        <v>26.93</v>
      </c>
      <c r="E12" s="22">
        <f ca="1"/>
        <v>26.280000999999999</v>
      </c>
      <c r="F12" s="22">
        <f ca="1"/>
        <v>26.83</v>
      </c>
      <c r="G12" s="22">
        <f ca="1"/>
        <v>22.123272</v>
      </c>
      <c r="H12" s="69">
        <f ca="1"/>
        <v>55512100</v>
      </c>
      <c r="I12" s="23" t="str">
        <f t="shared" ca="1" si="1"/>
        <v/>
      </c>
      <c r="J12" s="24"/>
      <c r="K12" s="31"/>
      <c r="L12" s="31"/>
      <c r="M12" s="31"/>
      <c r="O12" s="56">
        <v>38944</v>
      </c>
      <c r="P12" s="73">
        <v>0.09</v>
      </c>
    </row>
    <row r="13" spans="1:20" ht="13.8">
      <c r="A13" s="20">
        <f t="shared" ca="1" si="0"/>
        <v>41288</v>
      </c>
      <c r="B13" s="21" t="str">
        <f ca="1"/>
        <v>2013-01-14</v>
      </c>
      <c r="C13" s="22">
        <f ca="1"/>
        <v>26.9</v>
      </c>
      <c r="D13" s="22">
        <f ca="1"/>
        <v>27.08</v>
      </c>
      <c r="E13" s="22">
        <f ca="1"/>
        <v>26.76</v>
      </c>
      <c r="F13" s="22">
        <f ca="1"/>
        <v>26.889999</v>
      </c>
      <c r="G13" s="22">
        <f ca="1"/>
        <v>22.172743000000001</v>
      </c>
      <c r="H13" s="69">
        <f ca="1"/>
        <v>48324400</v>
      </c>
      <c r="I13" s="23" t="str">
        <f t="shared" ca="1" si="1"/>
        <v/>
      </c>
      <c r="K13" s="36" t="s">
        <v>15</v>
      </c>
      <c r="L13" s="39"/>
      <c r="O13" s="56">
        <v>39035</v>
      </c>
      <c r="P13" s="73">
        <v>0.1</v>
      </c>
    </row>
    <row r="14" spans="1:20" ht="13.8">
      <c r="A14" s="20">
        <f t="shared" ca="1" si="0"/>
        <v>41289</v>
      </c>
      <c r="B14" s="21" t="str">
        <f ca="1"/>
        <v>2013-01-15</v>
      </c>
      <c r="C14" s="22">
        <f ca="1"/>
        <v>26.83</v>
      </c>
      <c r="D14" s="22">
        <f ca="1"/>
        <v>27.290001</v>
      </c>
      <c r="E14" s="22">
        <f ca="1"/>
        <v>26.83</v>
      </c>
      <c r="F14" s="22">
        <f ca="1"/>
        <v>27.209999</v>
      </c>
      <c r="G14" s="22">
        <f ca="1"/>
        <v>22.436609000000001</v>
      </c>
      <c r="H14" s="69">
        <f ca="1"/>
        <v>48244500</v>
      </c>
      <c r="I14" s="23" t="str">
        <f t="shared" ca="1" si="1"/>
        <v/>
      </c>
      <c r="K14" s="34">
        <f>IF(MAX($O:$O)&lt;&gt;0,MAX($O:$O),"--")</f>
        <v>44881</v>
      </c>
      <c r="L14" s="35">
        <f>IFERROR(INDEX($P:$P,MATCH($K$14,$O:$O,0)),"--")</f>
        <v>0.68</v>
      </c>
      <c r="O14" s="56">
        <v>39126</v>
      </c>
      <c r="P14" s="73">
        <v>0.1</v>
      </c>
    </row>
    <row r="15" spans="1:20" ht="13.8">
      <c r="A15" s="20">
        <f t="shared" ca="1" si="0"/>
        <v>41290</v>
      </c>
      <c r="B15" s="21" t="str">
        <f ca="1"/>
        <v>2013-01-16</v>
      </c>
      <c r="C15" s="22">
        <f ca="1"/>
        <v>27.15</v>
      </c>
      <c r="D15" s="22">
        <f ca="1"/>
        <v>27.23</v>
      </c>
      <c r="E15" s="22">
        <f ca="1"/>
        <v>27.01</v>
      </c>
      <c r="F15" s="22">
        <f ca="1"/>
        <v>27.040001</v>
      </c>
      <c r="G15" s="22">
        <f ca="1"/>
        <v>22.296430999999998</v>
      </c>
      <c r="H15" s="69">
        <f ca="1"/>
        <v>41077400</v>
      </c>
      <c r="I15" s="23" t="str">
        <f t="shared" ca="1" si="1"/>
        <v/>
      </c>
      <c r="O15" s="56">
        <v>39217</v>
      </c>
      <c r="P15" s="73">
        <v>0.1</v>
      </c>
    </row>
    <row r="16" spans="1:20" ht="13.8">
      <c r="A16" s="20">
        <f t="shared" ca="1" si="0"/>
        <v>41291</v>
      </c>
      <c r="B16" s="21" t="str">
        <f ca="1"/>
        <v>2013-01-17</v>
      </c>
      <c r="C16" s="22">
        <f ca="1"/>
        <v>27.190000999999999</v>
      </c>
      <c r="D16" s="22">
        <f ca="1"/>
        <v>27.469999000000001</v>
      </c>
      <c r="E16" s="22">
        <f ca="1"/>
        <v>27.059999000000001</v>
      </c>
      <c r="F16" s="22">
        <f ca="1"/>
        <v>27.25</v>
      </c>
      <c r="G16" s="22">
        <f ca="1"/>
        <v>22.469597</v>
      </c>
      <c r="H16" s="69">
        <f ca="1"/>
        <v>51685900</v>
      </c>
      <c r="I16" s="23" t="str">
        <f t="shared" ca="1" si="1"/>
        <v/>
      </c>
      <c r="K16" s="43" t="s">
        <v>38</v>
      </c>
      <c r="L16" s="44"/>
      <c r="M16" s="45"/>
      <c r="O16" s="56">
        <v>39308</v>
      </c>
      <c r="P16" s="73">
        <v>0.1</v>
      </c>
    </row>
    <row r="17" spans="1:16" ht="13.8">
      <c r="A17" s="20">
        <f t="shared" ca="1" si="0"/>
        <v>41292</v>
      </c>
      <c r="B17" s="21" t="str">
        <f ca="1"/>
        <v>2013-01-18</v>
      </c>
      <c r="C17" s="22">
        <f ca="1"/>
        <v>27.1</v>
      </c>
      <c r="D17" s="22">
        <f ca="1"/>
        <v>27.290001</v>
      </c>
      <c r="E17" s="22">
        <f ca="1"/>
        <v>27.040001</v>
      </c>
      <c r="F17" s="22">
        <f ca="1"/>
        <v>27.25</v>
      </c>
      <c r="G17" s="22">
        <f ca="1"/>
        <v>22.469597</v>
      </c>
      <c r="H17" s="69">
        <f ca="1"/>
        <v>52167700</v>
      </c>
      <c r="I17" s="23" t="str">
        <f t="shared" ca="1" si="1"/>
        <v/>
      </c>
      <c r="K17" s="46" t="s">
        <v>39</v>
      </c>
      <c r="L17" s="47"/>
      <c r="M17" s="48"/>
      <c r="O17" s="56">
        <v>39399</v>
      </c>
      <c r="P17" s="73">
        <v>0.11</v>
      </c>
    </row>
    <row r="18" spans="1:16" ht="13.8">
      <c r="A18" s="20">
        <f t="shared" ca="1" si="0"/>
        <v>41296</v>
      </c>
      <c r="B18" s="21" t="str">
        <f ca="1"/>
        <v>2013-01-22</v>
      </c>
      <c r="C18" s="22">
        <f ca="1"/>
        <v>27.299999</v>
      </c>
      <c r="D18" s="22">
        <f ca="1"/>
        <v>27.450001</v>
      </c>
      <c r="E18" s="22">
        <f ca="1"/>
        <v>27</v>
      </c>
      <c r="F18" s="22">
        <f ca="1"/>
        <v>27.15</v>
      </c>
      <c r="G18" s="22">
        <f ca="1"/>
        <v>22.387132999999999</v>
      </c>
      <c r="H18" s="69">
        <f ca="1"/>
        <v>58650600</v>
      </c>
      <c r="I18" s="23" t="str">
        <f t="shared" ca="1" si="1"/>
        <v/>
      </c>
      <c r="K18" s="46" t="s">
        <v>40</v>
      </c>
      <c r="L18" s="47"/>
      <c r="M18" s="48"/>
      <c r="O18" s="56">
        <v>39497</v>
      </c>
      <c r="P18" s="73">
        <v>0.11</v>
      </c>
    </row>
    <row r="19" spans="1:16" ht="13.8">
      <c r="A19" s="20">
        <f t="shared" ca="1" si="0"/>
        <v>41297</v>
      </c>
      <c r="B19" s="21" t="str">
        <f ca="1"/>
        <v>2013-01-23</v>
      </c>
      <c r="C19" s="22">
        <f ca="1"/>
        <v>27.200001</v>
      </c>
      <c r="D19" s="22">
        <f ca="1"/>
        <v>27.639999</v>
      </c>
      <c r="E19" s="22">
        <f ca="1"/>
        <v>27.200001</v>
      </c>
      <c r="F19" s="22">
        <f ca="1"/>
        <v>27.610001</v>
      </c>
      <c r="G19" s="22">
        <f ca="1"/>
        <v>22.766441</v>
      </c>
      <c r="H19" s="69">
        <f ca="1"/>
        <v>50387700</v>
      </c>
      <c r="I19" s="23" t="str">
        <f t="shared" ca="1" si="1"/>
        <v/>
      </c>
      <c r="K19" s="46"/>
      <c r="L19" s="47"/>
      <c r="M19" s="48"/>
      <c r="O19" s="56">
        <v>39581</v>
      </c>
      <c r="P19" s="73">
        <v>0.11</v>
      </c>
    </row>
    <row r="20" spans="1:16" ht="13.8">
      <c r="A20" s="20">
        <f t="shared" ca="1" si="0"/>
        <v>41298</v>
      </c>
      <c r="B20" s="21" t="str">
        <f ca="1"/>
        <v>2013-01-24</v>
      </c>
      <c r="C20" s="22">
        <f ca="1"/>
        <v>27.700001</v>
      </c>
      <c r="D20" s="22">
        <f ca="1"/>
        <v>28.07</v>
      </c>
      <c r="E20" s="22">
        <f ca="1"/>
        <v>27.469999000000001</v>
      </c>
      <c r="F20" s="22">
        <f ca="1"/>
        <v>27.629999000000002</v>
      </c>
      <c r="G20" s="22">
        <f ca="1"/>
        <v>22.782927999999998</v>
      </c>
      <c r="H20" s="69">
        <f ca="1"/>
        <v>101739300</v>
      </c>
      <c r="I20" s="23" t="str">
        <f t="shared" ca="1" si="1"/>
        <v/>
      </c>
      <c r="K20" s="46" t="s">
        <v>30</v>
      </c>
      <c r="L20" s="47"/>
      <c r="M20" s="48"/>
      <c r="O20" s="56">
        <v>39679</v>
      </c>
      <c r="P20" s="73">
        <v>0.11</v>
      </c>
    </row>
    <row r="21" spans="1:16" ht="13.8">
      <c r="A21" s="20">
        <f t="shared" ca="1" si="0"/>
        <v>41299</v>
      </c>
      <c r="B21" s="21" t="str">
        <f ca="1"/>
        <v>2013-01-25</v>
      </c>
      <c r="C21" s="22">
        <f ca="1"/>
        <v>27.58</v>
      </c>
      <c r="D21" s="22">
        <f ca="1"/>
        <v>28.23</v>
      </c>
      <c r="E21" s="22">
        <f ca="1"/>
        <v>27.389999</v>
      </c>
      <c r="F21" s="22">
        <f ca="1"/>
        <v>27.879999000000002</v>
      </c>
      <c r="G21" s="22">
        <f ca="1"/>
        <v>22.989069000000001</v>
      </c>
      <c r="H21" s="69">
        <f ca="1"/>
        <v>81847700</v>
      </c>
      <c r="I21" s="23" t="str">
        <f t="shared" ca="1" si="1"/>
        <v/>
      </c>
      <c r="K21" s="46" t="s">
        <v>31</v>
      </c>
      <c r="L21" s="47"/>
      <c r="M21" s="48"/>
      <c r="O21" s="56">
        <v>39770</v>
      </c>
      <c r="P21" s="73">
        <v>0.13</v>
      </c>
    </row>
    <row r="22" spans="1:16" ht="13.8">
      <c r="A22" s="20">
        <f t="shared" ca="1" si="0"/>
        <v>41302</v>
      </c>
      <c r="B22" s="21" t="str">
        <f ca="1"/>
        <v>2013-01-28</v>
      </c>
      <c r="C22" s="22">
        <f ca="1"/>
        <v>28.01</v>
      </c>
      <c r="D22" s="22">
        <f ca="1"/>
        <v>28.23</v>
      </c>
      <c r="E22" s="22">
        <f ca="1"/>
        <v>27.76</v>
      </c>
      <c r="F22" s="22">
        <f ca="1"/>
        <v>27.91</v>
      </c>
      <c r="G22" s="22">
        <f ca="1"/>
        <v>23.013808999999998</v>
      </c>
      <c r="H22" s="69">
        <f ca="1"/>
        <v>56056500</v>
      </c>
      <c r="I22" s="23" t="str">
        <f t="shared" ca="1" si="1"/>
        <v/>
      </c>
      <c r="K22" s="46" t="s">
        <v>32</v>
      </c>
      <c r="L22" s="47"/>
      <c r="M22" s="48"/>
      <c r="O22" s="56">
        <v>39861</v>
      </c>
      <c r="P22" s="73">
        <v>0.13</v>
      </c>
    </row>
    <row r="23" spans="1:16" ht="13.8">
      <c r="A23" s="20">
        <f t="shared" ca="1" si="0"/>
        <v>41303</v>
      </c>
      <c r="B23" s="21" t="str">
        <f ca="1"/>
        <v>2013-01-29</v>
      </c>
      <c r="C23" s="22">
        <f ca="1"/>
        <v>27.82</v>
      </c>
      <c r="D23" s="22">
        <f ca="1"/>
        <v>28.129999000000002</v>
      </c>
      <c r="E23" s="22">
        <f ca="1"/>
        <v>27.6</v>
      </c>
      <c r="F23" s="22">
        <f ca="1"/>
        <v>28.01</v>
      </c>
      <c r="G23" s="22">
        <f ca="1"/>
        <v>23.096267999999998</v>
      </c>
      <c r="H23" s="69">
        <f ca="1"/>
        <v>49242600</v>
      </c>
      <c r="I23" s="23" t="str">
        <f t="shared" ca="1" si="1"/>
        <v/>
      </c>
      <c r="K23" s="49"/>
      <c r="L23" s="47"/>
      <c r="M23" s="48"/>
      <c r="O23" s="56">
        <v>39952</v>
      </c>
      <c r="P23" s="73">
        <v>0.13</v>
      </c>
    </row>
    <row r="24" spans="1:16" ht="13.8">
      <c r="A24" s="20">
        <f t="shared" ca="1" si="0"/>
        <v>41304</v>
      </c>
      <c r="B24" s="21" t="str">
        <f ca="1"/>
        <v>2013-01-30</v>
      </c>
      <c r="C24" s="22">
        <f ca="1"/>
        <v>28.01</v>
      </c>
      <c r="D24" s="22">
        <f ca="1"/>
        <v>28.190000999999999</v>
      </c>
      <c r="E24" s="22">
        <f ca="1"/>
        <v>27.76</v>
      </c>
      <c r="F24" s="22">
        <f ca="1"/>
        <v>27.85</v>
      </c>
      <c r="G24" s="22">
        <f ca="1"/>
        <v>22.96434</v>
      </c>
      <c r="H24" s="69">
        <f ca="1"/>
        <v>43580500</v>
      </c>
      <c r="I24" s="23" t="str">
        <f t="shared" ca="1" si="1"/>
        <v/>
      </c>
      <c r="K24" s="49" t="s">
        <v>9</v>
      </c>
      <c r="L24" s="47"/>
      <c r="M24" s="48"/>
      <c r="O24" s="56">
        <v>40043</v>
      </c>
      <c r="P24" s="73">
        <v>0.13</v>
      </c>
    </row>
    <row r="25" spans="1:16" ht="13.8">
      <c r="A25" s="20">
        <f t="shared" ca="1" si="0"/>
        <v>41305</v>
      </c>
      <c r="B25" s="21" t="str">
        <f ca="1"/>
        <v>2013-01-31</v>
      </c>
      <c r="C25" s="22">
        <f ca="1"/>
        <v>27.790001</v>
      </c>
      <c r="D25" s="22">
        <f ca="1"/>
        <v>27.969999000000001</v>
      </c>
      <c r="E25" s="22">
        <f ca="1"/>
        <v>27.4</v>
      </c>
      <c r="F25" s="22">
        <f ca="1"/>
        <v>27.450001</v>
      </c>
      <c r="G25" s="22">
        <f ca="1"/>
        <v>22.634504</v>
      </c>
      <c r="H25" s="69">
        <f ca="1"/>
        <v>50530000</v>
      </c>
      <c r="I25" s="23" t="str">
        <f t="shared" ca="1" si="1"/>
        <v/>
      </c>
      <c r="K25" s="49" t="s">
        <v>33</v>
      </c>
      <c r="L25" s="47"/>
      <c r="M25" s="48"/>
      <c r="O25" s="56">
        <v>40134</v>
      </c>
      <c r="P25" s="73">
        <v>0.13</v>
      </c>
    </row>
    <row r="26" spans="1:16" ht="13.8">
      <c r="A26" s="20">
        <f t="shared" ca="1" si="0"/>
        <v>41306</v>
      </c>
      <c r="B26" s="21" t="str">
        <f ca="1"/>
        <v>2013-02-01</v>
      </c>
      <c r="C26" s="22">
        <f ca="1"/>
        <v>27.67</v>
      </c>
      <c r="D26" s="22">
        <f ca="1"/>
        <v>28.049999</v>
      </c>
      <c r="E26" s="22">
        <f ca="1"/>
        <v>27.549999</v>
      </c>
      <c r="F26" s="22">
        <f ca="1"/>
        <v>27.93</v>
      </c>
      <c r="G26" s="22">
        <f ca="1"/>
        <v>23.030304000000001</v>
      </c>
      <c r="H26" s="69">
        <f ca="1"/>
        <v>55565900</v>
      </c>
      <c r="I26" s="23" t="str">
        <f t="shared" ca="1" si="1"/>
        <v/>
      </c>
      <c r="K26" s="49"/>
      <c r="L26" s="47"/>
      <c r="M26" s="48"/>
      <c r="O26" s="56">
        <v>40225</v>
      </c>
      <c r="P26" s="73">
        <v>0.13</v>
      </c>
    </row>
    <row r="27" spans="1:16" ht="13.8">
      <c r="A27" s="20">
        <f t="shared" ca="1" si="0"/>
        <v>41309</v>
      </c>
      <c r="B27" s="21" t="str">
        <f ca="1"/>
        <v>2013-02-04</v>
      </c>
      <c r="C27" s="22">
        <f ca="1"/>
        <v>27.870000999999998</v>
      </c>
      <c r="D27" s="22">
        <f ca="1"/>
        <v>28.02</v>
      </c>
      <c r="E27" s="22">
        <f ca="1"/>
        <v>27.42</v>
      </c>
      <c r="F27" s="22">
        <f ca="1"/>
        <v>27.440000999999999</v>
      </c>
      <c r="G27" s="22">
        <f ca="1"/>
        <v>22.626261</v>
      </c>
      <c r="H27" s="69">
        <f ca="1"/>
        <v>50540000</v>
      </c>
      <c r="I27" s="23" t="str">
        <f t="shared" ca="1" si="1"/>
        <v/>
      </c>
      <c r="K27" s="49" t="s">
        <v>19</v>
      </c>
      <c r="L27" s="47"/>
      <c r="M27" s="48"/>
      <c r="O27" s="56">
        <v>40316</v>
      </c>
      <c r="P27" s="73">
        <v>0.13</v>
      </c>
    </row>
    <row r="28" spans="1:16" ht="13.8">
      <c r="A28" s="20">
        <f t="shared" ca="1" si="0"/>
        <v>41310</v>
      </c>
      <c r="B28" s="21" t="str">
        <f ca="1"/>
        <v>2013-02-05</v>
      </c>
      <c r="C28" s="22">
        <f ca="1"/>
        <v>27.620000999999998</v>
      </c>
      <c r="D28" s="22">
        <f ca="1"/>
        <v>27.66</v>
      </c>
      <c r="E28" s="22">
        <f ca="1"/>
        <v>27.360001</v>
      </c>
      <c r="F28" s="22">
        <f ca="1"/>
        <v>27.5</v>
      </c>
      <c r="G28" s="22">
        <f ca="1"/>
        <v>22.675733999999999</v>
      </c>
      <c r="H28" s="69">
        <f ca="1"/>
        <v>35410400</v>
      </c>
      <c r="I28" s="23" t="str">
        <f t="shared" ca="1" si="1"/>
        <v/>
      </c>
      <c r="K28" s="49" t="s">
        <v>20</v>
      </c>
      <c r="L28" s="47"/>
      <c r="M28" s="48"/>
      <c r="O28" s="56">
        <v>40407</v>
      </c>
      <c r="P28" s="73">
        <v>0.13</v>
      </c>
    </row>
    <row r="29" spans="1:16" ht="13.8">
      <c r="A29" s="20">
        <f t="shared" ca="1" si="0"/>
        <v>41311</v>
      </c>
      <c r="B29" s="21" t="str">
        <f ca="1"/>
        <v>2013-02-06</v>
      </c>
      <c r="C29" s="22">
        <f ca="1"/>
        <v>27.379999000000002</v>
      </c>
      <c r="D29" s="22">
        <f ca="1"/>
        <v>27.540001</v>
      </c>
      <c r="E29" s="22">
        <f ca="1"/>
        <v>27.25</v>
      </c>
      <c r="F29" s="22">
        <f ca="1"/>
        <v>27.34</v>
      </c>
      <c r="G29" s="22">
        <f ca="1"/>
        <v>22.543800000000001</v>
      </c>
      <c r="H29" s="69">
        <f ca="1"/>
        <v>41889600</v>
      </c>
      <c r="I29" s="23" t="str">
        <f t="shared" ca="1" si="1"/>
        <v/>
      </c>
      <c r="K29" s="49" t="s">
        <v>21</v>
      </c>
      <c r="L29" s="47"/>
      <c r="M29" s="48"/>
      <c r="O29" s="56">
        <v>40498</v>
      </c>
      <c r="P29" s="73">
        <v>0.16</v>
      </c>
    </row>
    <row r="30" spans="1:16" ht="13.8">
      <c r="A30" s="20">
        <f t="shared" ca="1" si="0"/>
        <v>41312</v>
      </c>
      <c r="B30" s="21" t="str">
        <f ca="1"/>
        <v>2013-02-07</v>
      </c>
      <c r="C30" s="22">
        <f ca="1"/>
        <v>27.35</v>
      </c>
      <c r="D30" s="22">
        <f ca="1"/>
        <v>27.389999</v>
      </c>
      <c r="E30" s="22">
        <f ca="1"/>
        <v>27.1</v>
      </c>
      <c r="F30" s="22">
        <f ca="1"/>
        <v>27.280000999999999</v>
      </c>
      <c r="G30" s="22">
        <f ca="1"/>
        <v>22.494329</v>
      </c>
      <c r="H30" s="69">
        <f ca="1"/>
        <v>38028300</v>
      </c>
      <c r="I30" s="23" t="str">
        <f t="shared" ca="1" si="1"/>
        <v/>
      </c>
      <c r="K30" s="49" t="s">
        <v>22</v>
      </c>
      <c r="L30" s="47"/>
      <c r="M30" s="48"/>
      <c r="O30" s="56">
        <v>40589</v>
      </c>
      <c r="P30" s="73">
        <v>0.16</v>
      </c>
    </row>
    <row r="31" spans="1:16" ht="13.8">
      <c r="A31" s="20">
        <f t="shared" ca="1" si="0"/>
        <v>41313</v>
      </c>
      <c r="B31" s="21" t="str">
        <f ca="1"/>
        <v>2013-02-08</v>
      </c>
      <c r="C31" s="22">
        <f ca="1"/>
        <v>27.35</v>
      </c>
      <c r="D31" s="22">
        <f ca="1"/>
        <v>27.709999</v>
      </c>
      <c r="E31" s="22">
        <f ca="1"/>
        <v>27.309999000000001</v>
      </c>
      <c r="F31" s="22">
        <f ca="1"/>
        <v>27.549999</v>
      </c>
      <c r="G31" s="22">
        <f ca="1"/>
        <v>22.716963</v>
      </c>
      <c r="H31" s="69">
        <f ca="1"/>
        <v>33318500</v>
      </c>
      <c r="I31" s="23" t="str">
        <f t="shared" ca="1" si="1"/>
        <v/>
      </c>
      <c r="K31" s="49"/>
      <c r="L31" s="47"/>
      <c r="M31" s="48"/>
      <c r="O31" s="56">
        <v>40680</v>
      </c>
      <c r="P31" s="73">
        <v>0.16</v>
      </c>
    </row>
    <row r="32" spans="1:16" ht="13.8">
      <c r="A32" s="20">
        <f t="shared" ca="1" si="0"/>
        <v>41316</v>
      </c>
      <c r="B32" s="21" t="str">
        <f ca="1"/>
        <v>2013-02-11</v>
      </c>
      <c r="C32" s="22">
        <f ca="1"/>
        <v>27.65</v>
      </c>
      <c r="D32" s="22">
        <f ca="1"/>
        <v>27.92</v>
      </c>
      <c r="E32" s="22">
        <f ca="1"/>
        <v>27.5</v>
      </c>
      <c r="F32" s="22">
        <f ca="1"/>
        <v>27.860001</v>
      </c>
      <c r="G32" s="22">
        <f ca="1"/>
        <v>22.972580000000001</v>
      </c>
      <c r="H32" s="69">
        <f ca="1"/>
        <v>32247700</v>
      </c>
      <c r="I32" s="23" t="str">
        <f t="shared" ca="1" si="1"/>
        <v/>
      </c>
      <c r="K32" s="49" t="s">
        <v>16</v>
      </c>
      <c r="L32" s="47"/>
      <c r="M32" s="48"/>
      <c r="O32" s="56">
        <v>40771</v>
      </c>
      <c r="P32" s="73">
        <v>0.16</v>
      </c>
    </row>
    <row r="33" spans="1:16" ht="13.8">
      <c r="A33" s="20">
        <f t="shared" ca="1" si="0"/>
        <v>41317</v>
      </c>
      <c r="B33" s="21" t="str">
        <f ca="1"/>
        <v>2013-02-12</v>
      </c>
      <c r="C33" s="22">
        <f ca="1"/>
        <v>27.879999000000002</v>
      </c>
      <c r="D33" s="22">
        <f ca="1"/>
        <v>28</v>
      </c>
      <c r="E33" s="22">
        <f ca="1"/>
        <v>27.75</v>
      </c>
      <c r="F33" s="22">
        <f ca="1"/>
        <v>27.879999000000002</v>
      </c>
      <c r="G33" s="22">
        <f ca="1"/>
        <v>22.989069000000001</v>
      </c>
      <c r="H33" s="69">
        <f ca="1"/>
        <v>35990900</v>
      </c>
      <c r="I33" s="23" t="str">
        <f t="shared" ca="1" si="1"/>
        <v/>
      </c>
      <c r="K33" s="49" t="s">
        <v>10</v>
      </c>
      <c r="L33" s="47"/>
      <c r="M33" s="48"/>
      <c r="O33" s="56">
        <v>40862</v>
      </c>
      <c r="P33" s="73">
        <v>0.2</v>
      </c>
    </row>
    <row r="34" spans="1:16" ht="13.8">
      <c r="A34" s="20">
        <f t="shared" ca="1" si="0"/>
        <v>41318</v>
      </c>
      <c r="B34" s="21" t="str">
        <f ca="1"/>
        <v>2013-02-13</v>
      </c>
      <c r="C34" s="22">
        <f ca="1"/>
        <v>27.93</v>
      </c>
      <c r="D34" s="22">
        <f ca="1"/>
        <v>28.110001</v>
      </c>
      <c r="E34" s="22">
        <f ca="1"/>
        <v>27.879999000000002</v>
      </c>
      <c r="F34" s="22">
        <f ca="1"/>
        <v>28.030000999999999</v>
      </c>
      <c r="G34" s="22">
        <f ca="1"/>
        <v>23.112759</v>
      </c>
      <c r="H34" s="69">
        <f ca="1"/>
        <v>41715600</v>
      </c>
      <c r="I34" s="23" t="str">
        <f t="shared" ca="1" si="1"/>
        <v/>
      </c>
      <c r="K34" s="50" t="s">
        <v>17</v>
      </c>
      <c r="L34" s="47"/>
      <c r="M34" s="48"/>
      <c r="O34" s="56">
        <v>40953</v>
      </c>
      <c r="P34" s="73">
        <v>0.2</v>
      </c>
    </row>
    <row r="35" spans="1:16" ht="13.8">
      <c r="A35" s="20">
        <f t="shared" ca="1" si="0"/>
        <v>41319</v>
      </c>
      <c r="B35" s="21" t="str">
        <f ca="1"/>
        <v>2013-02-14</v>
      </c>
      <c r="C35" s="22">
        <f ca="1"/>
        <v>27.92</v>
      </c>
      <c r="D35" s="22">
        <f ca="1"/>
        <v>28.059999000000001</v>
      </c>
      <c r="E35" s="22">
        <f ca="1"/>
        <v>27.870000999999998</v>
      </c>
      <c r="F35" s="22">
        <f ca="1"/>
        <v>28.040001</v>
      </c>
      <c r="G35" s="22">
        <f ca="1"/>
        <v>23.121008</v>
      </c>
      <c r="H35" s="69">
        <f ca="1"/>
        <v>32663200</v>
      </c>
      <c r="I35" s="23" t="str">
        <f t="shared" ca="1" si="1"/>
        <v/>
      </c>
      <c r="K35" s="49" t="s">
        <v>18</v>
      </c>
      <c r="L35" s="47"/>
      <c r="M35" s="48"/>
      <c r="O35" s="56">
        <v>41044</v>
      </c>
      <c r="P35" s="73">
        <v>0.2</v>
      </c>
    </row>
    <row r="36" spans="1:16" ht="13.8">
      <c r="A36" s="20">
        <f t="shared" ca="1" si="0"/>
        <v>41320</v>
      </c>
      <c r="B36" s="21" t="str">
        <f ca="1"/>
        <v>2013-02-15</v>
      </c>
      <c r="C36" s="22">
        <f ca="1"/>
        <v>28.040001</v>
      </c>
      <c r="D36" s="22">
        <f ca="1"/>
        <v>28.16</v>
      </c>
      <c r="E36" s="22">
        <f ca="1"/>
        <v>27.879999000000002</v>
      </c>
      <c r="F36" s="22">
        <f ca="1"/>
        <v>28.01</v>
      </c>
      <c r="G36" s="22">
        <f ca="1"/>
        <v>23.096267999999998</v>
      </c>
      <c r="H36" s="69">
        <f ca="1"/>
        <v>49650900</v>
      </c>
      <c r="I36" s="23" t="str">
        <f t="shared" ca="1" si="1"/>
        <v/>
      </c>
      <c r="K36" s="51"/>
      <c r="L36" s="47"/>
      <c r="M36" s="48"/>
      <c r="O36" s="56">
        <v>41135</v>
      </c>
      <c r="P36" s="73">
        <v>0.2</v>
      </c>
    </row>
    <row r="37" spans="1:16" ht="13.8">
      <c r="A37" s="20">
        <f t="shared" ca="1" si="0"/>
        <v>41324</v>
      </c>
      <c r="B37" s="21" t="str">
        <f ca="1"/>
        <v>2013-02-19</v>
      </c>
      <c r="C37" s="22">
        <f ca="1"/>
        <v>27.879999000000002</v>
      </c>
      <c r="D37" s="22">
        <f ca="1"/>
        <v>28.09</v>
      </c>
      <c r="E37" s="22">
        <f ca="1"/>
        <v>27.799999</v>
      </c>
      <c r="F37" s="22">
        <f ca="1"/>
        <v>28.049999</v>
      </c>
      <c r="G37" s="22">
        <f ca="1"/>
        <v>23.320747000000001</v>
      </c>
      <c r="H37" s="69">
        <f ca="1"/>
        <v>38781400</v>
      </c>
      <c r="I37" s="23">
        <f t="shared" ca="1" si="1"/>
        <v>0.23</v>
      </c>
      <c r="K37" s="49" t="s">
        <v>27</v>
      </c>
      <c r="L37" s="47"/>
      <c r="M37" s="48"/>
      <c r="O37" s="56">
        <v>41226</v>
      </c>
      <c r="P37" s="73">
        <v>0.23</v>
      </c>
    </row>
    <row r="38" spans="1:16" ht="13.8">
      <c r="A38" s="20">
        <f t="shared" ca="1" si="0"/>
        <v>41325</v>
      </c>
      <c r="B38" s="21" t="str">
        <f ca="1"/>
        <v>2013-02-20</v>
      </c>
      <c r="C38" s="22">
        <f ca="1"/>
        <v>28.129999000000002</v>
      </c>
      <c r="D38" s="22">
        <f ca="1"/>
        <v>28.200001</v>
      </c>
      <c r="E38" s="22">
        <f ca="1"/>
        <v>27.83</v>
      </c>
      <c r="F38" s="22">
        <f ca="1"/>
        <v>27.870000999999998</v>
      </c>
      <c r="G38" s="22">
        <f ca="1"/>
        <v>23.171097</v>
      </c>
      <c r="H38" s="69">
        <f ca="1"/>
        <v>44110200</v>
      </c>
      <c r="I38" s="23" t="str">
        <f t="shared" ca="1" si="1"/>
        <v/>
      </c>
      <c r="K38" s="49" t="s">
        <v>34</v>
      </c>
      <c r="L38" s="47"/>
      <c r="M38" s="48"/>
      <c r="O38" s="56">
        <v>41324</v>
      </c>
      <c r="P38" s="73">
        <v>0.23</v>
      </c>
    </row>
    <row r="39" spans="1:16" ht="13.8">
      <c r="A39" s="20">
        <f t="shared" ca="1" si="0"/>
        <v>41326</v>
      </c>
      <c r="B39" s="21" t="str">
        <f ca="1"/>
        <v>2013-02-21</v>
      </c>
      <c r="C39" s="22">
        <f ca="1"/>
        <v>27.74</v>
      </c>
      <c r="D39" s="22">
        <f ca="1"/>
        <v>27.74</v>
      </c>
      <c r="E39" s="22">
        <f ca="1"/>
        <v>27.23</v>
      </c>
      <c r="F39" s="22">
        <f ca="1"/>
        <v>27.49</v>
      </c>
      <c r="G39" s="22">
        <f ca="1"/>
        <v>22.855163999999998</v>
      </c>
      <c r="H39" s="69">
        <f ca="1"/>
        <v>49078500</v>
      </c>
      <c r="I39" s="23" t="str">
        <f t="shared" ca="1" si="1"/>
        <v/>
      </c>
      <c r="K39" s="49" t="s">
        <v>35</v>
      </c>
      <c r="L39" s="47"/>
      <c r="M39" s="48"/>
      <c r="O39" s="56">
        <v>41408</v>
      </c>
      <c r="P39" s="73">
        <v>0.23</v>
      </c>
    </row>
    <row r="40" spans="1:16" ht="13.8">
      <c r="A40" s="20">
        <f t="shared" ca="1" si="0"/>
        <v>41327</v>
      </c>
      <c r="B40" s="21" t="str">
        <f ca="1"/>
        <v>2013-02-22</v>
      </c>
      <c r="C40" s="22">
        <f ca="1"/>
        <v>27.68</v>
      </c>
      <c r="D40" s="22">
        <f ca="1"/>
        <v>27.76</v>
      </c>
      <c r="E40" s="22">
        <f ca="1"/>
        <v>27.48</v>
      </c>
      <c r="F40" s="22">
        <f ca="1"/>
        <v>27.76</v>
      </c>
      <c r="G40" s="22">
        <f ca="1"/>
        <v>23.079644999999999</v>
      </c>
      <c r="H40" s="69">
        <f ca="1"/>
        <v>31425900</v>
      </c>
      <c r="I40" s="23" t="str">
        <f t="shared" ca="1" si="1"/>
        <v/>
      </c>
      <c r="K40" s="49" t="s">
        <v>36</v>
      </c>
      <c r="L40" s="47"/>
      <c r="M40" s="48"/>
      <c r="O40" s="56">
        <v>41499</v>
      </c>
      <c r="P40" s="73">
        <v>0.23</v>
      </c>
    </row>
    <row r="41" spans="1:16" ht="13.8">
      <c r="A41" s="20">
        <f t="shared" ca="1" si="0"/>
        <v>41330</v>
      </c>
      <c r="B41" s="21" t="str">
        <f ca="1"/>
        <v>2013-02-25</v>
      </c>
      <c r="C41" s="22">
        <f ca="1"/>
        <v>27.969999000000001</v>
      </c>
      <c r="D41" s="22">
        <f ca="1"/>
        <v>28.049999</v>
      </c>
      <c r="E41" s="22">
        <f ca="1"/>
        <v>27.370000999999998</v>
      </c>
      <c r="F41" s="22">
        <f ca="1"/>
        <v>27.370000999999998</v>
      </c>
      <c r="G41" s="22">
        <f ca="1"/>
        <v>22.755398</v>
      </c>
      <c r="H41" s="69">
        <f ca="1"/>
        <v>48011800</v>
      </c>
      <c r="I41" s="23" t="str">
        <f t="shared" ca="1" si="1"/>
        <v/>
      </c>
      <c r="K41" s="49" t="s">
        <v>37</v>
      </c>
      <c r="L41" s="47"/>
      <c r="M41" s="48"/>
      <c r="O41" s="56">
        <v>41597</v>
      </c>
      <c r="P41" s="73">
        <v>0.28000000000000003</v>
      </c>
    </row>
    <row r="42" spans="1:16" ht="13.8">
      <c r="A42" s="20">
        <f t="shared" ca="1" si="0"/>
        <v>41331</v>
      </c>
      <c r="B42" s="21" t="str">
        <f ca="1"/>
        <v>2013-02-26</v>
      </c>
      <c r="C42" s="22">
        <f ca="1"/>
        <v>27.379999000000002</v>
      </c>
      <c r="D42" s="22">
        <f ca="1"/>
        <v>27.6</v>
      </c>
      <c r="E42" s="22">
        <f ca="1"/>
        <v>27.34</v>
      </c>
      <c r="F42" s="22">
        <f ca="1"/>
        <v>27.370000999999998</v>
      </c>
      <c r="G42" s="22">
        <f ca="1"/>
        <v>22.755398</v>
      </c>
      <c r="H42" s="69">
        <f ca="1"/>
        <v>49923300</v>
      </c>
      <c r="I42" s="23" t="str">
        <f t="shared" ca="1" si="1"/>
        <v/>
      </c>
      <c r="K42" s="49"/>
      <c r="L42" s="47"/>
      <c r="M42" s="48"/>
      <c r="O42" s="56">
        <v>41688</v>
      </c>
      <c r="P42" s="73">
        <v>0.28000000000000003</v>
      </c>
    </row>
    <row r="43" spans="1:16" ht="13.8">
      <c r="A43" s="20">
        <f t="shared" ca="1" si="0"/>
        <v>41332</v>
      </c>
      <c r="B43" s="21" t="str">
        <f ca="1"/>
        <v>2013-02-27</v>
      </c>
      <c r="C43" s="22">
        <f ca="1"/>
        <v>27.42</v>
      </c>
      <c r="D43" s="22">
        <f ca="1"/>
        <v>28</v>
      </c>
      <c r="E43" s="22">
        <f ca="1"/>
        <v>27.33</v>
      </c>
      <c r="F43" s="22">
        <f ca="1"/>
        <v>27.809999000000001</v>
      </c>
      <c r="G43" s="22">
        <f ca="1"/>
        <v>23.121216</v>
      </c>
      <c r="H43" s="69">
        <f ca="1"/>
        <v>36394700</v>
      </c>
      <c r="I43" s="23" t="str">
        <f t="shared" ca="1" si="1"/>
        <v/>
      </c>
      <c r="K43" s="52" t="s">
        <v>23</v>
      </c>
      <c r="L43" s="53"/>
      <c r="M43" s="54"/>
      <c r="O43" s="56">
        <v>41772</v>
      </c>
      <c r="P43" s="73">
        <v>0.28000000000000003</v>
      </c>
    </row>
    <row r="44" spans="1:16" ht="13.8">
      <c r="A44" s="20">
        <f t="shared" ca="1" si="0"/>
        <v>41333</v>
      </c>
      <c r="B44" s="21" t="str">
        <f ca="1"/>
        <v>2013-02-28</v>
      </c>
      <c r="C44" s="22">
        <f ca="1"/>
        <v>27.879999000000002</v>
      </c>
      <c r="D44" s="22">
        <f ca="1"/>
        <v>27.969999000000001</v>
      </c>
      <c r="E44" s="22">
        <f ca="1"/>
        <v>27.74</v>
      </c>
      <c r="F44" s="22">
        <f ca="1"/>
        <v>27.799999</v>
      </c>
      <c r="G44" s="22">
        <f ca="1"/>
        <v>23.112891999999999</v>
      </c>
      <c r="H44" s="69">
        <f ca="1"/>
        <v>35840200</v>
      </c>
      <c r="I44" s="23" t="str">
        <f t="shared" ca="1" si="1"/>
        <v/>
      </c>
      <c r="O44" s="56">
        <v>41870</v>
      </c>
      <c r="P44" s="73">
        <v>0.28000000000000003</v>
      </c>
    </row>
    <row r="45" spans="1:16" ht="13.8">
      <c r="A45" s="20">
        <f t="shared" ca="1" si="0"/>
        <v>41334</v>
      </c>
      <c r="B45" s="21" t="str">
        <f ca="1"/>
        <v>2013-03-01</v>
      </c>
      <c r="C45" s="22">
        <f ca="1"/>
        <v>27.719999000000001</v>
      </c>
      <c r="D45" s="22">
        <f ca="1"/>
        <v>27.98</v>
      </c>
      <c r="E45" s="22">
        <f ca="1"/>
        <v>27.52</v>
      </c>
      <c r="F45" s="22">
        <f ca="1"/>
        <v>27.950001</v>
      </c>
      <c r="G45" s="22">
        <f ca="1"/>
        <v>23.237611999999999</v>
      </c>
      <c r="H45" s="69">
        <f ca="1"/>
        <v>34849700</v>
      </c>
      <c r="I45" s="23" t="str">
        <f t="shared" ca="1" si="1"/>
        <v/>
      </c>
      <c r="O45" s="56">
        <v>41961</v>
      </c>
      <c r="P45" s="73">
        <v>0.31</v>
      </c>
    </row>
    <row r="46" spans="1:16" ht="13.8">
      <c r="A46" s="20">
        <f t="shared" ca="1" si="0"/>
        <v>41337</v>
      </c>
      <c r="B46" s="21" t="str">
        <f ca="1"/>
        <v>2013-03-04</v>
      </c>
      <c r="C46" s="22">
        <f ca="1"/>
        <v>27.85</v>
      </c>
      <c r="D46" s="22">
        <f ca="1"/>
        <v>28.15</v>
      </c>
      <c r="E46" s="22">
        <f ca="1"/>
        <v>27.700001</v>
      </c>
      <c r="F46" s="22">
        <f ca="1"/>
        <v>28.15</v>
      </c>
      <c r="G46" s="22">
        <f ca="1"/>
        <v>23.403888999999999</v>
      </c>
      <c r="H46" s="69">
        <f ca="1"/>
        <v>38157500</v>
      </c>
      <c r="I46" s="23" t="str">
        <f t="shared" ca="1" si="1"/>
        <v/>
      </c>
      <c r="O46" s="56">
        <v>42052</v>
      </c>
      <c r="P46" s="73">
        <v>0.31</v>
      </c>
    </row>
    <row r="47" spans="1:16" ht="13.8">
      <c r="A47" s="20">
        <f t="shared" ca="1" si="0"/>
        <v>41338</v>
      </c>
      <c r="B47" s="21" t="str">
        <f ca="1"/>
        <v>2013-03-05</v>
      </c>
      <c r="C47" s="22">
        <f ca="1"/>
        <v>28.290001</v>
      </c>
      <c r="D47" s="22">
        <f ca="1"/>
        <v>28.540001</v>
      </c>
      <c r="E47" s="22">
        <f ca="1"/>
        <v>28.16</v>
      </c>
      <c r="F47" s="22">
        <f ca="1"/>
        <v>28.35</v>
      </c>
      <c r="G47" s="22">
        <f ca="1"/>
        <v>23.570167999999999</v>
      </c>
      <c r="H47" s="69">
        <f ca="1"/>
        <v>41432200</v>
      </c>
      <c r="I47" s="23" t="str">
        <f t="shared" ca="1" si="1"/>
        <v/>
      </c>
      <c r="O47" s="56">
        <v>42143</v>
      </c>
      <c r="P47" s="73">
        <v>0.31</v>
      </c>
    </row>
    <row r="48" spans="1:16" ht="13.8">
      <c r="A48" s="20">
        <f t="shared" ca="1" si="0"/>
        <v>41339</v>
      </c>
      <c r="B48" s="21" t="str">
        <f ca="1"/>
        <v>2013-03-06</v>
      </c>
      <c r="C48" s="22">
        <f ca="1"/>
        <v>28.209999</v>
      </c>
      <c r="D48" s="22">
        <f ca="1"/>
        <v>28.23</v>
      </c>
      <c r="E48" s="22">
        <f ca="1"/>
        <v>27.780000999999999</v>
      </c>
      <c r="F48" s="22">
        <f ca="1"/>
        <v>28.09</v>
      </c>
      <c r="G48" s="22">
        <f ca="1"/>
        <v>23.353998000000001</v>
      </c>
      <c r="H48" s="69">
        <f ca="1"/>
        <v>51448500</v>
      </c>
      <c r="I48" s="23" t="str">
        <f t="shared" ca="1" si="1"/>
        <v/>
      </c>
      <c r="O48" s="56">
        <v>42234</v>
      </c>
      <c r="P48" s="73">
        <v>0.31</v>
      </c>
    </row>
    <row r="49" spans="1:16" ht="13.8">
      <c r="A49" s="20">
        <f t="shared" ca="1" si="0"/>
        <v>41340</v>
      </c>
      <c r="B49" s="21" t="str">
        <f ca="1"/>
        <v>2013-03-07</v>
      </c>
      <c r="C49" s="22">
        <f ca="1"/>
        <v>28.110001</v>
      </c>
      <c r="D49" s="22">
        <f ca="1"/>
        <v>28.280000999999999</v>
      </c>
      <c r="E49" s="22">
        <f ca="1"/>
        <v>28.01</v>
      </c>
      <c r="F49" s="22">
        <f ca="1"/>
        <v>28.139999</v>
      </c>
      <c r="G49" s="22">
        <f ca="1"/>
        <v>23.395568999999998</v>
      </c>
      <c r="H49" s="69">
        <f ca="1"/>
        <v>29196700</v>
      </c>
      <c r="I49" s="23" t="str">
        <f t="shared" ca="1" si="1"/>
        <v/>
      </c>
      <c r="O49" s="56">
        <v>42325</v>
      </c>
      <c r="P49" s="73">
        <v>0.36</v>
      </c>
    </row>
    <row r="50" spans="1:16" ht="13.8">
      <c r="A50" s="20">
        <f t="shared" ca="1" si="0"/>
        <v>41341</v>
      </c>
      <c r="B50" s="21" t="str">
        <f ca="1"/>
        <v>2013-03-08</v>
      </c>
      <c r="C50" s="22">
        <f ca="1"/>
        <v>28.25</v>
      </c>
      <c r="D50" s="22">
        <f ca="1"/>
        <v>28.33</v>
      </c>
      <c r="E50" s="22">
        <f ca="1"/>
        <v>27.959999</v>
      </c>
      <c r="F50" s="22">
        <f ca="1"/>
        <v>28</v>
      </c>
      <c r="G50" s="22">
        <f ca="1"/>
        <v>23.279178999999999</v>
      </c>
      <c r="H50" s="69">
        <f ca="1"/>
        <v>37667800</v>
      </c>
      <c r="I50" s="23" t="str">
        <f t="shared" ca="1" si="1"/>
        <v/>
      </c>
      <c r="O50" s="56">
        <v>42416</v>
      </c>
      <c r="P50" s="73">
        <v>0.36</v>
      </c>
    </row>
    <row r="51" spans="1:16" ht="13.8">
      <c r="A51" s="20">
        <f t="shared" ca="1" si="0"/>
        <v>41344</v>
      </c>
      <c r="B51" s="21" t="str">
        <f ca="1"/>
        <v>2013-03-11</v>
      </c>
      <c r="C51" s="22">
        <f ca="1"/>
        <v>27.940000999999999</v>
      </c>
      <c r="D51" s="22">
        <f ca="1"/>
        <v>27.969999000000001</v>
      </c>
      <c r="E51" s="22">
        <f ca="1"/>
        <v>27.67</v>
      </c>
      <c r="F51" s="22">
        <f ca="1"/>
        <v>27.870000999999998</v>
      </c>
      <c r="G51" s="22">
        <f ca="1"/>
        <v>23.171097</v>
      </c>
      <c r="H51" s="69">
        <f ca="1"/>
        <v>36627500</v>
      </c>
      <c r="I51" s="23" t="str">
        <f t="shared" ca="1" si="1"/>
        <v/>
      </c>
      <c r="O51" s="56">
        <v>42507</v>
      </c>
      <c r="P51" s="73">
        <v>0.36</v>
      </c>
    </row>
    <row r="52" spans="1:16" ht="13.8">
      <c r="A52" s="20">
        <f t="shared" ca="1" si="0"/>
        <v>41345</v>
      </c>
      <c r="B52" s="21" t="str">
        <f ca="1"/>
        <v>2013-03-12</v>
      </c>
      <c r="C52" s="22">
        <f ca="1"/>
        <v>27.84</v>
      </c>
      <c r="D52" s="22">
        <f ca="1"/>
        <v>27.950001</v>
      </c>
      <c r="E52" s="22">
        <f ca="1"/>
        <v>27.639999</v>
      </c>
      <c r="F52" s="22">
        <f ca="1"/>
        <v>27.91</v>
      </c>
      <c r="G52" s="22">
        <f ca="1"/>
        <v>23.204348</v>
      </c>
      <c r="H52" s="69">
        <f ca="1"/>
        <v>39255200</v>
      </c>
      <c r="I52" s="23" t="str">
        <f t="shared" ca="1" si="1"/>
        <v/>
      </c>
      <c r="O52" s="56">
        <v>42598</v>
      </c>
      <c r="P52" s="73">
        <v>0.36</v>
      </c>
    </row>
    <row r="53" spans="1:16" ht="13.8">
      <c r="A53" s="20">
        <f t="shared" ca="1" si="0"/>
        <v>41346</v>
      </c>
      <c r="B53" s="21" t="str">
        <f ca="1"/>
        <v>2013-03-13</v>
      </c>
      <c r="C53" s="22">
        <f ca="1"/>
        <v>27.870000999999998</v>
      </c>
      <c r="D53" s="22">
        <f ca="1"/>
        <v>28.02</v>
      </c>
      <c r="E53" s="22">
        <f ca="1"/>
        <v>27.75</v>
      </c>
      <c r="F53" s="22">
        <f ca="1"/>
        <v>27.92</v>
      </c>
      <c r="G53" s="22">
        <f ca="1"/>
        <v>23.212667</v>
      </c>
      <c r="H53" s="69">
        <f ca="1"/>
        <v>29093400</v>
      </c>
      <c r="I53" s="23" t="str">
        <f t="shared" ca="1" si="1"/>
        <v/>
      </c>
      <c r="O53" s="56">
        <v>42689</v>
      </c>
      <c r="P53" s="73">
        <v>0.39</v>
      </c>
    </row>
    <row r="54" spans="1:16" ht="13.8">
      <c r="A54" s="20">
        <f t="shared" ca="1" si="0"/>
        <v>41347</v>
      </c>
      <c r="B54" s="21" t="str">
        <f ca="1"/>
        <v>2013-03-14</v>
      </c>
      <c r="C54" s="22">
        <f ca="1"/>
        <v>28</v>
      </c>
      <c r="D54" s="22">
        <f ca="1"/>
        <v>28.16</v>
      </c>
      <c r="E54" s="22">
        <f ca="1"/>
        <v>27.93</v>
      </c>
      <c r="F54" s="22">
        <f ca="1"/>
        <v>28.139999</v>
      </c>
      <c r="G54" s="22">
        <f ca="1"/>
        <v>23.395568999999998</v>
      </c>
      <c r="H54" s="69">
        <f ca="1"/>
        <v>55914800</v>
      </c>
      <c r="I54" s="23" t="str">
        <f t="shared" ca="1" si="1"/>
        <v/>
      </c>
      <c r="O54" s="56">
        <v>42780</v>
      </c>
      <c r="P54" s="73">
        <v>0.39</v>
      </c>
    </row>
    <row r="55" spans="1:16" ht="13.8">
      <c r="A55" s="20">
        <f t="shared" ca="1" si="0"/>
        <v>41348</v>
      </c>
      <c r="B55" s="21" t="str">
        <f ca="1"/>
        <v>2013-03-15</v>
      </c>
      <c r="C55" s="22">
        <f ca="1"/>
        <v>28.030000999999999</v>
      </c>
      <c r="D55" s="22">
        <f ca="1"/>
        <v>28.16</v>
      </c>
      <c r="E55" s="22">
        <f ca="1"/>
        <v>27.98</v>
      </c>
      <c r="F55" s="22">
        <f ca="1"/>
        <v>28.040001</v>
      </c>
      <c r="G55" s="22">
        <f ca="1"/>
        <v>23.312429000000002</v>
      </c>
      <c r="H55" s="69">
        <f ca="1"/>
        <v>92710300</v>
      </c>
      <c r="I55" s="23" t="str">
        <f t="shared" ca="1" si="1"/>
        <v/>
      </c>
      <c r="O55" s="56">
        <v>42871</v>
      </c>
      <c r="P55" s="73">
        <v>0.39</v>
      </c>
    </row>
    <row r="56" spans="1:16" ht="13.8">
      <c r="A56" s="20">
        <f t="shared" ca="1" si="0"/>
        <v>41351</v>
      </c>
      <c r="B56" s="21" t="str">
        <f ca="1"/>
        <v>2013-03-18</v>
      </c>
      <c r="C56" s="22">
        <f ca="1"/>
        <v>27.879999000000002</v>
      </c>
      <c r="D56" s="22">
        <f ca="1"/>
        <v>28.280000999999999</v>
      </c>
      <c r="E56" s="22">
        <f ca="1"/>
        <v>27.809999000000001</v>
      </c>
      <c r="F56" s="22">
        <f ca="1"/>
        <v>28.1</v>
      </c>
      <c r="G56" s="22">
        <f ca="1"/>
        <v>23.362311999999999</v>
      </c>
      <c r="H56" s="69">
        <f ca="1"/>
        <v>44809400</v>
      </c>
      <c r="I56" s="23" t="str">
        <f t="shared" ca="1" si="1"/>
        <v/>
      </c>
      <c r="O56" s="56">
        <v>42962</v>
      </c>
      <c r="P56" s="73">
        <v>0.39</v>
      </c>
    </row>
    <row r="57" spans="1:16" ht="13.8">
      <c r="A57" s="20">
        <f t="shared" ca="1" si="0"/>
        <v>41352</v>
      </c>
      <c r="B57" s="21" t="str">
        <f ca="1"/>
        <v>2013-03-19</v>
      </c>
      <c r="C57" s="22">
        <f ca="1"/>
        <v>28.120000999999998</v>
      </c>
      <c r="D57" s="22">
        <f ca="1"/>
        <v>28.219999000000001</v>
      </c>
      <c r="E57" s="22">
        <f ca="1"/>
        <v>28.030000999999999</v>
      </c>
      <c r="F57" s="22">
        <f ca="1"/>
        <v>28.18</v>
      </c>
      <c r="G57" s="22">
        <f ca="1"/>
        <v>23.428823000000001</v>
      </c>
      <c r="H57" s="69">
        <f ca="1"/>
        <v>51901600</v>
      </c>
      <c r="I57" s="23" t="str">
        <f t="shared" ca="1" si="1"/>
        <v/>
      </c>
      <c r="O57" s="56">
        <v>43054</v>
      </c>
      <c r="P57" s="73">
        <v>0.42</v>
      </c>
    </row>
    <row r="58" spans="1:16" ht="13.8">
      <c r="A58" s="20">
        <f t="shared" ca="1" si="0"/>
        <v>41353</v>
      </c>
      <c r="B58" s="21" t="str">
        <f ca="1"/>
        <v>2013-03-20</v>
      </c>
      <c r="C58" s="22">
        <f ca="1"/>
        <v>28.34</v>
      </c>
      <c r="D58" s="22">
        <f ca="1"/>
        <v>28.49</v>
      </c>
      <c r="E58" s="22">
        <f ca="1"/>
        <v>28.18</v>
      </c>
      <c r="F58" s="22">
        <f ca="1"/>
        <v>28.32</v>
      </c>
      <c r="G58" s="22">
        <f ca="1"/>
        <v>23.545221000000002</v>
      </c>
      <c r="H58" s="69">
        <f ca="1"/>
        <v>35447800</v>
      </c>
      <c r="I58" s="23" t="str">
        <f t="shared" ca="1" si="1"/>
        <v/>
      </c>
      <c r="O58" s="56">
        <v>43145</v>
      </c>
      <c r="P58" s="73">
        <v>0.42</v>
      </c>
    </row>
    <row r="59" spans="1:16" ht="13.8">
      <c r="A59" s="20">
        <f t="shared" ca="1" si="0"/>
        <v>41354</v>
      </c>
      <c r="B59" s="21" t="str">
        <f ca="1"/>
        <v>2013-03-21</v>
      </c>
      <c r="C59" s="22">
        <f ca="1"/>
        <v>28.110001</v>
      </c>
      <c r="D59" s="22">
        <f ca="1"/>
        <v>28.360001</v>
      </c>
      <c r="E59" s="22">
        <f ca="1"/>
        <v>28.049999</v>
      </c>
      <c r="F59" s="22">
        <f ca="1"/>
        <v>28.110001</v>
      </c>
      <c r="G59" s="22">
        <f ca="1"/>
        <v>23.370628</v>
      </c>
      <c r="H59" s="69">
        <f ca="1"/>
        <v>34233200</v>
      </c>
      <c r="I59" s="23" t="str">
        <f t="shared" ca="1" si="1"/>
        <v/>
      </c>
      <c r="O59" s="56">
        <v>43236</v>
      </c>
      <c r="P59" s="73">
        <v>0.42</v>
      </c>
    </row>
    <row r="60" spans="1:16" ht="13.8">
      <c r="A60" s="20">
        <f t="shared" ca="1" si="0"/>
        <v>41355</v>
      </c>
      <c r="B60" s="21" t="str">
        <f ca="1"/>
        <v>2013-03-22</v>
      </c>
      <c r="C60" s="22">
        <f ca="1"/>
        <v>28.190000999999999</v>
      </c>
      <c r="D60" s="22">
        <f ca="1"/>
        <v>28.34</v>
      </c>
      <c r="E60" s="22">
        <f ca="1"/>
        <v>28.1</v>
      </c>
      <c r="F60" s="22">
        <f ca="1"/>
        <v>28.25</v>
      </c>
      <c r="G60" s="22">
        <f ca="1"/>
        <v>23.487027999999999</v>
      </c>
      <c r="H60" s="69">
        <f ca="1"/>
        <v>28720900</v>
      </c>
      <c r="I60" s="23" t="str">
        <f t="shared" ca="1" si="1"/>
        <v/>
      </c>
      <c r="O60" s="56">
        <v>43327</v>
      </c>
      <c r="P60" s="73">
        <v>0.42</v>
      </c>
    </row>
    <row r="61" spans="1:16" ht="13.8">
      <c r="A61" s="20">
        <f t="shared" ca="1" si="0"/>
        <v>41358</v>
      </c>
      <c r="B61" s="21" t="str">
        <f ca="1"/>
        <v>2013-03-25</v>
      </c>
      <c r="C61" s="22">
        <f ca="1"/>
        <v>28.299999</v>
      </c>
      <c r="D61" s="22">
        <f ca="1"/>
        <v>28.35</v>
      </c>
      <c r="E61" s="22">
        <f ca="1"/>
        <v>27.959999</v>
      </c>
      <c r="F61" s="22">
        <f ca="1"/>
        <v>28.16</v>
      </c>
      <c r="G61" s="22">
        <f ca="1"/>
        <v>23.412196999999999</v>
      </c>
      <c r="H61" s="69">
        <f ca="1"/>
        <v>44154000</v>
      </c>
      <c r="I61" s="23" t="str">
        <f t="shared" ca="1" si="1"/>
        <v/>
      </c>
      <c r="O61" s="56">
        <v>43418</v>
      </c>
      <c r="P61" s="73">
        <v>0.46</v>
      </c>
    </row>
    <row r="62" spans="1:16" ht="13.8">
      <c r="A62" s="20">
        <f t="shared" ca="1" si="0"/>
        <v>41359</v>
      </c>
      <c r="B62" s="21" t="str">
        <f ca="1"/>
        <v>2013-03-26</v>
      </c>
      <c r="C62" s="22">
        <f ca="1"/>
        <v>28.24</v>
      </c>
      <c r="D62" s="22">
        <f ca="1"/>
        <v>28.34</v>
      </c>
      <c r="E62" s="22">
        <f ca="1"/>
        <v>28.110001</v>
      </c>
      <c r="F62" s="22">
        <f ca="1"/>
        <v>28.16</v>
      </c>
      <c r="G62" s="22">
        <f ca="1"/>
        <v>23.412196999999999</v>
      </c>
      <c r="H62" s="69">
        <f ca="1"/>
        <v>27824300</v>
      </c>
      <c r="I62" s="23" t="str">
        <f t="shared" ca="1" si="1"/>
        <v/>
      </c>
      <c r="O62" s="56">
        <v>43516</v>
      </c>
      <c r="P62" s="73">
        <v>0.46</v>
      </c>
    </row>
    <row r="63" spans="1:16" ht="13.8">
      <c r="A63" s="20">
        <f t="shared" ca="1" si="0"/>
        <v>41360</v>
      </c>
      <c r="B63" s="21" t="str">
        <f ca="1"/>
        <v>2013-03-27</v>
      </c>
      <c r="C63" s="22">
        <f ca="1"/>
        <v>28.139999</v>
      </c>
      <c r="D63" s="22">
        <f ca="1"/>
        <v>28.450001</v>
      </c>
      <c r="E63" s="22">
        <f ca="1"/>
        <v>28.08</v>
      </c>
      <c r="F63" s="22">
        <f ca="1"/>
        <v>28.370000999999998</v>
      </c>
      <c r="G63" s="22">
        <f ca="1"/>
        <v>23.586791999999999</v>
      </c>
      <c r="H63" s="69">
        <f ca="1"/>
        <v>36047400</v>
      </c>
      <c r="I63" s="23" t="str">
        <f t="shared" ca="1" si="1"/>
        <v/>
      </c>
      <c r="O63" s="56">
        <v>43600</v>
      </c>
      <c r="P63" s="73">
        <v>0.46</v>
      </c>
    </row>
    <row r="64" spans="1:16" ht="13.8">
      <c r="A64" s="20">
        <f t="shared" ca="1" si="0"/>
        <v>41361</v>
      </c>
      <c r="B64" s="21" t="str">
        <f ca="1"/>
        <v>2013-03-28</v>
      </c>
      <c r="C64" s="22">
        <f ca="1"/>
        <v>28.32</v>
      </c>
      <c r="D64" s="22">
        <f ca="1"/>
        <v>28.66</v>
      </c>
      <c r="E64" s="22">
        <f ca="1"/>
        <v>28.26</v>
      </c>
      <c r="F64" s="22">
        <f ca="1"/>
        <v>28.610001</v>
      </c>
      <c r="G64" s="22">
        <f ca="1"/>
        <v>23.786324</v>
      </c>
      <c r="H64" s="69">
        <f ca="1"/>
        <v>55453800</v>
      </c>
      <c r="I64" s="23" t="str">
        <f t="shared" ca="1" si="1"/>
        <v/>
      </c>
      <c r="O64" s="56">
        <v>43691</v>
      </c>
      <c r="P64" s="73">
        <v>0.46</v>
      </c>
    </row>
    <row r="65" spans="1:16" ht="13.8">
      <c r="A65" s="20">
        <f t="shared" ca="1" si="0"/>
        <v>41365</v>
      </c>
      <c r="B65" s="21" t="str">
        <f ca="1"/>
        <v>2013-04-01</v>
      </c>
      <c r="C65" s="22">
        <f ca="1"/>
        <v>28.639999</v>
      </c>
      <c r="D65" s="22">
        <f ca="1"/>
        <v>28.66</v>
      </c>
      <c r="E65" s="22">
        <f ca="1"/>
        <v>28.360001</v>
      </c>
      <c r="F65" s="22">
        <f ca="1"/>
        <v>28.610001</v>
      </c>
      <c r="G65" s="22">
        <f ca="1"/>
        <v>23.786324</v>
      </c>
      <c r="H65" s="69">
        <f ca="1"/>
        <v>29201100</v>
      </c>
      <c r="I65" s="23" t="str">
        <f t="shared" ca="1" si="1"/>
        <v/>
      </c>
      <c r="O65" s="56">
        <v>43789</v>
      </c>
      <c r="P65" s="73">
        <v>0.51</v>
      </c>
    </row>
    <row r="66" spans="1:16" ht="13.8">
      <c r="A66" s="20">
        <f t="shared" ca="1" si="0"/>
        <v>41366</v>
      </c>
      <c r="B66" s="21" t="str">
        <f ca="1"/>
        <v>2013-04-02</v>
      </c>
      <c r="C66" s="22">
        <f ca="1"/>
        <v>28.59</v>
      </c>
      <c r="D66" s="22">
        <f ca="1"/>
        <v>28.85</v>
      </c>
      <c r="E66" s="22">
        <f ca="1"/>
        <v>28.52</v>
      </c>
      <c r="F66" s="22">
        <f ca="1"/>
        <v>28.799999</v>
      </c>
      <c r="G66" s="22">
        <f ca="1"/>
        <v>23.944296000000001</v>
      </c>
      <c r="H66" s="69">
        <f ca="1"/>
        <v>28456500</v>
      </c>
      <c r="I66" s="23" t="str">
        <f t="shared" ca="1" si="1"/>
        <v/>
      </c>
      <c r="O66" s="56">
        <v>43880</v>
      </c>
      <c r="P66" s="73">
        <v>0.51</v>
      </c>
    </row>
    <row r="67" spans="1:16" ht="13.8">
      <c r="A67" s="20">
        <f t="shared" ca="1" si="0"/>
        <v>41367</v>
      </c>
      <c r="B67" s="21" t="str">
        <f ca="1"/>
        <v>2013-04-03</v>
      </c>
      <c r="C67" s="22">
        <f ca="1"/>
        <v>28.75</v>
      </c>
      <c r="D67" s="22">
        <f ca="1"/>
        <v>28.950001</v>
      </c>
      <c r="E67" s="22">
        <f ca="1"/>
        <v>28.540001</v>
      </c>
      <c r="F67" s="22">
        <f ca="1"/>
        <v>28.559999000000001</v>
      </c>
      <c r="G67" s="22">
        <f ca="1"/>
        <v>23.744761</v>
      </c>
      <c r="H67" s="69">
        <f ca="1"/>
        <v>35062800</v>
      </c>
      <c r="I67" s="23" t="str">
        <f t="shared" ca="1" si="1"/>
        <v/>
      </c>
      <c r="O67" s="56">
        <v>43971</v>
      </c>
      <c r="P67" s="73">
        <v>0.51</v>
      </c>
    </row>
    <row r="68" spans="1:16" ht="13.8">
      <c r="A68" s="20">
        <f t="shared" ca="1" si="0"/>
        <v>41368</v>
      </c>
      <c r="B68" s="21" t="str">
        <f ca="1"/>
        <v>2013-04-04</v>
      </c>
      <c r="C68" s="22">
        <f ca="1"/>
        <v>28.389999</v>
      </c>
      <c r="D68" s="22">
        <f ca="1"/>
        <v>28.610001</v>
      </c>
      <c r="E68" s="22">
        <f ca="1"/>
        <v>28.27</v>
      </c>
      <c r="F68" s="22">
        <f ca="1"/>
        <v>28.6</v>
      </c>
      <c r="G68" s="22">
        <f ca="1"/>
        <v>23.778019</v>
      </c>
      <c r="H68" s="69">
        <f ca="1"/>
        <v>45263200</v>
      </c>
      <c r="I68" s="23" t="str">
        <f t="shared" ca="1" si="1"/>
        <v/>
      </c>
      <c r="O68" s="56">
        <v>44062</v>
      </c>
      <c r="P68" s="73">
        <v>0.51</v>
      </c>
    </row>
    <row r="69" spans="1:16" ht="13.8">
      <c r="A69" s="20">
        <f t="shared" ca="1" si="0"/>
        <v>41369</v>
      </c>
      <c r="B69" s="21" t="str">
        <f ca="1"/>
        <v>2013-04-05</v>
      </c>
      <c r="C69" s="22">
        <f ca="1"/>
        <v>28.219999000000001</v>
      </c>
      <c r="D69" s="22">
        <f ca="1"/>
        <v>28.780000999999999</v>
      </c>
      <c r="E69" s="22">
        <f ca="1"/>
        <v>28.110001</v>
      </c>
      <c r="F69" s="22">
        <f ca="1"/>
        <v>28.700001</v>
      </c>
      <c r="G69" s="22">
        <f ca="1"/>
        <v>23.861162</v>
      </c>
      <c r="H69" s="69">
        <f ca="1"/>
        <v>50927300</v>
      </c>
      <c r="I69" s="23" t="str">
        <f t="shared" ca="1" si="1"/>
        <v/>
      </c>
      <c r="O69" s="56">
        <v>44153</v>
      </c>
      <c r="P69" s="73">
        <v>0.56000000000000005</v>
      </c>
    </row>
    <row r="70" spans="1:16" ht="13.8">
      <c r="A70" s="20">
        <f t="shared" ref="A70:A133" ca="1" si="2">IFERROR(DATEVALUE($B70),"--")</f>
        <v>41372</v>
      </c>
      <c r="B70" s="21" t="str">
        <f ca="1"/>
        <v>2013-04-08</v>
      </c>
      <c r="C70" s="22">
        <f ca="1"/>
        <v>28.73</v>
      </c>
      <c r="D70" s="22">
        <f ca="1"/>
        <v>28.73</v>
      </c>
      <c r="E70" s="22">
        <f ca="1"/>
        <v>28.469999000000001</v>
      </c>
      <c r="F70" s="22">
        <f ca="1"/>
        <v>28.59</v>
      </c>
      <c r="G70" s="22">
        <f ca="1"/>
        <v>23.769697000000001</v>
      </c>
      <c r="H70" s="69">
        <f ca="1"/>
        <v>34759500</v>
      </c>
      <c r="I70" s="23" t="str">
        <f t="shared" ref="I70:I133" ca="1" si="3">IFERROR(IF(Ticker&lt;&gt;$Q$2,"",INDEX($P:$P,MATCH($A70,$O:$O,0))),"")</f>
        <v/>
      </c>
      <c r="O70" s="56">
        <v>44244</v>
      </c>
      <c r="P70" s="73">
        <v>0.56000000000000005</v>
      </c>
    </row>
    <row r="71" spans="1:16" ht="13.8">
      <c r="A71" s="20">
        <f t="shared" ca="1" si="2"/>
        <v>41373</v>
      </c>
      <c r="B71" s="21" t="str">
        <f ca="1"/>
        <v>2013-04-09</v>
      </c>
      <c r="C71" s="22">
        <f ca="1"/>
        <v>28.73</v>
      </c>
      <c r="D71" s="22">
        <f ca="1"/>
        <v>29.82</v>
      </c>
      <c r="E71" s="22">
        <f ca="1"/>
        <v>28.68</v>
      </c>
      <c r="F71" s="22">
        <f ca="1"/>
        <v>29.610001</v>
      </c>
      <c r="G71" s="22">
        <f ca="1"/>
        <v>24.617729000000001</v>
      </c>
      <c r="H71" s="69">
        <f ca="1"/>
        <v>77733800</v>
      </c>
      <c r="I71" s="23" t="str">
        <f t="shared" ca="1" si="3"/>
        <v/>
      </c>
      <c r="O71" s="56">
        <v>44335</v>
      </c>
      <c r="P71" s="73">
        <v>0.56000000000000005</v>
      </c>
    </row>
    <row r="72" spans="1:16" ht="13.8">
      <c r="A72" s="20">
        <f t="shared" ca="1" si="2"/>
        <v>41374</v>
      </c>
      <c r="B72" s="21" t="str">
        <f ca="1"/>
        <v>2013-04-10</v>
      </c>
      <c r="C72" s="22">
        <f ca="1"/>
        <v>29.57</v>
      </c>
      <c r="D72" s="22">
        <f ca="1"/>
        <v>30.32</v>
      </c>
      <c r="E72" s="22">
        <f ca="1"/>
        <v>29.52</v>
      </c>
      <c r="F72" s="22">
        <f ca="1"/>
        <v>30.280000999999999</v>
      </c>
      <c r="G72" s="22">
        <f ca="1"/>
        <v>25.174766999999999</v>
      </c>
      <c r="H72" s="69">
        <f ca="1"/>
        <v>71116700</v>
      </c>
      <c r="I72" s="23" t="str">
        <f t="shared" ca="1" si="3"/>
        <v/>
      </c>
      <c r="O72" s="56">
        <v>44426</v>
      </c>
      <c r="P72" s="73">
        <v>0.56000000000000005</v>
      </c>
    </row>
    <row r="73" spans="1:16" ht="13.8">
      <c r="A73" s="20">
        <f t="shared" ca="1" si="2"/>
        <v>41375</v>
      </c>
      <c r="B73" s="21" t="str">
        <f ca="1"/>
        <v>2013-04-11</v>
      </c>
      <c r="C73" s="22">
        <f ca="1"/>
        <v>29.1</v>
      </c>
      <c r="D73" s="22">
        <f ca="1"/>
        <v>29.200001</v>
      </c>
      <c r="E73" s="22">
        <f ca="1"/>
        <v>28.73</v>
      </c>
      <c r="F73" s="22">
        <f ca="1"/>
        <v>28.940000999999999</v>
      </c>
      <c r="G73" s="22">
        <f ca="1"/>
        <v>24.060696</v>
      </c>
      <c r="H73" s="69">
        <f ca="1"/>
        <v>130923200</v>
      </c>
      <c r="I73" s="23" t="str">
        <f t="shared" ca="1" si="3"/>
        <v/>
      </c>
      <c r="O73" s="56">
        <v>44517</v>
      </c>
      <c r="P73" s="73">
        <v>0.62</v>
      </c>
    </row>
    <row r="74" spans="1:16" ht="13.8">
      <c r="A74" s="20">
        <f t="shared" ca="1" si="2"/>
        <v>41376</v>
      </c>
      <c r="B74" s="21" t="str">
        <f ca="1"/>
        <v>2013-04-12</v>
      </c>
      <c r="C74" s="22">
        <f ca="1"/>
        <v>28.85</v>
      </c>
      <c r="D74" s="22">
        <f ca="1"/>
        <v>29.02</v>
      </c>
      <c r="E74" s="22">
        <f ca="1"/>
        <v>28.66</v>
      </c>
      <c r="F74" s="22">
        <f ca="1"/>
        <v>28.790001</v>
      </c>
      <c r="G74" s="22">
        <f ca="1"/>
        <v>23.935981999999999</v>
      </c>
      <c r="H74" s="69">
        <f ca="1"/>
        <v>62886300</v>
      </c>
      <c r="I74" s="23" t="str">
        <f t="shared" ca="1" si="3"/>
        <v/>
      </c>
      <c r="O74" s="56">
        <v>44608</v>
      </c>
      <c r="P74" s="73">
        <v>0.62</v>
      </c>
    </row>
    <row r="75" spans="1:16" ht="13.8">
      <c r="A75" s="20">
        <f t="shared" ca="1" si="2"/>
        <v>41379</v>
      </c>
      <c r="B75" s="21" t="str">
        <f ca="1"/>
        <v>2013-04-15</v>
      </c>
      <c r="C75" s="22">
        <f ca="1"/>
        <v>28.65</v>
      </c>
      <c r="D75" s="22">
        <f ca="1"/>
        <v>28.98</v>
      </c>
      <c r="E75" s="22">
        <f ca="1"/>
        <v>28.51</v>
      </c>
      <c r="F75" s="22">
        <f ca="1"/>
        <v>28.690000999999999</v>
      </c>
      <c r="G75" s="22">
        <f ca="1"/>
        <v>23.85284</v>
      </c>
      <c r="H75" s="69">
        <f ca="1"/>
        <v>56332900</v>
      </c>
      <c r="I75" s="23" t="str">
        <f t="shared" ca="1" si="3"/>
        <v/>
      </c>
      <c r="O75" s="56">
        <v>44699</v>
      </c>
      <c r="P75" s="73">
        <v>0.62</v>
      </c>
    </row>
    <row r="76" spans="1:16" ht="13.8">
      <c r="A76" s="20">
        <f t="shared" ca="1" si="2"/>
        <v>41380</v>
      </c>
      <c r="B76" s="21" t="str">
        <f ca="1"/>
        <v>2013-04-16</v>
      </c>
      <c r="C76" s="22">
        <f ca="1"/>
        <v>28.9</v>
      </c>
      <c r="D76" s="22">
        <f ca="1"/>
        <v>29.139999</v>
      </c>
      <c r="E76" s="22">
        <f ca="1"/>
        <v>28.700001</v>
      </c>
      <c r="F76" s="22">
        <f ca="1"/>
        <v>28.969999000000001</v>
      </c>
      <c r="G76" s="22">
        <f ca="1"/>
        <v>24.085632</v>
      </c>
      <c r="H76" s="69">
        <f ca="1"/>
        <v>52797300</v>
      </c>
      <c r="I76" s="23" t="str">
        <f t="shared" ca="1" si="3"/>
        <v/>
      </c>
      <c r="O76" s="56">
        <v>44790</v>
      </c>
      <c r="P76" s="73">
        <v>0.62</v>
      </c>
    </row>
    <row r="77" spans="1:16" ht="13.8">
      <c r="A77" s="20">
        <f t="shared" ca="1" si="2"/>
        <v>41381</v>
      </c>
      <c r="B77" s="21" t="str">
        <f ca="1"/>
        <v>2013-04-17</v>
      </c>
      <c r="C77" s="22">
        <f ca="1"/>
        <v>28.85</v>
      </c>
      <c r="D77" s="22">
        <f ca="1"/>
        <v>29.040001</v>
      </c>
      <c r="E77" s="22">
        <f ca="1"/>
        <v>28.6</v>
      </c>
      <c r="F77" s="22">
        <f ca="1"/>
        <v>28.83</v>
      </c>
      <c r="G77" s="22">
        <f ca="1"/>
        <v>23.969242000000001</v>
      </c>
      <c r="H77" s="69">
        <f ca="1"/>
        <v>52840700</v>
      </c>
      <c r="I77" s="23" t="str">
        <f t="shared" ca="1" si="3"/>
        <v/>
      </c>
      <c r="O77" s="56">
        <v>44881</v>
      </c>
      <c r="P77" s="73">
        <v>0.68</v>
      </c>
    </row>
    <row r="78" spans="1:16" ht="13.8">
      <c r="A78" s="20">
        <f t="shared" ca="1" si="2"/>
        <v>41382</v>
      </c>
      <c r="B78" s="21" t="str">
        <f ca="1"/>
        <v>2013-04-18</v>
      </c>
      <c r="C78" s="22">
        <f ca="1"/>
        <v>28.950001</v>
      </c>
      <c r="D78" s="22">
        <f ca="1"/>
        <v>28.98</v>
      </c>
      <c r="E78" s="22">
        <f ca="1"/>
        <v>28.5</v>
      </c>
      <c r="F78" s="22">
        <f ca="1"/>
        <v>28.790001</v>
      </c>
      <c r="G78" s="22">
        <f ca="1"/>
        <v>23.935981999999999</v>
      </c>
      <c r="H78" s="69">
        <f ca="1"/>
        <v>56906600</v>
      </c>
      <c r="I78" s="23" t="str">
        <f t="shared" ca="1" si="3"/>
        <v/>
      </c>
      <c r="O78" s="56"/>
      <c r="P78" s="73"/>
    </row>
    <row r="79" spans="1:16" ht="13.8">
      <c r="A79" s="20">
        <f t="shared" ca="1" si="2"/>
        <v>41383</v>
      </c>
      <c r="B79" s="21" t="str">
        <f ca="1"/>
        <v>2013-04-19</v>
      </c>
      <c r="C79" s="22">
        <f ca="1"/>
        <v>29.620000999999998</v>
      </c>
      <c r="D79" s="22">
        <f ca="1"/>
        <v>30.24</v>
      </c>
      <c r="E79" s="22">
        <f ca="1"/>
        <v>29.610001</v>
      </c>
      <c r="F79" s="22">
        <f ca="1"/>
        <v>29.77</v>
      </c>
      <c r="G79" s="22">
        <f ca="1"/>
        <v>24.750753</v>
      </c>
      <c r="H79" s="69">
        <f ca="1"/>
        <v>99790700</v>
      </c>
      <c r="I79" s="23" t="str">
        <f t="shared" ca="1" si="3"/>
        <v/>
      </c>
      <c r="O79" s="56"/>
      <c r="P79" s="73"/>
    </row>
    <row r="80" spans="1:16" ht="13.8">
      <c r="A80" s="20">
        <f t="shared" ca="1" si="2"/>
        <v>41386</v>
      </c>
      <c r="B80" s="21" t="str">
        <f ca="1"/>
        <v>2013-04-22</v>
      </c>
      <c r="C80" s="22">
        <f ca="1"/>
        <v>30.299999</v>
      </c>
      <c r="D80" s="22">
        <f ca="1"/>
        <v>31.18</v>
      </c>
      <c r="E80" s="22">
        <f ca="1"/>
        <v>30.27</v>
      </c>
      <c r="F80" s="22">
        <f ca="1"/>
        <v>30.83</v>
      </c>
      <c r="G80" s="22">
        <f ca="1"/>
        <v>25.632038000000001</v>
      </c>
      <c r="H80" s="69">
        <f ca="1"/>
        <v>137904000</v>
      </c>
      <c r="I80" s="23" t="str">
        <f t="shared" ca="1" si="3"/>
        <v/>
      </c>
      <c r="O80" s="56"/>
      <c r="P80" s="73"/>
    </row>
    <row r="81" spans="1:16" ht="13.8">
      <c r="A81" s="20">
        <f t="shared" ca="1" si="2"/>
        <v>41387</v>
      </c>
      <c r="B81" s="21" t="str">
        <f ca="1"/>
        <v>2013-04-23</v>
      </c>
      <c r="C81" s="22">
        <f ca="1"/>
        <v>30.700001</v>
      </c>
      <c r="D81" s="22">
        <f ca="1"/>
        <v>30.9</v>
      </c>
      <c r="E81" s="22">
        <f ca="1"/>
        <v>30.379999000000002</v>
      </c>
      <c r="F81" s="22">
        <f ca="1"/>
        <v>30.6</v>
      </c>
      <c r="G81" s="22">
        <f ca="1"/>
        <v>25.440815000000001</v>
      </c>
      <c r="H81" s="69">
        <f ca="1"/>
        <v>59126900</v>
      </c>
      <c r="I81" s="23" t="str">
        <f t="shared" ca="1" si="3"/>
        <v/>
      </c>
      <c r="O81" s="56"/>
      <c r="P81" s="73"/>
    </row>
    <row r="82" spans="1:16" ht="13.8">
      <c r="A82" s="20">
        <f t="shared" ca="1" si="2"/>
        <v>41388</v>
      </c>
      <c r="B82" s="21" t="str">
        <f ca="1"/>
        <v>2013-04-24</v>
      </c>
      <c r="C82" s="22">
        <f ca="1"/>
        <v>30.620000999999998</v>
      </c>
      <c r="D82" s="22">
        <f ca="1"/>
        <v>31.92</v>
      </c>
      <c r="E82" s="22">
        <f ca="1"/>
        <v>30.6</v>
      </c>
      <c r="F82" s="22">
        <f ca="1"/>
        <v>31.76</v>
      </c>
      <c r="G82" s="22">
        <f ca="1"/>
        <v>26.405237</v>
      </c>
      <c r="H82" s="69">
        <f ca="1"/>
        <v>90946600</v>
      </c>
      <c r="I82" s="23" t="str">
        <f t="shared" ca="1" si="3"/>
        <v/>
      </c>
      <c r="O82" s="56"/>
      <c r="P82" s="73"/>
    </row>
    <row r="83" spans="1:16" ht="13.8">
      <c r="A83" s="20">
        <f t="shared" ca="1" si="2"/>
        <v>41389</v>
      </c>
      <c r="B83" s="21" t="str">
        <f ca="1"/>
        <v>2013-04-25</v>
      </c>
      <c r="C83" s="22">
        <f ca="1"/>
        <v>31.709999</v>
      </c>
      <c r="D83" s="22">
        <f ca="1"/>
        <v>32.840000000000003</v>
      </c>
      <c r="E83" s="22">
        <f ca="1"/>
        <v>31.540001</v>
      </c>
      <c r="F83" s="22">
        <f ca="1"/>
        <v>31.940000999999999</v>
      </c>
      <c r="G83" s="22">
        <f ca="1"/>
        <v>26.554891999999999</v>
      </c>
      <c r="H83" s="69">
        <f ca="1"/>
        <v>110700200</v>
      </c>
      <c r="I83" s="23" t="str">
        <f t="shared" ca="1" si="3"/>
        <v/>
      </c>
      <c r="O83" s="56"/>
      <c r="P83" s="73"/>
    </row>
    <row r="84" spans="1:16" ht="13.8">
      <c r="A84" s="20">
        <f t="shared" ca="1" si="2"/>
        <v>41390</v>
      </c>
      <c r="B84" s="21" t="str">
        <f ca="1"/>
        <v>2013-04-26</v>
      </c>
      <c r="C84" s="22">
        <f ca="1"/>
        <v>31.9</v>
      </c>
      <c r="D84" s="22">
        <f ca="1"/>
        <v>31.98</v>
      </c>
      <c r="E84" s="22">
        <f ca="1"/>
        <v>31.450001</v>
      </c>
      <c r="F84" s="22">
        <f ca="1"/>
        <v>31.790001</v>
      </c>
      <c r="G84" s="22">
        <f ca="1"/>
        <v>26.430183</v>
      </c>
      <c r="H84" s="69">
        <f ca="1"/>
        <v>47799300</v>
      </c>
      <c r="I84" s="23" t="str">
        <f t="shared" ca="1" si="3"/>
        <v/>
      </c>
      <c r="O84" s="56"/>
      <c r="P84" s="73"/>
    </row>
    <row r="85" spans="1:16" ht="13.8">
      <c r="A85" s="20">
        <f t="shared" ca="1" si="2"/>
        <v>41393</v>
      </c>
      <c r="B85" s="21" t="str">
        <f ca="1"/>
        <v>2013-04-29</v>
      </c>
      <c r="C85" s="22">
        <f ca="1"/>
        <v>31.799999</v>
      </c>
      <c r="D85" s="22">
        <f ca="1"/>
        <v>32.68</v>
      </c>
      <c r="E85" s="22">
        <f ca="1"/>
        <v>31.77</v>
      </c>
      <c r="F85" s="22">
        <f ca="1"/>
        <v>32.610000999999997</v>
      </c>
      <c r="G85" s="22">
        <f ca="1"/>
        <v>27.111923000000001</v>
      </c>
      <c r="H85" s="69">
        <f ca="1"/>
        <v>59116400</v>
      </c>
      <c r="I85" s="23" t="str">
        <f t="shared" ca="1" si="3"/>
        <v/>
      </c>
      <c r="O85" s="56"/>
      <c r="P85" s="73"/>
    </row>
    <row r="86" spans="1:16" ht="13.8">
      <c r="A86" s="20">
        <f t="shared" ca="1" si="2"/>
        <v>41394</v>
      </c>
      <c r="B86" s="21" t="str">
        <f ca="1"/>
        <v>2013-04-30</v>
      </c>
      <c r="C86" s="22">
        <f ca="1"/>
        <v>32.560001</v>
      </c>
      <c r="D86" s="22">
        <f ca="1"/>
        <v>33.110000999999997</v>
      </c>
      <c r="E86" s="22">
        <f ca="1"/>
        <v>32.279998999999997</v>
      </c>
      <c r="F86" s="22">
        <f ca="1"/>
        <v>33.099997999999999</v>
      </c>
      <c r="G86" s="22">
        <f ca="1"/>
        <v>27.519306</v>
      </c>
      <c r="H86" s="69">
        <f ca="1"/>
        <v>75165200</v>
      </c>
      <c r="I86" s="23" t="str">
        <f t="shared" ca="1" si="3"/>
        <v/>
      </c>
      <c r="O86" s="56"/>
      <c r="P86" s="73"/>
    </row>
    <row r="87" spans="1:16" ht="13.8">
      <c r="A87" s="20">
        <f t="shared" ca="1" si="2"/>
        <v>41395</v>
      </c>
      <c r="B87" s="21" t="str">
        <f ca="1"/>
        <v>2013-05-01</v>
      </c>
      <c r="C87" s="22">
        <f ca="1"/>
        <v>32.93</v>
      </c>
      <c r="D87" s="22">
        <f ca="1"/>
        <v>33.080002</v>
      </c>
      <c r="E87" s="22">
        <f ca="1"/>
        <v>32.599997999999999</v>
      </c>
      <c r="F87" s="22">
        <f ca="1"/>
        <v>32.720001000000003</v>
      </c>
      <c r="G87" s="22">
        <f ca="1"/>
        <v>27.203384</v>
      </c>
      <c r="H87" s="69">
        <f ca="1"/>
        <v>54330900</v>
      </c>
      <c r="I87" s="23" t="str">
        <f t="shared" ca="1" si="3"/>
        <v/>
      </c>
      <c r="O87" s="56"/>
      <c r="P87" s="73"/>
    </row>
    <row r="88" spans="1:16" ht="13.8">
      <c r="A88" s="20">
        <f t="shared" ca="1" si="2"/>
        <v>41396</v>
      </c>
      <c r="B88" s="21" t="str">
        <f ca="1"/>
        <v>2013-05-02</v>
      </c>
      <c r="C88" s="22">
        <f ca="1"/>
        <v>32.630001</v>
      </c>
      <c r="D88" s="22">
        <f ca="1"/>
        <v>33.169998</v>
      </c>
      <c r="E88" s="22">
        <f ca="1"/>
        <v>32.389999000000003</v>
      </c>
      <c r="F88" s="22">
        <f ca="1"/>
        <v>33.159999999999997</v>
      </c>
      <c r="G88" s="22">
        <f ca="1"/>
        <v>27.569199000000001</v>
      </c>
      <c r="H88" s="69">
        <f ca="1"/>
        <v>46059500</v>
      </c>
      <c r="I88" s="23" t="str">
        <f t="shared" ca="1" si="3"/>
        <v/>
      </c>
      <c r="O88" s="56"/>
      <c r="P88" s="73"/>
    </row>
    <row r="89" spans="1:16" ht="13.8">
      <c r="A89" s="20">
        <f t="shared" ca="1" si="2"/>
        <v>41397</v>
      </c>
      <c r="B89" s="21" t="str">
        <f ca="1"/>
        <v>2013-05-03</v>
      </c>
      <c r="C89" s="22">
        <f ca="1"/>
        <v>33.229999999999997</v>
      </c>
      <c r="D89" s="22">
        <f ca="1"/>
        <v>33.520000000000003</v>
      </c>
      <c r="E89" s="22">
        <f ca="1"/>
        <v>33.080002</v>
      </c>
      <c r="F89" s="22">
        <f ca="1"/>
        <v>33.490001999999997</v>
      </c>
      <c r="G89" s="22">
        <f ca="1"/>
        <v>27.843561000000001</v>
      </c>
      <c r="H89" s="69">
        <f ca="1"/>
        <v>46784600</v>
      </c>
      <c r="I89" s="23" t="str">
        <f t="shared" ca="1" si="3"/>
        <v/>
      </c>
      <c r="O89" s="56"/>
      <c r="P89" s="73"/>
    </row>
    <row r="90" spans="1:16" ht="13.8">
      <c r="A90" s="20">
        <f t="shared" ca="1" si="2"/>
        <v>41400</v>
      </c>
      <c r="B90" s="21" t="str">
        <f ca="1"/>
        <v>2013-05-06</v>
      </c>
      <c r="C90" s="22">
        <f ca="1"/>
        <v>33.419998</v>
      </c>
      <c r="D90" s="22">
        <f ca="1"/>
        <v>33.909999999999997</v>
      </c>
      <c r="E90" s="22">
        <f ca="1"/>
        <v>33.25</v>
      </c>
      <c r="F90" s="22">
        <f ca="1"/>
        <v>33.75</v>
      </c>
      <c r="G90" s="22">
        <f ca="1"/>
        <v>28.059721</v>
      </c>
      <c r="H90" s="69">
        <f ca="1"/>
        <v>40978300</v>
      </c>
      <c r="I90" s="23" t="str">
        <f t="shared" ca="1" si="3"/>
        <v/>
      </c>
      <c r="O90" s="56"/>
      <c r="P90" s="73"/>
    </row>
    <row r="91" spans="1:16" ht="13.8">
      <c r="A91" s="20">
        <f t="shared" ca="1" si="2"/>
        <v>41401</v>
      </c>
      <c r="B91" s="21" t="str">
        <f ca="1"/>
        <v>2013-05-07</v>
      </c>
      <c r="C91" s="22">
        <f ca="1"/>
        <v>33.650002000000001</v>
      </c>
      <c r="D91" s="22">
        <f ca="1"/>
        <v>33.790000999999997</v>
      </c>
      <c r="E91" s="22">
        <f ca="1"/>
        <v>33.240001999999997</v>
      </c>
      <c r="F91" s="22">
        <f ca="1"/>
        <v>33.310001</v>
      </c>
      <c r="G91" s="22">
        <f ca="1"/>
        <v>27.693905000000001</v>
      </c>
      <c r="H91" s="69">
        <f ca="1"/>
        <v>43078300</v>
      </c>
      <c r="I91" s="23" t="str">
        <f t="shared" ca="1" si="3"/>
        <v/>
      </c>
      <c r="O91" s="56"/>
      <c r="P91" s="73"/>
    </row>
    <row r="92" spans="1:16" ht="13.8">
      <c r="A92" s="20">
        <f t="shared" ca="1" si="2"/>
        <v>41402</v>
      </c>
      <c r="B92" s="21" t="str">
        <f ca="1"/>
        <v>2013-05-08</v>
      </c>
      <c r="C92" s="22">
        <f ca="1"/>
        <v>33.07</v>
      </c>
      <c r="D92" s="22">
        <f ca="1"/>
        <v>33.240001999999997</v>
      </c>
      <c r="E92" s="22">
        <f ca="1"/>
        <v>32.650002000000001</v>
      </c>
      <c r="F92" s="22">
        <f ca="1"/>
        <v>32.990001999999997</v>
      </c>
      <c r="G92" s="22">
        <f ca="1"/>
        <v>27.427859999999999</v>
      </c>
      <c r="H92" s="69">
        <f ca="1"/>
        <v>51595700</v>
      </c>
      <c r="I92" s="23" t="str">
        <f t="shared" ca="1" si="3"/>
        <v/>
      </c>
      <c r="O92" s="56"/>
      <c r="P92" s="73"/>
    </row>
    <row r="93" spans="1:16" ht="13.8">
      <c r="A93" s="20">
        <f t="shared" ca="1" si="2"/>
        <v>41403</v>
      </c>
      <c r="B93" s="21" t="str">
        <f ca="1"/>
        <v>2013-05-09</v>
      </c>
      <c r="C93" s="22">
        <f ca="1"/>
        <v>32.849997999999999</v>
      </c>
      <c r="D93" s="22">
        <f ca="1"/>
        <v>33</v>
      </c>
      <c r="E93" s="22">
        <f ca="1"/>
        <v>32.590000000000003</v>
      </c>
      <c r="F93" s="22">
        <f ca="1"/>
        <v>32.659999999999997</v>
      </c>
      <c r="G93" s="22">
        <f ca="1"/>
        <v>27.153496000000001</v>
      </c>
      <c r="H93" s="69">
        <f ca="1"/>
        <v>46417800</v>
      </c>
      <c r="I93" s="23" t="str">
        <f t="shared" ca="1" si="3"/>
        <v/>
      </c>
      <c r="O93" s="56"/>
      <c r="P93" s="73"/>
    </row>
    <row r="94" spans="1:16" ht="13.8">
      <c r="A94" s="20">
        <f t="shared" ca="1" si="2"/>
        <v>41404</v>
      </c>
      <c r="B94" s="21" t="str">
        <f ca="1"/>
        <v>2013-05-10</v>
      </c>
      <c r="C94" s="22">
        <f ca="1"/>
        <v>32.669998</v>
      </c>
      <c r="D94" s="22">
        <f ca="1"/>
        <v>32.720001000000003</v>
      </c>
      <c r="E94" s="22">
        <f ca="1"/>
        <v>32.32</v>
      </c>
      <c r="F94" s="22">
        <f ca="1"/>
        <v>32.689999</v>
      </c>
      <c r="G94" s="22">
        <f ca="1"/>
        <v>27.178433999999999</v>
      </c>
      <c r="H94" s="69">
        <f ca="1"/>
        <v>36394900</v>
      </c>
      <c r="I94" s="23" t="str">
        <f t="shared" ca="1" si="3"/>
        <v/>
      </c>
      <c r="O94" s="56"/>
      <c r="P94" s="73"/>
    </row>
    <row r="95" spans="1:16" ht="13.8">
      <c r="A95" s="20">
        <f t="shared" ca="1" si="2"/>
        <v>41407</v>
      </c>
      <c r="B95" s="21" t="str">
        <f ca="1"/>
        <v>2013-05-13</v>
      </c>
      <c r="C95" s="22">
        <f ca="1"/>
        <v>32.610000999999997</v>
      </c>
      <c r="D95" s="22">
        <f ca="1"/>
        <v>33.07</v>
      </c>
      <c r="E95" s="22">
        <f ca="1"/>
        <v>32.549999</v>
      </c>
      <c r="F95" s="22">
        <f ca="1"/>
        <v>33.029998999999997</v>
      </c>
      <c r="G95" s="22">
        <f ca="1"/>
        <v>27.461113000000001</v>
      </c>
      <c r="H95" s="69">
        <f ca="1"/>
        <v>36027600</v>
      </c>
      <c r="I95" s="23" t="str">
        <f t="shared" ca="1" si="3"/>
        <v/>
      </c>
      <c r="O95" s="56"/>
      <c r="P95" s="73"/>
    </row>
    <row r="96" spans="1:16" ht="13.8">
      <c r="A96" s="20">
        <f t="shared" ca="1" si="2"/>
        <v>41408</v>
      </c>
      <c r="B96" s="21" t="str">
        <f ca="1"/>
        <v>2013-05-14</v>
      </c>
      <c r="C96" s="22">
        <f ca="1"/>
        <v>32.860000999999997</v>
      </c>
      <c r="D96" s="22">
        <f ca="1"/>
        <v>33.529998999999997</v>
      </c>
      <c r="E96" s="22">
        <f ca="1"/>
        <v>32.799999</v>
      </c>
      <c r="F96" s="22">
        <f ca="1"/>
        <v>33.529998999999997</v>
      </c>
      <c r="G96" s="22">
        <f ca="1"/>
        <v>28.072289000000001</v>
      </c>
      <c r="H96" s="69">
        <f ca="1"/>
        <v>56870100</v>
      </c>
      <c r="I96" s="23">
        <f t="shared" ca="1" si="3"/>
        <v>0.23</v>
      </c>
      <c r="O96" s="56"/>
      <c r="P96" s="73"/>
    </row>
    <row r="97" spans="1:16" ht="13.8">
      <c r="A97" s="20">
        <f t="shared" ca="1" si="2"/>
        <v>41409</v>
      </c>
      <c r="B97" s="21" t="str">
        <f ca="1"/>
        <v>2013-05-15</v>
      </c>
      <c r="C97" s="22">
        <f ca="1"/>
        <v>33.450001</v>
      </c>
      <c r="D97" s="22">
        <f ca="1"/>
        <v>33.900002000000001</v>
      </c>
      <c r="E97" s="22">
        <f ca="1"/>
        <v>33.43</v>
      </c>
      <c r="F97" s="22">
        <f ca="1"/>
        <v>33.849997999999999</v>
      </c>
      <c r="G97" s="22">
        <f ca="1"/>
        <v>28.340198999999998</v>
      </c>
      <c r="H97" s="69">
        <f ca="1"/>
        <v>46303900</v>
      </c>
      <c r="I97" s="23" t="str">
        <f t="shared" ca="1" si="3"/>
        <v/>
      </c>
      <c r="O97" s="56"/>
      <c r="P97" s="73"/>
    </row>
    <row r="98" spans="1:16" ht="13.8">
      <c r="A98" s="20">
        <f t="shared" ca="1" si="2"/>
        <v>41410</v>
      </c>
      <c r="B98" s="21" t="str">
        <f ca="1"/>
        <v>2013-05-16</v>
      </c>
      <c r="C98" s="22">
        <f ca="1"/>
        <v>33.639999000000003</v>
      </c>
      <c r="D98" s="22">
        <f ca="1"/>
        <v>34.150002000000001</v>
      </c>
      <c r="E98" s="22">
        <f ca="1"/>
        <v>33.549999</v>
      </c>
      <c r="F98" s="22">
        <f ca="1"/>
        <v>34.080002</v>
      </c>
      <c r="G98" s="22">
        <f ca="1"/>
        <v>28.532765999999999</v>
      </c>
      <c r="H98" s="69">
        <f ca="1"/>
        <v>59382900</v>
      </c>
      <c r="I98" s="23" t="str">
        <f t="shared" ca="1" si="3"/>
        <v/>
      </c>
      <c r="O98" s="56"/>
      <c r="P98" s="73"/>
    </row>
    <row r="99" spans="1:16" ht="13.8">
      <c r="A99" s="20">
        <f t="shared" ca="1" si="2"/>
        <v>41411</v>
      </c>
      <c r="B99" s="21" t="str">
        <f ca="1"/>
        <v>2013-05-17</v>
      </c>
      <c r="C99" s="22">
        <f ca="1"/>
        <v>34.130001</v>
      </c>
      <c r="D99" s="22">
        <f ca="1"/>
        <v>34.869999</v>
      </c>
      <c r="E99" s="22">
        <f ca="1"/>
        <v>34.099997999999999</v>
      </c>
      <c r="F99" s="22">
        <f ca="1"/>
        <v>34.869999</v>
      </c>
      <c r="G99" s="22">
        <f ca="1"/>
        <v>29.194178000000001</v>
      </c>
      <c r="H99" s="69">
        <f ca="1"/>
        <v>60666700</v>
      </c>
      <c r="I99" s="23" t="str">
        <f t="shared" ca="1" si="3"/>
        <v/>
      </c>
      <c r="O99" s="56"/>
      <c r="P99" s="73"/>
    </row>
    <row r="100" spans="1:16" ht="13.8">
      <c r="A100" s="20">
        <f t="shared" ca="1" si="2"/>
        <v>41414</v>
      </c>
      <c r="B100" s="21" t="str">
        <f ca="1"/>
        <v>2013-05-20</v>
      </c>
      <c r="C100" s="22">
        <f ca="1"/>
        <v>34.729999999999997</v>
      </c>
      <c r="D100" s="22">
        <f ca="1"/>
        <v>35.099997999999999</v>
      </c>
      <c r="E100" s="22">
        <f ca="1"/>
        <v>34.68</v>
      </c>
      <c r="F100" s="22">
        <f ca="1"/>
        <v>35.080002</v>
      </c>
      <c r="G100" s="22">
        <f ca="1"/>
        <v>29.370003000000001</v>
      </c>
      <c r="H100" s="69">
        <f ca="1"/>
        <v>54020800</v>
      </c>
      <c r="I100" s="23" t="str">
        <f t="shared" ca="1" si="3"/>
        <v/>
      </c>
      <c r="O100" s="56"/>
      <c r="P100" s="73"/>
    </row>
    <row r="101" spans="1:16" ht="13.8">
      <c r="A101" s="20">
        <f t="shared" ca="1" si="2"/>
        <v>41415</v>
      </c>
      <c r="B101" s="21" t="str">
        <f ca="1"/>
        <v>2013-05-21</v>
      </c>
      <c r="C101" s="22">
        <f ca="1"/>
        <v>35.099997999999999</v>
      </c>
      <c r="D101" s="22">
        <f ca="1"/>
        <v>35.270000000000003</v>
      </c>
      <c r="E101" s="22">
        <f ca="1"/>
        <v>34.720001000000003</v>
      </c>
      <c r="F101" s="22">
        <f ca="1"/>
        <v>34.849997999999999</v>
      </c>
      <c r="G101" s="22">
        <f ca="1"/>
        <v>29.177434999999999</v>
      </c>
      <c r="H101" s="69">
        <f ca="1"/>
        <v>48702400</v>
      </c>
      <c r="I101" s="23" t="str">
        <f t="shared" ca="1" si="3"/>
        <v/>
      </c>
      <c r="O101" s="56"/>
      <c r="P101" s="73"/>
    </row>
    <row r="102" spans="1:16" ht="13.8">
      <c r="A102" s="20">
        <f t="shared" ca="1" si="2"/>
        <v>41416</v>
      </c>
      <c r="B102" s="21" t="str">
        <f ca="1"/>
        <v>2013-05-22</v>
      </c>
      <c r="C102" s="22">
        <f ca="1"/>
        <v>34.790000999999997</v>
      </c>
      <c r="D102" s="22">
        <f ca="1"/>
        <v>34.840000000000003</v>
      </c>
      <c r="E102" s="22">
        <f ca="1"/>
        <v>34.360000999999997</v>
      </c>
      <c r="F102" s="22">
        <f ca="1"/>
        <v>34.610000999999997</v>
      </c>
      <c r="G102" s="22">
        <f ca="1"/>
        <v>28.976500000000001</v>
      </c>
      <c r="H102" s="69">
        <f ca="1"/>
        <v>66047500</v>
      </c>
      <c r="I102" s="23" t="str">
        <f t="shared" ca="1" si="3"/>
        <v/>
      </c>
      <c r="O102" s="56"/>
      <c r="P102" s="73"/>
    </row>
    <row r="103" spans="1:16" ht="13.8">
      <c r="A103" s="20">
        <f t="shared" ca="1" si="2"/>
        <v>41417</v>
      </c>
      <c r="B103" s="21" t="str">
        <f ca="1"/>
        <v>2013-05-23</v>
      </c>
      <c r="C103" s="22">
        <f ca="1"/>
        <v>34.229999999999997</v>
      </c>
      <c r="D103" s="22">
        <f ca="1"/>
        <v>34.549999</v>
      </c>
      <c r="E103" s="22">
        <f ca="1"/>
        <v>33.900002000000001</v>
      </c>
      <c r="F103" s="22">
        <f ca="1"/>
        <v>34.150002000000001</v>
      </c>
      <c r="G103" s="22">
        <f ca="1"/>
        <v>28.591372</v>
      </c>
      <c r="H103" s="69">
        <f ca="1"/>
        <v>51102700</v>
      </c>
      <c r="I103" s="23" t="str">
        <f t="shared" ca="1" si="3"/>
        <v/>
      </c>
      <c r="O103" s="56"/>
      <c r="P103" s="73"/>
    </row>
    <row r="104" spans="1:16" ht="13.8">
      <c r="A104" s="20">
        <f t="shared" ca="1" si="2"/>
        <v>41418</v>
      </c>
      <c r="B104" s="21" t="str">
        <f ca="1"/>
        <v>2013-05-24</v>
      </c>
      <c r="C104" s="22">
        <f ca="1"/>
        <v>33.919998</v>
      </c>
      <c r="D104" s="22">
        <f ca="1"/>
        <v>34.279998999999997</v>
      </c>
      <c r="E104" s="22">
        <f ca="1"/>
        <v>33.900002000000001</v>
      </c>
      <c r="F104" s="22">
        <f ca="1"/>
        <v>34.270000000000003</v>
      </c>
      <c r="G104" s="22">
        <f ca="1"/>
        <v>28.691839000000002</v>
      </c>
      <c r="H104" s="69">
        <f ca="1"/>
        <v>33174400</v>
      </c>
      <c r="I104" s="23" t="str">
        <f t="shared" ca="1" si="3"/>
        <v/>
      </c>
      <c r="O104" s="56"/>
      <c r="P104" s="73"/>
    </row>
    <row r="105" spans="1:16" ht="13.8">
      <c r="A105" s="20">
        <f t="shared" ca="1" si="2"/>
        <v>41422</v>
      </c>
      <c r="B105" s="21" t="str">
        <f ca="1"/>
        <v>2013-05-28</v>
      </c>
      <c r="C105" s="22">
        <f ca="1"/>
        <v>34.419998</v>
      </c>
      <c r="D105" s="22">
        <f ca="1"/>
        <v>35.18</v>
      </c>
      <c r="E105" s="22">
        <f ca="1"/>
        <v>34.409999999999997</v>
      </c>
      <c r="F105" s="22">
        <f ca="1"/>
        <v>35.020000000000003</v>
      </c>
      <c r="G105" s="22">
        <f ca="1"/>
        <v>29.319756000000002</v>
      </c>
      <c r="H105" s="69">
        <f ca="1"/>
        <v>48212100</v>
      </c>
      <c r="I105" s="23" t="str">
        <f t="shared" ca="1" si="3"/>
        <v/>
      </c>
      <c r="O105" s="56"/>
      <c r="P105" s="73"/>
    </row>
    <row r="106" spans="1:16" ht="13.8">
      <c r="A106" s="20">
        <f t="shared" ca="1" si="2"/>
        <v>41423</v>
      </c>
      <c r="B106" s="21" t="str">
        <f ca="1"/>
        <v>2013-05-29</v>
      </c>
      <c r="C106" s="22">
        <f ca="1"/>
        <v>34.740001999999997</v>
      </c>
      <c r="D106" s="22">
        <f ca="1"/>
        <v>35.020000000000003</v>
      </c>
      <c r="E106" s="22">
        <f ca="1"/>
        <v>34.57</v>
      </c>
      <c r="F106" s="22">
        <f ca="1"/>
        <v>34.880001</v>
      </c>
      <c r="G106" s="22">
        <f ca="1"/>
        <v>29.202556999999999</v>
      </c>
      <c r="H106" s="69">
        <f ca="1"/>
        <v>38412200</v>
      </c>
      <c r="I106" s="23" t="str">
        <f t="shared" ca="1" si="3"/>
        <v/>
      </c>
      <c r="O106" s="56"/>
      <c r="P106" s="73"/>
    </row>
    <row r="107" spans="1:16" ht="13.8">
      <c r="A107" s="20">
        <f t="shared" ca="1" si="2"/>
        <v>41424</v>
      </c>
      <c r="B107" s="21" t="str">
        <f ca="1"/>
        <v>2013-05-30</v>
      </c>
      <c r="C107" s="22">
        <f ca="1"/>
        <v>34.849997999999999</v>
      </c>
      <c r="D107" s="22">
        <f ca="1"/>
        <v>35.25</v>
      </c>
      <c r="E107" s="22">
        <f ca="1"/>
        <v>34.810001</v>
      </c>
      <c r="F107" s="22">
        <f ca="1"/>
        <v>35.029998999999997</v>
      </c>
      <c r="G107" s="22">
        <f ca="1"/>
        <v>29.328135</v>
      </c>
      <c r="H107" s="69">
        <f ca="1"/>
        <v>51131000</v>
      </c>
      <c r="I107" s="23" t="str">
        <f t="shared" ca="1" si="3"/>
        <v/>
      </c>
      <c r="O107" s="56"/>
      <c r="P107" s="73"/>
    </row>
    <row r="108" spans="1:16" ht="13.8">
      <c r="A108" s="20">
        <f t="shared" ca="1" si="2"/>
        <v>41425</v>
      </c>
      <c r="B108" s="21" t="str">
        <f ca="1"/>
        <v>2013-05-31</v>
      </c>
      <c r="C108" s="22">
        <f ca="1"/>
        <v>34.82</v>
      </c>
      <c r="D108" s="22">
        <f ca="1"/>
        <v>35.279998999999997</v>
      </c>
      <c r="E108" s="22">
        <f ca="1"/>
        <v>34.790000999999997</v>
      </c>
      <c r="F108" s="22">
        <f ca="1"/>
        <v>34.900002000000001</v>
      </c>
      <c r="G108" s="22">
        <f ca="1"/>
        <v>29.219291999999999</v>
      </c>
      <c r="H108" s="69">
        <f ca="1"/>
        <v>56165700</v>
      </c>
      <c r="I108" s="23" t="str">
        <f t="shared" ca="1" si="3"/>
        <v/>
      </c>
      <c r="O108" s="56"/>
      <c r="P108" s="73"/>
    </row>
    <row r="109" spans="1:16" ht="13.8">
      <c r="A109" s="20">
        <f t="shared" ca="1" si="2"/>
        <v>41428</v>
      </c>
      <c r="B109" s="21" t="str">
        <f ca="1"/>
        <v>2013-06-03</v>
      </c>
      <c r="C109" s="22">
        <f ca="1"/>
        <v>34.919998</v>
      </c>
      <c r="D109" s="22">
        <f ca="1"/>
        <v>35.630001</v>
      </c>
      <c r="E109" s="22">
        <f ca="1"/>
        <v>34.830002</v>
      </c>
      <c r="F109" s="22">
        <f ca="1"/>
        <v>35.590000000000003</v>
      </c>
      <c r="G109" s="22">
        <f ca="1"/>
        <v>29.796986</v>
      </c>
      <c r="H109" s="69">
        <f ca="1"/>
        <v>51252600</v>
      </c>
      <c r="I109" s="23" t="str">
        <f t="shared" ca="1" si="3"/>
        <v/>
      </c>
      <c r="O109" s="56"/>
      <c r="P109" s="73"/>
    </row>
    <row r="110" spans="1:16" ht="13.8">
      <c r="A110" s="20">
        <f t="shared" ca="1" si="2"/>
        <v>41429</v>
      </c>
      <c r="B110" s="21" t="str">
        <f ca="1"/>
        <v>2013-06-04</v>
      </c>
      <c r="C110" s="22">
        <f ca="1"/>
        <v>35.619999</v>
      </c>
      <c r="D110" s="22">
        <f ca="1"/>
        <v>35.740001999999997</v>
      </c>
      <c r="E110" s="22">
        <f ca="1"/>
        <v>34.770000000000003</v>
      </c>
      <c r="F110" s="22">
        <f ca="1"/>
        <v>34.990001999999997</v>
      </c>
      <c r="G110" s="22">
        <f ca="1"/>
        <v>29.294643000000001</v>
      </c>
      <c r="H110" s="69">
        <f ca="1"/>
        <v>65529500</v>
      </c>
      <c r="I110" s="23" t="str">
        <f t="shared" ca="1" si="3"/>
        <v/>
      </c>
      <c r="O110" s="56"/>
      <c r="P110" s="73"/>
    </row>
    <row r="111" spans="1:16" ht="13.8">
      <c r="A111" s="20">
        <f t="shared" ca="1" si="2"/>
        <v>41430</v>
      </c>
      <c r="B111" s="21" t="str">
        <f ca="1"/>
        <v>2013-06-05</v>
      </c>
      <c r="C111" s="22">
        <f ca="1"/>
        <v>34.599997999999999</v>
      </c>
      <c r="D111" s="22">
        <f ca="1"/>
        <v>34.889999000000003</v>
      </c>
      <c r="E111" s="22">
        <f ca="1"/>
        <v>34.43</v>
      </c>
      <c r="F111" s="22">
        <f ca="1"/>
        <v>34.779998999999997</v>
      </c>
      <c r="G111" s="22">
        <f ca="1"/>
        <v>29.118818000000001</v>
      </c>
      <c r="H111" s="69">
        <f ca="1"/>
        <v>46025100</v>
      </c>
      <c r="I111" s="23" t="str">
        <f t="shared" ca="1" si="3"/>
        <v/>
      </c>
      <c r="O111" s="56"/>
      <c r="P111" s="73"/>
    </row>
    <row r="112" spans="1:16" ht="13.8">
      <c r="A112" s="20">
        <f t="shared" ca="1" si="2"/>
        <v>41431</v>
      </c>
      <c r="B112" s="21" t="str">
        <f ca="1"/>
        <v>2013-06-06</v>
      </c>
      <c r="C112" s="22">
        <f ca="1"/>
        <v>34.840000000000003</v>
      </c>
      <c r="D112" s="22">
        <f ca="1"/>
        <v>35.110000999999997</v>
      </c>
      <c r="E112" s="22">
        <f ca="1"/>
        <v>34.490001999999997</v>
      </c>
      <c r="F112" s="22">
        <f ca="1"/>
        <v>34.959999000000003</v>
      </c>
      <c r="G112" s="22">
        <f ca="1"/>
        <v>29.269525999999999</v>
      </c>
      <c r="H112" s="69">
        <f ca="1"/>
        <v>37618500</v>
      </c>
      <c r="I112" s="23" t="str">
        <f t="shared" ca="1" si="3"/>
        <v/>
      </c>
      <c r="O112" s="56"/>
      <c r="P112" s="73"/>
    </row>
    <row r="113" spans="1:16" ht="13.8">
      <c r="A113" s="20">
        <f t="shared" ca="1" si="2"/>
        <v>41432</v>
      </c>
      <c r="B113" s="21" t="str">
        <f ca="1"/>
        <v>2013-06-07</v>
      </c>
      <c r="C113" s="22">
        <f ca="1"/>
        <v>35.25</v>
      </c>
      <c r="D113" s="22">
        <f ca="1"/>
        <v>35.779998999999997</v>
      </c>
      <c r="E113" s="22">
        <f ca="1"/>
        <v>35.060001</v>
      </c>
      <c r="F113" s="22">
        <f ca="1"/>
        <v>35.669998</v>
      </c>
      <c r="G113" s="22">
        <f ca="1"/>
        <v>29.863962000000001</v>
      </c>
      <c r="H113" s="69">
        <f ca="1"/>
        <v>40757300</v>
      </c>
      <c r="I113" s="23" t="str">
        <f t="shared" ca="1" si="3"/>
        <v/>
      </c>
      <c r="O113" s="56"/>
      <c r="P113" s="73"/>
    </row>
    <row r="114" spans="1:16" ht="13.8">
      <c r="A114" s="20">
        <f t="shared" ca="1" si="2"/>
        <v>41435</v>
      </c>
      <c r="B114" s="21" t="str">
        <f ca="1"/>
        <v>2013-06-10</v>
      </c>
      <c r="C114" s="22">
        <f ca="1"/>
        <v>35.509998000000003</v>
      </c>
      <c r="D114" s="22">
        <f ca="1"/>
        <v>35.650002000000001</v>
      </c>
      <c r="E114" s="22">
        <f ca="1"/>
        <v>35.139999000000003</v>
      </c>
      <c r="F114" s="22">
        <f ca="1"/>
        <v>35.470001000000003</v>
      </c>
      <c r="G114" s="22">
        <f ca="1"/>
        <v>29.696525999999999</v>
      </c>
      <c r="H114" s="69">
        <f ca="1"/>
        <v>35994500</v>
      </c>
      <c r="I114" s="23" t="str">
        <f t="shared" ca="1" si="3"/>
        <v/>
      </c>
      <c r="O114" s="56"/>
      <c r="P114" s="73"/>
    </row>
    <row r="115" spans="1:16" ht="13.8">
      <c r="A115" s="20">
        <f t="shared" ca="1" si="2"/>
        <v>41436</v>
      </c>
      <c r="B115" s="21" t="str">
        <f ca="1"/>
        <v>2013-06-11</v>
      </c>
      <c r="C115" s="22">
        <f ca="1"/>
        <v>35.049999</v>
      </c>
      <c r="D115" s="22">
        <f ca="1"/>
        <v>35.18</v>
      </c>
      <c r="E115" s="22">
        <f ca="1"/>
        <v>34.68</v>
      </c>
      <c r="F115" s="22">
        <f ca="1"/>
        <v>34.840000000000003</v>
      </c>
      <c r="G115" s="22">
        <f ca="1"/>
        <v>29.169058</v>
      </c>
      <c r="H115" s="69">
        <f ca="1"/>
        <v>39435900</v>
      </c>
      <c r="I115" s="23" t="str">
        <f t="shared" ca="1" si="3"/>
        <v/>
      </c>
      <c r="O115" s="56"/>
      <c r="P115" s="73"/>
    </row>
    <row r="116" spans="1:16" ht="13.8">
      <c r="A116" s="20">
        <f t="shared" ca="1" si="2"/>
        <v>41437</v>
      </c>
      <c r="B116" s="21" t="str">
        <f ca="1"/>
        <v>2013-06-12</v>
      </c>
      <c r="C116" s="22">
        <f ca="1"/>
        <v>35.139999000000003</v>
      </c>
      <c r="D116" s="22">
        <f ca="1"/>
        <v>35.270000000000003</v>
      </c>
      <c r="E116" s="22">
        <f ca="1"/>
        <v>34.849997999999999</v>
      </c>
      <c r="F116" s="22">
        <f ca="1"/>
        <v>35</v>
      </c>
      <c r="G116" s="22">
        <f ca="1"/>
        <v>29.303018999999999</v>
      </c>
      <c r="H116" s="69">
        <f ca="1"/>
        <v>37372700</v>
      </c>
      <c r="I116" s="23" t="str">
        <f t="shared" ca="1" si="3"/>
        <v/>
      </c>
      <c r="O116" s="56"/>
      <c r="P116" s="73"/>
    </row>
    <row r="117" spans="1:16" ht="13.8">
      <c r="A117" s="20">
        <f t="shared" ca="1" si="2"/>
        <v>41438</v>
      </c>
      <c r="B117" s="21" t="str">
        <f ca="1"/>
        <v>2013-06-13</v>
      </c>
      <c r="C117" s="22">
        <f ca="1"/>
        <v>34.990001999999997</v>
      </c>
      <c r="D117" s="22">
        <f ca="1"/>
        <v>35.020000000000003</v>
      </c>
      <c r="E117" s="22">
        <f ca="1"/>
        <v>34.590000000000003</v>
      </c>
      <c r="F117" s="22">
        <f ca="1"/>
        <v>34.720001000000003</v>
      </c>
      <c r="G117" s="22">
        <f ca="1"/>
        <v>29.068591999999999</v>
      </c>
      <c r="H117" s="69">
        <f ca="1"/>
        <v>45654900</v>
      </c>
      <c r="I117" s="23" t="str">
        <f t="shared" ca="1" si="3"/>
        <v/>
      </c>
      <c r="O117" s="56"/>
      <c r="P117" s="73"/>
    </row>
    <row r="118" spans="1:16" ht="13.8">
      <c r="A118" s="20">
        <f t="shared" ca="1" si="2"/>
        <v>41439</v>
      </c>
      <c r="B118" s="21" t="str">
        <f ca="1"/>
        <v>2013-06-14</v>
      </c>
      <c r="C118" s="22">
        <f ca="1"/>
        <v>34.549999</v>
      </c>
      <c r="D118" s="22">
        <f ca="1"/>
        <v>34.689999</v>
      </c>
      <c r="E118" s="22">
        <f ca="1"/>
        <v>34.25</v>
      </c>
      <c r="F118" s="22">
        <f ca="1"/>
        <v>34.400002000000001</v>
      </c>
      <c r="G118" s="22">
        <f ca="1"/>
        <v>28.800688000000001</v>
      </c>
      <c r="H118" s="69">
        <f ca="1"/>
        <v>53192600</v>
      </c>
      <c r="I118" s="23" t="str">
        <f t="shared" ca="1" si="3"/>
        <v/>
      </c>
      <c r="O118" s="56"/>
      <c r="P118" s="73"/>
    </row>
    <row r="119" spans="1:16" ht="13.8">
      <c r="A119" s="20">
        <f t="shared" ca="1" si="2"/>
        <v>41442</v>
      </c>
      <c r="B119" s="21" t="str">
        <f ca="1"/>
        <v>2013-06-17</v>
      </c>
      <c r="C119" s="22">
        <f ca="1"/>
        <v>34.689999</v>
      </c>
      <c r="D119" s="22">
        <f ca="1"/>
        <v>35.159999999999997</v>
      </c>
      <c r="E119" s="22">
        <f ca="1"/>
        <v>34.630001</v>
      </c>
      <c r="F119" s="22">
        <f ca="1"/>
        <v>35</v>
      </c>
      <c r="G119" s="22">
        <f ca="1"/>
        <v>29.303018999999999</v>
      </c>
      <c r="H119" s="69">
        <f ca="1"/>
        <v>49670100</v>
      </c>
      <c r="I119" s="23" t="str">
        <f t="shared" ca="1" si="3"/>
        <v/>
      </c>
      <c r="O119" s="56"/>
      <c r="P119" s="73"/>
    </row>
    <row r="120" spans="1:16" ht="13.8">
      <c r="A120" s="20">
        <f t="shared" ca="1" si="2"/>
        <v>41443</v>
      </c>
      <c r="B120" s="21" t="str">
        <f ca="1"/>
        <v>2013-06-18</v>
      </c>
      <c r="C120" s="22">
        <f ca="1"/>
        <v>34.970001000000003</v>
      </c>
      <c r="D120" s="22">
        <f ca="1"/>
        <v>35.169998</v>
      </c>
      <c r="E120" s="22">
        <f ca="1"/>
        <v>34.900002000000001</v>
      </c>
      <c r="F120" s="22">
        <f ca="1"/>
        <v>34.979999999999997</v>
      </c>
      <c r="G120" s="22">
        <f ca="1"/>
        <v>29.286269999999998</v>
      </c>
      <c r="H120" s="69">
        <f ca="1"/>
        <v>28616500</v>
      </c>
      <c r="I120" s="23" t="str">
        <f t="shared" ca="1" si="3"/>
        <v/>
      </c>
      <c r="O120" s="56"/>
      <c r="P120" s="73"/>
    </row>
    <row r="121" spans="1:16" ht="13.8">
      <c r="A121" s="20">
        <f t="shared" ca="1" si="2"/>
        <v>41444</v>
      </c>
      <c r="B121" s="21" t="str">
        <f ca="1"/>
        <v>2013-06-19</v>
      </c>
      <c r="C121" s="22">
        <f ca="1"/>
        <v>34.959999000000003</v>
      </c>
      <c r="D121" s="22">
        <f ca="1"/>
        <v>35.090000000000003</v>
      </c>
      <c r="E121" s="22">
        <f ca="1"/>
        <v>34.590000000000003</v>
      </c>
      <c r="F121" s="22">
        <f ca="1"/>
        <v>34.590000000000003</v>
      </c>
      <c r="G121" s="22">
        <f ca="1"/>
        <v>28.959752999999999</v>
      </c>
      <c r="H121" s="69">
        <f ca="1"/>
        <v>30816200</v>
      </c>
      <c r="I121" s="23" t="str">
        <f t="shared" ca="1" si="3"/>
        <v/>
      </c>
      <c r="O121" s="56"/>
      <c r="P121" s="73"/>
    </row>
    <row r="122" spans="1:16" ht="13.8">
      <c r="A122" s="20">
        <f t="shared" ca="1" si="2"/>
        <v>41445</v>
      </c>
      <c r="B122" s="21" t="str">
        <f ca="1"/>
        <v>2013-06-20</v>
      </c>
      <c r="C122" s="22">
        <f ca="1"/>
        <v>34.259998000000003</v>
      </c>
      <c r="D122" s="22">
        <f ca="1"/>
        <v>34.330002</v>
      </c>
      <c r="E122" s="22">
        <f ca="1"/>
        <v>33.369999</v>
      </c>
      <c r="F122" s="22">
        <f ca="1"/>
        <v>33.490001999999997</v>
      </c>
      <c r="G122" s="22">
        <f ca="1"/>
        <v>28.038806999999998</v>
      </c>
      <c r="H122" s="69">
        <f ca="1"/>
        <v>54493700</v>
      </c>
      <c r="I122" s="23" t="str">
        <f t="shared" ca="1" si="3"/>
        <v/>
      </c>
      <c r="O122" s="56"/>
      <c r="P122" s="73"/>
    </row>
    <row r="123" spans="1:16" ht="13.8">
      <c r="A123" s="20">
        <f t="shared" ca="1" si="2"/>
        <v>41446</v>
      </c>
      <c r="B123" s="21" t="str">
        <f ca="1"/>
        <v>2013-06-21</v>
      </c>
      <c r="C123" s="22">
        <f ca="1"/>
        <v>33.659999999999997</v>
      </c>
      <c r="D123" s="22">
        <f ca="1"/>
        <v>33.729999999999997</v>
      </c>
      <c r="E123" s="22">
        <f ca="1"/>
        <v>33.049999</v>
      </c>
      <c r="F123" s="22">
        <f ca="1"/>
        <v>33.270000000000003</v>
      </c>
      <c r="G123" s="22">
        <f ca="1"/>
        <v>27.854607000000001</v>
      </c>
      <c r="H123" s="69">
        <f ca="1"/>
        <v>85338500</v>
      </c>
      <c r="I123" s="23" t="str">
        <f t="shared" ca="1" si="3"/>
        <v/>
      </c>
      <c r="O123" s="56"/>
      <c r="P123" s="73"/>
    </row>
    <row r="124" spans="1:16" ht="13.8">
      <c r="A124" s="20">
        <f t="shared" ca="1" si="2"/>
        <v>41449</v>
      </c>
      <c r="B124" s="21" t="str">
        <f ca="1"/>
        <v>2013-06-24</v>
      </c>
      <c r="C124" s="22">
        <f ca="1"/>
        <v>32.939999</v>
      </c>
      <c r="D124" s="22">
        <f ca="1"/>
        <v>34.200001</v>
      </c>
      <c r="E124" s="22">
        <f ca="1"/>
        <v>32.57</v>
      </c>
      <c r="F124" s="22">
        <f ca="1"/>
        <v>33.720001000000003</v>
      </c>
      <c r="G124" s="22">
        <f ca="1"/>
        <v>28.231373000000001</v>
      </c>
      <c r="H124" s="69">
        <f ca="1"/>
        <v>56109000</v>
      </c>
      <c r="I124" s="23" t="str">
        <f t="shared" ca="1" si="3"/>
        <v/>
      </c>
      <c r="O124" s="56"/>
      <c r="P124" s="73"/>
    </row>
    <row r="125" spans="1:16" ht="13.8">
      <c r="A125" s="20">
        <f t="shared" ca="1" si="2"/>
        <v>41450</v>
      </c>
      <c r="B125" s="21" t="str">
        <f ca="1"/>
        <v>2013-06-25</v>
      </c>
      <c r="C125" s="22">
        <f ca="1"/>
        <v>34.080002</v>
      </c>
      <c r="D125" s="22">
        <f ca="1"/>
        <v>34.380001</v>
      </c>
      <c r="E125" s="22">
        <f ca="1"/>
        <v>33.459999000000003</v>
      </c>
      <c r="F125" s="22">
        <f ca="1"/>
        <v>33.669998</v>
      </c>
      <c r="G125" s="22">
        <f ca="1"/>
        <v>28.189502999999998</v>
      </c>
      <c r="H125" s="69">
        <f ca="1"/>
        <v>44073400</v>
      </c>
      <c r="I125" s="23" t="str">
        <f t="shared" ca="1" si="3"/>
        <v/>
      </c>
      <c r="O125" s="56"/>
      <c r="P125" s="73"/>
    </row>
    <row r="126" spans="1:16" ht="13.8">
      <c r="A126" s="20">
        <f t="shared" ca="1" si="2"/>
        <v>41451</v>
      </c>
      <c r="B126" s="21" t="str">
        <f ca="1"/>
        <v>2013-06-26</v>
      </c>
      <c r="C126" s="22">
        <f ca="1"/>
        <v>34.119999</v>
      </c>
      <c r="D126" s="22">
        <f ca="1"/>
        <v>34.479999999999997</v>
      </c>
      <c r="E126" s="22">
        <f ca="1"/>
        <v>33.889999000000003</v>
      </c>
      <c r="F126" s="22">
        <f ca="1"/>
        <v>34.349997999999999</v>
      </c>
      <c r="G126" s="22">
        <f ca="1"/>
        <v>28.758818000000002</v>
      </c>
      <c r="H126" s="69">
        <f ca="1"/>
        <v>48665900</v>
      </c>
      <c r="I126" s="23" t="str">
        <f t="shared" ca="1" si="3"/>
        <v/>
      </c>
      <c r="O126" s="56"/>
      <c r="P126" s="73"/>
    </row>
    <row r="127" spans="1:16" ht="13.8">
      <c r="A127" s="20">
        <f t="shared" ca="1" si="2"/>
        <v>41452</v>
      </c>
      <c r="B127" s="21" t="str">
        <f ca="1"/>
        <v>2013-06-27</v>
      </c>
      <c r="C127" s="22">
        <f ca="1"/>
        <v>34.520000000000003</v>
      </c>
      <c r="D127" s="22">
        <f ca="1"/>
        <v>34.779998999999997</v>
      </c>
      <c r="E127" s="22">
        <f ca="1"/>
        <v>34.5</v>
      </c>
      <c r="F127" s="22">
        <f ca="1"/>
        <v>34.619999</v>
      </c>
      <c r="G127" s="22">
        <f ca="1"/>
        <v>28.984870999999998</v>
      </c>
      <c r="H127" s="69">
        <f ca="1"/>
        <v>28993100</v>
      </c>
      <c r="I127" s="23" t="str">
        <f t="shared" ca="1" si="3"/>
        <v/>
      </c>
      <c r="O127" s="56"/>
      <c r="P127" s="73"/>
    </row>
    <row r="128" spans="1:16" ht="13.8">
      <c r="A128" s="20">
        <f t="shared" ca="1" si="2"/>
        <v>41453</v>
      </c>
      <c r="B128" s="21" t="str">
        <f ca="1"/>
        <v>2013-06-28</v>
      </c>
      <c r="C128" s="22">
        <f ca="1"/>
        <v>34.380001</v>
      </c>
      <c r="D128" s="22">
        <f ca="1"/>
        <v>34.790000999999997</v>
      </c>
      <c r="E128" s="22">
        <f ca="1"/>
        <v>34.340000000000003</v>
      </c>
      <c r="F128" s="22">
        <f ca="1"/>
        <v>34.540000999999997</v>
      </c>
      <c r="G128" s="22">
        <f ca="1"/>
        <v>28.917887</v>
      </c>
      <c r="H128" s="69">
        <f ca="1"/>
        <v>65545500</v>
      </c>
      <c r="I128" s="23" t="str">
        <f t="shared" ca="1" si="3"/>
        <v/>
      </c>
      <c r="O128" s="56"/>
      <c r="P128" s="73"/>
    </row>
    <row r="129" spans="1:16" ht="13.8">
      <c r="A129" s="20">
        <f t="shared" ca="1" si="2"/>
        <v>41456</v>
      </c>
      <c r="B129" s="21" t="str">
        <f ca="1"/>
        <v>2013-07-01</v>
      </c>
      <c r="C129" s="22">
        <f ca="1"/>
        <v>34.75</v>
      </c>
      <c r="D129" s="22">
        <f ca="1"/>
        <v>34.990001999999997</v>
      </c>
      <c r="E129" s="22">
        <f ca="1"/>
        <v>34.330002</v>
      </c>
      <c r="F129" s="22">
        <f ca="1"/>
        <v>34.360000999999997</v>
      </c>
      <c r="G129" s="22">
        <f ca="1"/>
        <v>28.767196999999999</v>
      </c>
      <c r="H129" s="69">
        <f ca="1"/>
        <v>31055400</v>
      </c>
      <c r="I129" s="23" t="str">
        <f t="shared" ca="1" si="3"/>
        <v/>
      </c>
      <c r="O129" s="56"/>
      <c r="P129" s="73"/>
    </row>
    <row r="130" spans="1:16" ht="13.8">
      <c r="A130" s="20">
        <f t="shared" ca="1" si="2"/>
        <v>41457</v>
      </c>
      <c r="B130" s="21" t="str">
        <f ca="1"/>
        <v>2013-07-02</v>
      </c>
      <c r="C130" s="22">
        <f ca="1"/>
        <v>34.409999999999997</v>
      </c>
      <c r="D130" s="22">
        <f ca="1"/>
        <v>34.439999</v>
      </c>
      <c r="E130" s="22">
        <f ca="1"/>
        <v>33.630001</v>
      </c>
      <c r="F130" s="22">
        <f ca="1"/>
        <v>33.939999</v>
      </c>
      <c r="G130" s="22">
        <f ca="1"/>
        <v>28.415559999999999</v>
      </c>
      <c r="H130" s="69">
        <f ca="1"/>
        <v>37630000</v>
      </c>
      <c r="I130" s="23" t="str">
        <f t="shared" ca="1" si="3"/>
        <v/>
      </c>
      <c r="O130" s="56"/>
      <c r="P130" s="73"/>
    </row>
    <row r="131" spans="1:16" ht="13.8">
      <c r="A131" s="20">
        <f t="shared" ca="1" si="2"/>
        <v>41458</v>
      </c>
      <c r="B131" s="21" t="str">
        <f ca="1"/>
        <v>2013-07-03</v>
      </c>
      <c r="C131" s="22">
        <f ca="1"/>
        <v>33.659999999999997</v>
      </c>
      <c r="D131" s="22">
        <f ca="1"/>
        <v>34.369999</v>
      </c>
      <c r="E131" s="22">
        <f ca="1"/>
        <v>33.599997999999999</v>
      </c>
      <c r="F131" s="22">
        <f ca="1"/>
        <v>34.009998000000003</v>
      </c>
      <c r="G131" s="22">
        <f ca="1"/>
        <v>28.474160999999999</v>
      </c>
      <c r="H131" s="69">
        <f ca="1"/>
        <v>15994400</v>
      </c>
      <c r="I131" s="23" t="str">
        <f t="shared" ca="1" si="3"/>
        <v/>
      </c>
      <c r="O131" s="56"/>
      <c r="P131" s="73"/>
    </row>
    <row r="132" spans="1:16" ht="13.8">
      <c r="A132" s="20">
        <f t="shared" ca="1" si="2"/>
        <v>41460</v>
      </c>
      <c r="B132" s="21" t="str">
        <f ca="1"/>
        <v>2013-07-05</v>
      </c>
      <c r="C132" s="22">
        <f ca="1"/>
        <v>34.090000000000003</v>
      </c>
      <c r="D132" s="22">
        <f ca="1"/>
        <v>34.240001999999997</v>
      </c>
      <c r="E132" s="22">
        <f ca="1"/>
        <v>33.580002</v>
      </c>
      <c r="F132" s="22">
        <f ca="1"/>
        <v>34.209999000000003</v>
      </c>
      <c r="G132" s="22">
        <f ca="1"/>
        <v>28.6416</v>
      </c>
      <c r="H132" s="69">
        <f ca="1"/>
        <v>26085900</v>
      </c>
      <c r="I132" s="23" t="str">
        <f t="shared" ca="1" si="3"/>
        <v/>
      </c>
      <c r="O132" s="56"/>
      <c r="P132" s="73"/>
    </row>
    <row r="133" spans="1:16" ht="13.8">
      <c r="A133" s="20">
        <f t="shared" ca="1" si="2"/>
        <v>41463</v>
      </c>
      <c r="B133" s="21" t="str">
        <f ca="1"/>
        <v>2013-07-08</v>
      </c>
      <c r="C133" s="22">
        <f ca="1"/>
        <v>34.349997999999999</v>
      </c>
      <c r="D133" s="22">
        <f ca="1"/>
        <v>34.590000000000003</v>
      </c>
      <c r="E133" s="22">
        <f ca="1"/>
        <v>33.979999999999997</v>
      </c>
      <c r="F133" s="22">
        <f ca="1"/>
        <v>34.330002</v>
      </c>
      <c r="G133" s="22">
        <f ca="1"/>
        <v>28.742075</v>
      </c>
      <c r="H133" s="69">
        <f ca="1"/>
        <v>32396900</v>
      </c>
      <c r="I133" s="23" t="str">
        <f t="shared" ca="1" si="3"/>
        <v/>
      </c>
      <c r="O133" s="56"/>
      <c r="P133" s="73"/>
    </row>
    <row r="134" spans="1:16" ht="13.8">
      <c r="A134" s="20">
        <f t="shared" ref="A134:A197" ca="1" si="4">IFERROR(DATEVALUE($B134),"--")</f>
        <v>41464</v>
      </c>
      <c r="B134" s="21" t="str">
        <f ca="1"/>
        <v>2013-07-09</v>
      </c>
      <c r="C134" s="22">
        <f ca="1"/>
        <v>34.580002</v>
      </c>
      <c r="D134" s="22">
        <f ca="1"/>
        <v>34.599997999999999</v>
      </c>
      <c r="E134" s="22">
        <f ca="1"/>
        <v>34.139999000000003</v>
      </c>
      <c r="F134" s="22">
        <f ca="1"/>
        <v>34.349997999999999</v>
      </c>
      <c r="G134" s="22">
        <f ca="1"/>
        <v>28.758818000000002</v>
      </c>
      <c r="H134" s="69">
        <f ca="1"/>
        <v>25318500</v>
      </c>
      <c r="I134" s="23" t="str">
        <f t="shared" ref="I134:I197" ca="1" si="5">IFERROR(IF(Ticker&lt;&gt;$Q$2,"",INDEX($P:$P,MATCH($A134,$O:$O,0))),"")</f>
        <v/>
      </c>
      <c r="O134" s="56"/>
      <c r="P134" s="73"/>
    </row>
    <row r="135" spans="1:16" ht="13.8">
      <c r="A135" s="20">
        <f t="shared" ca="1" si="4"/>
        <v>41465</v>
      </c>
      <c r="B135" s="21" t="str">
        <f ca="1"/>
        <v>2013-07-10</v>
      </c>
      <c r="C135" s="22">
        <f ca="1"/>
        <v>34.340000000000003</v>
      </c>
      <c r="D135" s="22">
        <f ca="1"/>
        <v>34.810001</v>
      </c>
      <c r="E135" s="22">
        <f ca="1"/>
        <v>34.32</v>
      </c>
      <c r="F135" s="22">
        <f ca="1"/>
        <v>34.700001</v>
      </c>
      <c r="G135" s="22">
        <f ca="1"/>
        <v>29.051849000000001</v>
      </c>
      <c r="H135" s="69">
        <f ca="1"/>
        <v>29658800</v>
      </c>
      <c r="I135" s="23" t="str">
        <f t="shared" ca="1" si="5"/>
        <v/>
      </c>
      <c r="O135" s="56"/>
      <c r="P135" s="73"/>
    </row>
    <row r="136" spans="1:16" ht="13.8">
      <c r="A136" s="20">
        <f t="shared" ca="1" si="4"/>
        <v>41466</v>
      </c>
      <c r="B136" s="21" t="str">
        <f ca="1"/>
        <v>2013-07-11</v>
      </c>
      <c r="C136" s="22">
        <f ca="1"/>
        <v>35</v>
      </c>
      <c r="D136" s="22">
        <f ca="1"/>
        <v>35.770000000000003</v>
      </c>
      <c r="E136" s="22">
        <f ca="1"/>
        <v>34.900002000000001</v>
      </c>
      <c r="F136" s="22">
        <f ca="1"/>
        <v>35.689999</v>
      </c>
      <c r="G136" s="22">
        <f ca="1"/>
        <v>29.880700999999998</v>
      </c>
      <c r="H136" s="69">
        <f ca="1"/>
        <v>53638300</v>
      </c>
      <c r="I136" s="23" t="str">
        <f t="shared" ca="1" si="5"/>
        <v/>
      </c>
      <c r="O136" s="56"/>
      <c r="P136" s="73"/>
    </row>
    <row r="137" spans="1:16" ht="13.8">
      <c r="A137" s="20">
        <f t="shared" ca="1" si="4"/>
        <v>41467</v>
      </c>
      <c r="B137" s="21" t="str">
        <f ca="1"/>
        <v>2013-07-12</v>
      </c>
      <c r="C137" s="22">
        <f ca="1"/>
        <v>35.580002</v>
      </c>
      <c r="D137" s="22">
        <f ca="1"/>
        <v>35.729999999999997</v>
      </c>
      <c r="E137" s="22">
        <f ca="1"/>
        <v>35.279998999999997</v>
      </c>
      <c r="F137" s="22">
        <f ca="1"/>
        <v>35.669998</v>
      </c>
      <c r="G137" s="22">
        <f ca="1"/>
        <v>29.863962000000001</v>
      </c>
      <c r="H137" s="69">
        <f ca="1"/>
        <v>35501200</v>
      </c>
      <c r="I137" s="23" t="str">
        <f t="shared" ca="1" si="5"/>
        <v/>
      </c>
      <c r="O137" s="56"/>
      <c r="P137" s="73"/>
    </row>
    <row r="138" spans="1:16" ht="13.8">
      <c r="A138" s="20">
        <f t="shared" ca="1" si="4"/>
        <v>41470</v>
      </c>
      <c r="B138" s="21" t="str">
        <f ca="1"/>
        <v>2013-07-15</v>
      </c>
      <c r="C138" s="22">
        <f ca="1"/>
        <v>35.659999999999997</v>
      </c>
      <c r="D138" s="22">
        <f ca="1"/>
        <v>36.220001000000003</v>
      </c>
      <c r="E138" s="22">
        <f ca="1"/>
        <v>35.580002</v>
      </c>
      <c r="F138" s="22">
        <f ca="1"/>
        <v>36.169998</v>
      </c>
      <c r="G138" s="22">
        <f ca="1"/>
        <v>30.282578000000001</v>
      </c>
      <c r="H138" s="69">
        <f ca="1"/>
        <v>34142600</v>
      </c>
      <c r="I138" s="23" t="str">
        <f t="shared" ca="1" si="5"/>
        <v/>
      </c>
      <c r="O138" s="56"/>
      <c r="P138" s="73"/>
    </row>
    <row r="139" spans="1:16" ht="13.8">
      <c r="A139" s="20">
        <f t="shared" ca="1" si="4"/>
        <v>41471</v>
      </c>
      <c r="B139" s="21" t="str">
        <f ca="1"/>
        <v>2013-07-16</v>
      </c>
      <c r="C139" s="22">
        <f ca="1"/>
        <v>36.009998000000003</v>
      </c>
      <c r="D139" s="22">
        <f ca="1"/>
        <v>36.43</v>
      </c>
      <c r="E139" s="22">
        <f ca="1"/>
        <v>35.959999000000003</v>
      </c>
      <c r="F139" s="22">
        <f ca="1"/>
        <v>36.270000000000003</v>
      </c>
      <c r="G139" s="22">
        <f ca="1"/>
        <v>30.366308</v>
      </c>
      <c r="H139" s="69">
        <f ca="1"/>
        <v>36378500</v>
      </c>
      <c r="I139" s="23" t="str">
        <f t="shared" ca="1" si="5"/>
        <v/>
      </c>
      <c r="O139" s="56"/>
      <c r="P139" s="73"/>
    </row>
    <row r="140" spans="1:16" ht="13.8">
      <c r="A140" s="20">
        <f t="shared" ca="1" si="4"/>
        <v>41472</v>
      </c>
      <c r="B140" s="21" t="str">
        <f ca="1"/>
        <v>2013-07-17</v>
      </c>
      <c r="C140" s="22">
        <f ca="1"/>
        <v>36.340000000000003</v>
      </c>
      <c r="D140" s="22">
        <f ca="1"/>
        <v>36.389999000000003</v>
      </c>
      <c r="E140" s="22">
        <f ca="1"/>
        <v>35.490001999999997</v>
      </c>
      <c r="F140" s="22">
        <f ca="1"/>
        <v>35.740001999999997</v>
      </c>
      <c r="G140" s="22">
        <f ca="1"/>
        <v>29.922573</v>
      </c>
      <c r="H140" s="69">
        <f ca="1"/>
        <v>37285100</v>
      </c>
      <c r="I140" s="23" t="str">
        <f t="shared" ca="1" si="5"/>
        <v/>
      </c>
      <c r="O140" s="56"/>
      <c r="P140" s="73"/>
    </row>
    <row r="141" spans="1:16" ht="13.8">
      <c r="A141" s="20">
        <f t="shared" ca="1" si="4"/>
        <v>41473</v>
      </c>
      <c r="B141" s="21" t="str">
        <f ca="1"/>
        <v>2013-07-18</v>
      </c>
      <c r="C141" s="22">
        <f ca="1"/>
        <v>35.720001000000003</v>
      </c>
      <c r="D141" s="22">
        <f ca="1"/>
        <v>35.889999000000003</v>
      </c>
      <c r="E141" s="22">
        <f ca="1"/>
        <v>35.220001000000003</v>
      </c>
      <c r="F141" s="22">
        <f ca="1"/>
        <v>35.439999</v>
      </c>
      <c r="G141" s="22">
        <f ca="1"/>
        <v>29.671392000000001</v>
      </c>
      <c r="H141" s="69">
        <f ca="1"/>
        <v>49547100</v>
      </c>
      <c r="I141" s="23" t="str">
        <f t="shared" ca="1" si="5"/>
        <v/>
      </c>
      <c r="O141" s="56"/>
      <c r="P141" s="73"/>
    </row>
    <row r="142" spans="1:16" ht="13.8">
      <c r="A142" s="20">
        <f t="shared" ca="1" si="4"/>
        <v>41474</v>
      </c>
      <c r="B142" s="21" t="str">
        <f ca="1"/>
        <v>2013-07-19</v>
      </c>
      <c r="C142" s="22">
        <f ca="1"/>
        <v>32.400002000000001</v>
      </c>
      <c r="D142" s="22">
        <f ca="1"/>
        <v>32.669998</v>
      </c>
      <c r="E142" s="22">
        <f ca="1"/>
        <v>31.02</v>
      </c>
      <c r="F142" s="22">
        <f ca="1"/>
        <v>31.4</v>
      </c>
      <c r="G142" s="22">
        <f ca="1"/>
        <v>26.288988</v>
      </c>
      <c r="H142" s="69">
        <f ca="1"/>
        <v>248428500</v>
      </c>
      <c r="I142" s="23" t="str">
        <f t="shared" ca="1" si="5"/>
        <v/>
      </c>
      <c r="O142" s="56"/>
      <c r="P142" s="73"/>
    </row>
    <row r="143" spans="1:16" ht="13.8">
      <c r="A143" s="20">
        <f t="shared" ca="1" si="4"/>
        <v>41477</v>
      </c>
      <c r="B143" s="21" t="str">
        <f ca="1"/>
        <v>2013-07-22</v>
      </c>
      <c r="C143" s="22">
        <f ca="1"/>
        <v>31.700001</v>
      </c>
      <c r="D143" s="22">
        <f ca="1"/>
        <v>32.009998000000003</v>
      </c>
      <c r="E143" s="22">
        <f ca="1"/>
        <v>31.6</v>
      </c>
      <c r="F143" s="22">
        <f ca="1"/>
        <v>32.009998000000003</v>
      </c>
      <c r="G143" s="22">
        <f ca="1"/>
        <v>26.799706</v>
      </c>
      <c r="H143" s="69">
        <f ca="1"/>
        <v>79040700</v>
      </c>
      <c r="I143" s="23" t="str">
        <f t="shared" ca="1" si="5"/>
        <v/>
      </c>
      <c r="O143" s="56"/>
      <c r="P143" s="73"/>
    </row>
    <row r="144" spans="1:16" ht="13.8">
      <c r="A144" s="20">
        <f t="shared" ca="1" si="4"/>
        <v>41478</v>
      </c>
      <c r="B144" s="21" t="str">
        <f ca="1"/>
        <v>2013-07-23</v>
      </c>
      <c r="C144" s="22">
        <f ca="1"/>
        <v>31.91</v>
      </c>
      <c r="D144" s="22">
        <f ca="1"/>
        <v>32.040000999999997</v>
      </c>
      <c r="E144" s="22">
        <f ca="1"/>
        <v>31.709999</v>
      </c>
      <c r="F144" s="22">
        <f ca="1"/>
        <v>31.82</v>
      </c>
      <c r="G144" s="22">
        <f ca="1"/>
        <v>26.640629000000001</v>
      </c>
      <c r="H144" s="69">
        <f ca="1"/>
        <v>65810400</v>
      </c>
      <c r="I144" s="23" t="str">
        <f t="shared" ca="1" si="5"/>
        <v/>
      </c>
      <c r="O144" s="56"/>
      <c r="P144" s="73"/>
    </row>
    <row r="145" spans="1:16" ht="13.8">
      <c r="A145" s="20">
        <f t="shared" ca="1" si="4"/>
        <v>41479</v>
      </c>
      <c r="B145" s="21" t="str">
        <f ca="1"/>
        <v>2013-07-24</v>
      </c>
      <c r="C145" s="22">
        <f ca="1"/>
        <v>32.040000999999997</v>
      </c>
      <c r="D145" s="22">
        <f ca="1"/>
        <v>32.189999</v>
      </c>
      <c r="E145" s="22">
        <f ca="1"/>
        <v>31.889999</v>
      </c>
      <c r="F145" s="22">
        <f ca="1"/>
        <v>31.959999</v>
      </c>
      <c r="G145" s="22">
        <f ca="1"/>
        <v>26.757845</v>
      </c>
      <c r="H145" s="69">
        <f ca="1"/>
        <v>52803100</v>
      </c>
      <c r="I145" s="23" t="str">
        <f t="shared" ca="1" si="5"/>
        <v/>
      </c>
      <c r="O145" s="56"/>
      <c r="P145" s="73"/>
    </row>
    <row r="146" spans="1:16" ht="13.8">
      <c r="A146" s="20">
        <f t="shared" ca="1" si="4"/>
        <v>41480</v>
      </c>
      <c r="B146" s="21" t="str">
        <f ca="1"/>
        <v>2013-07-25</v>
      </c>
      <c r="C146" s="22">
        <f ca="1"/>
        <v>31.620000999999998</v>
      </c>
      <c r="D146" s="22">
        <f ca="1"/>
        <v>31.65</v>
      </c>
      <c r="E146" s="22">
        <f ca="1"/>
        <v>31.25</v>
      </c>
      <c r="F146" s="22">
        <f ca="1"/>
        <v>31.389999</v>
      </c>
      <c r="G146" s="22">
        <f ca="1"/>
        <v>26.280624</v>
      </c>
      <c r="H146" s="69">
        <f ca="1"/>
        <v>63213000</v>
      </c>
      <c r="I146" s="23" t="str">
        <f t="shared" ca="1" si="5"/>
        <v/>
      </c>
      <c r="O146" s="56"/>
      <c r="P146" s="73"/>
    </row>
    <row r="147" spans="1:16" ht="13.8">
      <c r="A147" s="20">
        <f t="shared" ca="1" si="4"/>
        <v>41481</v>
      </c>
      <c r="B147" s="21" t="str">
        <f ca="1"/>
        <v>2013-07-26</v>
      </c>
      <c r="C147" s="22">
        <f ca="1"/>
        <v>31.26</v>
      </c>
      <c r="D147" s="22">
        <f ca="1"/>
        <v>31.620000999999998</v>
      </c>
      <c r="E147" s="22">
        <f ca="1"/>
        <v>31.209999</v>
      </c>
      <c r="F147" s="22">
        <f ca="1"/>
        <v>31.620000999999998</v>
      </c>
      <c r="G147" s="22">
        <f ca="1"/>
        <v>26.473181</v>
      </c>
      <c r="H147" s="69">
        <f ca="1"/>
        <v>38633600</v>
      </c>
      <c r="I147" s="23" t="str">
        <f t="shared" ca="1" si="5"/>
        <v/>
      </c>
      <c r="O147" s="56"/>
      <c r="P147" s="73"/>
    </row>
    <row r="148" spans="1:16" ht="13.8">
      <c r="A148" s="20">
        <f t="shared" ca="1" si="4"/>
        <v>41484</v>
      </c>
      <c r="B148" s="21" t="str">
        <f ca="1"/>
        <v>2013-07-29</v>
      </c>
      <c r="C148" s="22">
        <f ca="1"/>
        <v>31.469999000000001</v>
      </c>
      <c r="D148" s="22">
        <f ca="1"/>
        <v>31.6</v>
      </c>
      <c r="E148" s="22">
        <f ca="1"/>
        <v>31.4</v>
      </c>
      <c r="F148" s="22">
        <f ca="1"/>
        <v>31.540001</v>
      </c>
      <c r="G148" s="22">
        <f ca="1"/>
        <v>26.406207999999999</v>
      </c>
      <c r="H148" s="69">
        <f ca="1"/>
        <v>28870700</v>
      </c>
      <c r="I148" s="23" t="str">
        <f t="shared" ca="1" si="5"/>
        <v/>
      </c>
      <c r="O148" s="56"/>
      <c r="P148" s="73"/>
    </row>
    <row r="149" spans="1:16" ht="13.8">
      <c r="A149" s="20">
        <f t="shared" ca="1" si="4"/>
        <v>41485</v>
      </c>
      <c r="B149" s="21" t="str">
        <f ca="1"/>
        <v>2013-07-30</v>
      </c>
      <c r="C149" s="22">
        <f ca="1"/>
        <v>31.780000999999999</v>
      </c>
      <c r="D149" s="22">
        <f ca="1"/>
        <v>32.119999</v>
      </c>
      <c r="E149" s="22">
        <f ca="1"/>
        <v>31.549999</v>
      </c>
      <c r="F149" s="22">
        <f ca="1"/>
        <v>31.85</v>
      </c>
      <c r="G149" s="22">
        <f ca="1"/>
        <v>26.665749000000002</v>
      </c>
      <c r="H149" s="69">
        <f ca="1"/>
        <v>45799500</v>
      </c>
      <c r="I149" s="23" t="str">
        <f t="shared" ca="1" si="5"/>
        <v/>
      </c>
      <c r="O149" s="56"/>
      <c r="P149" s="73"/>
    </row>
    <row r="150" spans="1:16" ht="13.8">
      <c r="A150" s="20">
        <f t="shared" ca="1" si="4"/>
        <v>41486</v>
      </c>
      <c r="B150" s="21" t="str">
        <f ca="1"/>
        <v>2013-07-31</v>
      </c>
      <c r="C150" s="22">
        <f ca="1"/>
        <v>31.969999000000001</v>
      </c>
      <c r="D150" s="22">
        <f ca="1"/>
        <v>32.049999</v>
      </c>
      <c r="E150" s="22">
        <f ca="1"/>
        <v>31.709999</v>
      </c>
      <c r="F150" s="22">
        <f ca="1"/>
        <v>31.84</v>
      </c>
      <c r="G150" s="22">
        <f ca="1"/>
        <v>26.657374999999998</v>
      </c>
      <c r="H150" s="69">
        <f ca="1"/>
        <v>43898400</v>
      </c>
      <c r="I150" s="23" t="str">
        <f t="shared" ca="1" si="5"/>
        <v/>
      </c>
      <c r="O150" s="56"/>
      <c r="P150" s="73"/>
    </row>
    <row r="151" spans="1:16" ht="13.8">
      <c r="A151" s="20">
        <f t="shared" ca="1" si="4"/>
        <v>41487</v>
      </c>
      <c r="B151" s="21" t="str">
        <f ca="1"/>
        <v>2013-08-01</v>
      </c>
      <c r="C151" s="22">
        <f ca="1"/>
        <v>32.060001</v>
      </c>
      <c r="D151" s="22">
        <f ca="1"/>
        <v>32.090000000000003</v>
      </c>
      <c r="E151" s="22">
        <f ca="1"/>
        <v>31.6</v>
      </c>
      <c r="F151" s="22">
        <f ca="1"/>
        <v>31.67</v>
      </c>
      <c r="G151" s="22">
        <f ca="1"/>
        <v>26.515045000000001</v>
      </c>
      <c r="H151" s="69">
        <f ca="1"/>
        <v>42557900</v>
      </c>
      <c r="I151" s="23" t="str">
        <f t="shared" ca="1" si="5"/>
        <v/>
      </c>
      <c r="O151" s="56"/>
      <c r="P151" s="73"/>
    </row>
    <row r="152" spans="1:16" ht="13.8">
      <c r="A152" s="20">
        <f t="shared" ca="1" si="4"/>
        <v>41488</v>
      </c>
      <c r="B152" s="21" t="str">
        <f ca="1"/>
        <v>2013-08-02</v>
      </c>
      <c r="C152" s="22">
        <f ca="1"/>
        <v>31.690000999999999</v>
      </c>
      <c r="D152" s="22">
        <f ca="1"/>
        <v>31.9</v>
      </c>
      <c r="E152" s="22">
        <f ca="1"/>
        <v>31.57</v>
      </c>
      <c r="F152" s="22">
        <f ca="1"/>
        <v>31.889999</v>
      </c>
      <c r="G152" s="22">
        <f ca="1"/>
        <v>26.699231999999999</v>
      </c>
      <c r="H152" s="69">
        <f ca="1"/>
        <v>29199900</v>
      </c>
      <c r="I152" s="23" t="str">
        <f t="shared" ca="1" si="5"/>
        <v/>
      </c>
      <c r="O152" s="56"/>
      <c r="P152" s="73"/>
    </row>
    <row r="153" spans="1:16" ht="13.8">
      <c r="A153" s="20">
        <f t="shared" ca="1" si="4"/>
        <v>41491</v>
      </c>
      <c r="B153" s="21" t="str">
        <f ca="1"/>
        <v>2013-08-05</v>
      </c>
      <c r="C153" s="22">
        <f ca="1"/>
        <v>31.9</v>
      </c>
      <c r="D153" s="22">
        <f ca="1"/>
        <v>32</v>
      </c>
      <c r="E153" s="22">
        <f ca="1"/>
        <v>31.639999</v>
      </c>
      <c r="F153" s="22">
        <f ca="1"/>
        <v>31.700001</v>
      </c>
      <c r="G153" s="22">
        <f ca="1"/>
        <v>26.540164999999998</v>
      </c>
      <c r="H153" s="69">
        <f ca="1"/>
        <v>30984000</v>
      </c>
      <c r="I153" s="23" t="str">
        <f t="shared" ca="1" si="5"/>
        <v/>
      </c>
      <c r="O153" s="56"/>
      <c r="P153" s="73"/>
    </row>
    <row r="154" spans="1:16" ht="13.8">
      <c r="A154" s="20">
        <f t="shared" ca="1" si="4"/>
        <v>41492</v>
      </c>
      <c r="B154" s="21" t="str">
        <f ca="1"/>
        <v>2013-08-06</v>
      </c>
      <c r="C154" s="22">
        <f ca="1"/>
        <v>31.549999</v>
      </c>
      <c r="D154" s="22">
        <f ca="1"/>
        <v>31.67</v>
      </c>
      <c r="E154" s="22">
        <f ca="1"/>
        <v>31.379999000000002</v>
      </c>
      <c r="F154" s="22">
        <f ca="1"/>
        <v>31.58</v>
      </c>
      <c r="G154" s="22">
        <f ca="1"/>
        <v>26.439699000000001</v>
      </c>
      <c r="H154" s="69">
        <f ca="1"/>
        <v>36331500</v>
      </c>
      <c r="I154" s="23" t="str">
        <f t="shared" ca="1" si="5"/>
        <v/>
      </c>
      <c r="O154" s="56"/>
      <c r="P154" s="73"/>
    </row>
    <row r="155" spans="1:16" ht="13.8">
      <c r="A155" s="20">
        <f t="shared" ca="1" si="4"/>
        <v>41493</v>
      </c>
      <c r="B155" s="21" t="str">
        <f ca="1"/>
        <v>2013-08-07</v>
      </c>
      <c r="C155" s="22">
        <f ca="1"/>
        <v>31.540001</v>
      </c>
      <c r="D155" s="22">
        <f ca="1"/>
        <v>32.099997999999999</v>
      </c>
      <c r="E155" s="22">
        <f ca="1"/>
        <v>31.25</v>
      </c>
      <c r="F155" s="22">
        <f ca="1"/>
        <v>32.060001</v>
      </c>
      <c r="G155" s="22">
        <f ca="1"/>
        <v>26.841567999999999</v>
      </c>
      <c r="H155" s="69">
        <f ca="1"/>
        <v>38078600</v>
      </c>
      <c r="I155" s="23" t="str">
        <f t="shared" ca="1" si="5"/>
        <v/>
      </c>
      <c r="O155" s="56"/>
      <c r="P155" s="73"/>
    </row>
    <row r="156" spans="1:16" ht="13.8">
      <c r="A156" s="20">
        <f t="shared" ca="1" si="4"/>
        <v>41494</v>
      </c>
      <c r="B156" s="21" t="str">
        <f ca="1"/>
        <v>2013-08-08</v>
      </c>
      <c r="C156" s="22">
        <f ca="1"/>
        <v>32.240001999999997</v>
      </c>
      <c r="D156" s="22">
        <f ca="1"/>
        <v>33.07</v>
      </c>
      <c r="E156" s="22">
        <f ca="1"/>
        <v>32.049999</v>
      </c>
      <c r="F156" s="22">
        <f ca="1"/>
        <v>32.889999000000003</v>
      </c>
      <c r="G156" s="22">
        <f ca="1"/>
        <v>27.536465</v>
      </c>
      <c r="H156" s="69">
        <f ca="1"/>
        <v>59034400</v>
      </c>
      <c r="I156" s="23" t="str">
        <f t="shared" ca="1" si="5"/>
        <v/>
      </c>
      <c r="O156" s="56"/>
      <c r="P156" s="73"/>
    </row>
    <row r="157" spans="1:16" ht="13.8">
      <c r="A157" s="20">
        <f t="shared" ca="1" si="4"/>
        <v>41495</v>
      </c>
      <c r="B157" s="21" t="str">
        <f ca="1"/>
        <v>2013-08-09</v>
      </c>
      <c r="C157" s="22">
        <f ca="1"/>
        <v>32.770000000000003</v>
      </c>
      <c r="D157" s="22">
        <f ca="1"/>
        <v>32.900002000000001</v>
      </c>
      <c r="E157" s="22">
        <f ca="1"/>
        <v>32.470001000000003</v>
      </c>
      <c r="F157" s="22">
        <f ca="1"/>
        <v>32.700001</v>
      </c>
      <c r="G157" s="22">
        <f ca="1"/>
        <v>27.377389999999998</v>
      </c>
      <c r="H157" s="69">
        <f ca="1"/>
        <v>26800700</v>
      </c>
      <c r="I157" s="23" t="str">
        <f t="shared" ca="1" si="5"/>
        <v/>
      </c>
      <c r="O157" s="56"/>
      <c r="P157" s="73"/>
    </row>
    <row r="158" spans="1:16" ht="13.8">
      <c r="A158" s="20">
        <f t="shared" ca="1" si="4"/>
        <v>41498</v>
      </c>
      <c r="B158" s="21" t="str">
        <f ca="1"/>
        <v>2013-08-12</v>
      </c>
      <c r="C158" s="22">
        <f ca="1"/>
        <v>32.459999000000003</v>
      </c>
      <c r="D158" s="22">
        <f ca="1"/>
        <v>32.970001000000003</v>
      </c>
      <c r="E158" s="22">
        <f ca="1"/>
        <v>32.459999000000003</v>
      </c>
      <c r="F158" s="22">
        <f ca="1"/>
        <v>32.869999</v>
      </c>
      <c r="G158" s="22">
        <f ca="1"/>
        <v>27.51972</v>
      </c>
      <c r="H158" s="69">
        <f ca="1"/>
        <v>25493700</v>
      </c>
      <c r="I158" s="23" t="str">
        <f t="shared" ca="1" si="5"/>
        <v/>
      </c>
      <c r="O158" s="56"/>
      <c r="P158" s="73"/>
    </row>
    <row r="159" spans="1:16" ht="13.8">
      <c r="A159" s="20">
        <f t="shared" ca="1" si="4"/>
        <v>41499</v>
      </c>
      <c r="B159" s="21" t="str">
        <f ca="1"/>
        <v>2013-08-13</v>
      </c>
      <c r="C159" s="22">
        <f ca="1"/>
        <v>32.509998000000003</v>
      </c>
      <c r="D159" s="22">
        <f ca="1"/>
        <v>32.549999</v>
      </c>
      <c r="E159" s="22">
        <f ca="1"/>
        <v>32.209999000000003</v>
      </c>
      <c r="F159" s="22">
        <f ca="1"/>
        <v>32.229999999999997</v>
      </c>
      <c r="G159" s="22">
        <f ca="1"/>
        <v>27.174037999999999</v>
      </c>
      <c r="H159" s="69">
        <f ca="1"/>
        <v>39464100</v>
      </c>
      <c r="I159" s="23">
        <f t="shared" ca="1" si="5"/>
        <v>0.23</v>
      </c>
      <c r="O159" s="56"/>
      <c r="P159" s="73"/>
    </row>
    <row r="160" spans="1:16" ht="13.8">
      <c r="A160" s="20">
        <f t="shared" ca="1" si="4"/>
        <v>41500</v>
      </c>
      <c r="B160" s="21" t="str">
        <f ca="1"/>
        <v>2013-08-14</v>
      </c>
      <c r="C160" s="22">
        <f ca="1"/>
        <v>32.139999000000003</v>
      </c>
      <c r="D160" s="22">
        <f ca="1"/>
        <v>33.360000999999997</v>
      </c>
      <c r="E160" s="22">
        <f ca="1"/>
        <v>31.700001</v>
      </c>
      <c r="F160" s="22">
        <f ca="1"/>
        <v>32.349997999999999</v>
      </c>
      <c r="G160" s="22">
        <f ca="1"/>
        <v>27.275210999999999</v>
      </c>
      <c r="H160" s="69">
        <f ca="1"/>
        <v>48519600</v>
      </c>
      <c r="I160" s="23" t="str">
        <f t="shared" ca="1" si="5"/>
        <v/>
      </c>
      <c r="O160" s="56"/>
      <c r="P160" s="73"/>
    </row>
    <row r="161" spans="1:16" ht="13.8">
      <c r="A161" s="20">
        <f t="shared" ca="1" si="4"/>
        <v>41501</v>
      </c>
      <c r="B161" s="21" t="str">
        <f ca="1"/>
        <v>2013-08-15</v>
      </c>
      <c r="C161" s="22">
        <f ca="1"/>
        <v>32</v>
      </c>
      <c r="D161" s="22">
        <f ca="1"/>
        <v>32.18</v>
      </c>
      <c r="E161" s="22">
        <f ca="1"/>
        <v>30.84</v>
      </c>
      <c r="F161" s="22">
        <f ca="1"/>
        <v>31.790001</v>
      </c>
      <c r="G161" s="22">
        <f ca="1"/>
        <v>26.803066000000001</v>
      </c>
      <c r="H161" s="69">
        <f ca="1"/>
        <v>33338000</v>
      </c>
      <c r="I161" s="23" t="str">
        <f t="shared" ca="1" si="5"/>
        <v/>
      </c>
      <c r="O161" s="56"/>
      <c r="P161" s="73"/>
    </row>
    <row r="162" spans="1:16" ht="13.8">
      <c r="A162" s="20">
        <f t="shared" ca="1" si="4"/>
        <v>41502</v>
      </c>
      <c r="B162" s="21" t="str">
        <f ca="1"/>
        <v>2013-08-16</v>
      </c>
      <c r="C162" s="22">
        <f ca="1"/>
        <v>31.790001</v>
      </c>
      <c r="D162" s="22">
        <f ca="1"/>
        <v>31.99</v>
      </c>
      <c r="E162" s="22">
        <f ca="1"/>
        <v>31.66</v>
      </c>
      <c r="F162" s="22">
        <f ca="1"/>
        <v>31.799999</v>
      </c>
      <c r="G162" s="22">
        <f ca="1"/>
        <v>26.811492999999999</v>
      </c>
      <c r="H162" s="69">
        <f ca="1"/>
        <v>32866300</v>
      </c>
      <c r="I162" s="23" t="str">
        <f t="shared" ca="1" si="5"/>
        <v/>
      </c>
      <c r="O162" s="56"/>
      <c r="P162" s="73"/>
    </row>
    <row r="163" spans="1:16" ht="13.8">
      <c r="A163" s="20">
        <f t="shared" ca="1" si="4"/>
        <v>41505</v>
      </c>
      <c r="B163" s="21" t="str">
        <f ca="1"/>
        <v>2013-08-19</v>
      </c>
      <c r="C163" s="22">
        <f ca="1"/>
        <v>31.76</v>
      </c>
      <c r="D163" s="22">
        <f ca="1"/>
        <v>31.969999000000001</v>
      </c>
      <c r="E163" s="22">
        <f ca="1"/>
        <v>31.379999000000002</v>
      </c>
      <c r="F163" s="22">
        <f ca="1"/>
        <v>31.389999</v>
      </c>
      <c r="G163" s="22">
        <f ca="1"/>
        <v>26.465814999999999</v>
      </c>
      <c r="H163" s="69">
        <f ca="1"/>
        <v>27902500</v>
      </c>
      <c r="I163" s="23" t="str">
        <f t="shared" ca="1" si="5"/>
        <v/>
      </c>
      <c r="O163" s="56"/>
      <c r="P163" s="73"/>
    </row>
    <row r="164" spans="1:16" ht="13.8">
      <c r="A164" s="20">
        <f t="shared" ca="1" si="4"/>
        <v>41506</v>
      </c>
      <c r="B164" s="21" t="str">
        <f ca="1"/>
        <v>2013-08-20</v>
      </c>
      <c r="C164" s="22">
        <f ca="1"/>
        <v>31.440000999999999</v>
      </c>
      <c r="D164" s="22">
        <f ca="1"/>
        <v>31.9</v>
      </c>
      <c r="E164" s="22">
        <f ca="1"/>
        <v>31.370000999999998</v>
      </c>
      <c r="F164" s="22">
        <f ca="1"/>
        <v>31.620000999999998</v>
      </c>
      <c r="G164" s="22">
        <f ca="1"/>
        <v>26.659728999999999</v>
      </c>
      <c r="H164" s="69">
        <f ca="1"/>
        <v>22979600</v>
      </c>
      <c r="I164" s="23" t="str">
        <f t="shared" ca="1" si="5"/>
        <v/>
      </c>
      <c r="O164" s="56"/>
      <c r="P164" s="73"/>
    </row>
    <row r="165" spans="1:16" ht="13.8">
      <c r="A165" s="20">
        <f t="shared" ca="1" si="4"/>
        <v>41507</v>
      </c>
      <c r="B165" s="21" t="str">
        <f ca="1"/>
        <v>2013-08-21</v>
      </c>
      <c r="C165" s="22">
        <f ca="1"/>
        <v>31.610001</v>
      </c>
      <c r="D165" s="22">
        <f ca="1"/>
        <v>32.009998000000003</v>
      </c>
      <c r="E165" s="22">
        <f ca="1"/>
        <v>31.540001</v>
      </c>
      <c r="F165" s="22">
        <f ca="1"/>
        <v>31.610001</v>
      </c>
      <c r="G165" s="22">
        <f ca="1"/>
        <v>26.651306000000002</v>
      </c>
      <c r="H165" s="69">
        <f ca="1"/>
        <v>37409100</v>
      </c>
      <c r="I165" s="23" t="str">
        <f t="shared" ca="1" si="5"/>
        <v/>
      </c>
      <c r="O165" s="56"/>
      <c r="P165" s="73"/>
    </row>
    <row r="166" spans="1:16" ht="13.8">
      <c r="A166" s="20">
        <f t="shared" ca="1" si="4"/>
        <v>41508</v>
      </c>
      <c r="B166" s="21" t="str">
        <f ca="1"/>
        <v>2013-08-22</v>
      </c>
      <c r="C166" s="22">
        <f ca="1"/>
        <v>32.189999</v>
      </c>
      <c r="D166" s="22">
        <f ca="1"/>
        <v>32.490001999999997</v>
      </c>
      <c r="E166" s="22">
        <f ca="1"/>
        <v>32.099997999999999</v>
      </c>
      <c r="F166" s="22">
        <f ca="1"/>
        <v>32.389999000000003</v>
      </c>
      <c r="G166" s="22">
        <f ca="1"/>
        <v>27.308937</v>
      </c>
      <c r="H166" s="69">
        <f ca="1"/>
        <v>31169900</v>
      </c>
      <c r="I166" s="23" t="str">
        <f t="shared" ca="1" si="5"/>
        <v/>
      </c>
      <c r="O166" s="56"/>
      <c r="P166" s="73"/>
    </row>
    <row r="167" spans="1:16" ht="13.8">
      <c r="A167" s="20">
        <f t="shared" ca="1" si="4"/>
        <v>41509</v>
      </c>
      <c r="B167" s="21" t="str">
        <f ca="1"/>
        <v>2013-08-23</v>
      </c>
      <c r="C167" s="22">
        <f ca="1"/>
        <v>35.169998</v>
      </c>
      <c r="D167" s="22">
        <f ca="1"/>
        <v>35.200001</v>
      </c>
      <c r="E167" s="22">
        <f ca="1"/>
        <v>34</v>
      </c>
      <c r="F167" s="22">
        <f ca="1"/>
        <v>34.75</v>
      </c>
      <c r="G167" s="22">
        <f ca="1"/>
        <v>29.298725000000001</v>
      </c>
      <c r="H167" s="69">
        <f ca="1"/>
        <v>225493800</v>
      </c>
      <c r="I167" s="23" t="str">
        <f t="shared" ca="1" si="5"/>
        <v/>
      </c>
      <c r="O167" s="56"/>
      <c r="P167" s="73"/>
    </row>
    <row r="168" spans="1:16" ht="13.8">
      <c r="A168" s="20">
        <f t="shared" ca="1" si="4"/>
        <v>41512</v>
      </c>
      <c r="B168" s="21" t="str">
        <f ca="1"/>
        <v>2013-08-26</v>
      </c>
      <c r="C168" s="22">
        <f ca="1"/>
        <v>34.400002000000001</v>
      </c>
      <c r="D168" s="22">
        <f ca="1"/>
        <v>34.669998</v>
      </c>
      <c r="E168" s="22">
        <f ca="1"/>
        <v>34.029998999999997</v>
      </c>
      <c r="F168" s="22">
        <f ca="1"/>
        <v>34.150002000000001</v>
      </c>
      <c r="G168" s="22">
        <f ca="1"/>
        <v>28.792846999999998</v>
      </c>
      <c r="H168" s="69">
        <f ca="1"/>
        <v>72786800</v>
      </c>
      <c r="I168" s="23" t="str">
        <f t="shared" ca="1" si="5"/>
        <v/>
      </c>
      <c r="O168" s="56"/>
      <c r="P168" s="73"/>
    </row>
    <row r="169" spans="1:16" ht="13.8">
      <c r="A169" s="20">
        <f t="shared" ca="1" si="4"/>
        <v>41513</v>
      </c>
      <c r="B169" s="21" t="str">
        <f ca="1"/>
        <v>2013-08-27</v>
      </c>
      <c r="C169" s="22">
        <f ca="1"/>
        <v>33.520000000000003</v>
      </c>
      <c r="D169" s="22">
        <f ca="1"/>
        <v>34.099997999999999</v>
      </c>
      <c r="E169" s="22">
        <f ca="1"/>
        <v>33.150002000000001</v>
      </c>
      <c r="F169" s="22">
        <f ca="1"/>
        <v>33.259998000000003</v>
      </c>
      <c r="G169" s="22">
        <f ca="1"/>
        <v>28.042459000000001</v>
      </c>
      <c r="H169" s="69">
        <f ca="1"/>
        <v>58522300</v>
      </c>
      <c r="I169" s="23" t="str">
        <f t="shared" ca="1" si="5"/>
        <v/>
      </c>
      <c r="O169" s="56"/>
      <c r="P169" s="73"/>
    </row>
    <row r="170" spans="1:16" ht="13.8">
      <c r="A170" s="20">
        <f t="shared" ca="1" si="4"/>
        <v>41514</v>
      </c>
      <c r="B170" s="21" t="str">
        <f ca="1"/>
        <v>2013-08-28</v>
      </c>
      <c r="C170" s="22">
        <f ca="1"/>
        <v>33.389999000000003</v>
      </c>
      <c r="D170" s="22">
        <f ca="1"/>
        <v>33.599997999999999</v>
      </c>
      <c r="E170" s="22">
        <f ca="1"/>
        <v>33</v>
      </c>
      <c r="F170" s="22">
        <f ca="1"/>
        <v>33.020000000000003</v>
      </c>
      <c r="G170" s="22">
        <f ca="1"/>
        <v>27.840109000000002</v>
      </c>
      <c r="H170" s="69">
        <f ca="1"/>
        <v>44257400</v>
      </c>
      <c r="I170" s="23" t="str">
        <f t="shared" ca="1" si="5"/>
        <v/>
      </c>
      <c r="O170" s="56"/>
      <c r="P170" s="73"/>
    </row>
    <row r="171" spans="1:16" ht="13.8">
      <c r="A171" s="20">
        <f t="shared" ca="1" si="4"/>
        <v>41515</v>
      </c>
      <c r="B171" s="21" t="str">
        <f ca="1"/>
        <v>2013-08-29</v>
      </c>
      <c r="C171" s="22">
        <f ca="1"/>
        <v>32.93</v>
      </c>
      <c r="D171" s="22">
        <f ca="1"/>
        <v>33.599997999999999</v>
      </c>
      <c r="E171" s="22">
        <f ca="1"/>
        <v>32.799999</v>
      </c>
      <c r="F171" s="22">
        <f ca="1"/>
        <v>33.549999</v>
      </c>
      <c r="G171" s="22">
        <f ca="1"/>
        <v>28.286966</v>
      </c>
      <c r="H171" s="69">
        <f ca="1"/>
        <v>45284700</v>
      </c>
      <c r="I171" s="23" t="str">
        <f t="shared" ca="1" si="5"/>
        <v/>
      </c>
      <c r="O171" s="56"/>
      <c r="P171" s="73"/>
    </row>
    <row r="172" spans="1:16" ht="13.8">
      <c r="A172" s="20">
        <f t="shared" ca="1" si="4"/>
        <v>41516</v>
      </c>
      <c r="B172" s="21" t="str">
        <f ca="1"/>
        <v>2013-08-30</v>
      </c>
      <c r="C172" s="22">
        <f ca="1"/>
        <v>33.369999</v>
      </c>
      <c r="D172" s="22">
        <f ca="1"/>
        <v>33.479999999999997</v>
      </c>
      <c r="E172" s="22">
        <f ca="1"/>
        <v>33.090000000000003</v>
      </c>
      <c r="F172" s="22">
        <f ca="1"/>
        <v>33.400002000000001</v>
      </c>
      <c r="G172" s="22">
        <f ca="1"/>
        <v>28.160501</v>
      </c>
      <c r="H172" s="69">
        <f ca="1"/>
        <v>42790200</v>
      </c>
      <c r="I172" s="23" t="str">
        <f t="shared" ca="1" si="5"/>
        <v/>
      </c>
      <c r="O172" s="56"/>
      <c r="P172" s="73"/>
    </row>
    <row r="173" spans="1:16" ht="13.8">
      <c r="A173" s="20">
        <f t="shared" ca="1" si="4"/>
        <v>41520</v>
      </c>
      <c r="B173" s="21" t="str">
        <f ca="1"/>
        <v>2013-09-03</v>
      </c>
      <c r="C173" s="22">
        <f ca="1"/>
        <v>31.75</v>
      </c>
      <c r="D173" s="22">
        <f ca="1"/>
        <v>32.07</v>
      </c>
      <c r="E173" s="22">
        <f ca="1"/>
        <v>31.290001</v>
      </c>
      <c r="F173" s="22">
        <f ca="1"/>
        <v>31.879999000000002</v>
      </c>
      <c r="G173" s="22">
        <f ca="1"/>
        <v>26.878941999999999</v>
      </c>
      <c r="H173" s="69">
        <f ca="1"/>
        <v>154507000</v>
      </c>
      <c r="I173" s="23" t="str">
        <f t="shared" ca="1" si="5"/>
        <v/>
      </c>
      <c r="O173" s="56"/>
      <c r="P173" s="73"/>
    </row>
    <row r="174" spans="1:16" ht="13.8">
      <c r="A174" s="20">
        <f t="shared" ca="1" si="4"/>
        <v>41521</v>
      </c>
      <c r="B174" s="21" t="str">
        <f ca="1"/>
        <v>2013-09-04</v>
      </c>
      <c r="C174" s="22">
        <f ca="1"/>
        <v>31.389999</v>
      </c>
      <c r="D174" s="22">
        <f ca="1"/>
        <v>31.469999000000001</v>
      </c>
      <c r="E174" s="22">
        <f ca="1"/>
        <v>31.110001</v>
      </c>
      <c r="F174" s="22">
        <f ca="1"/>
        <v>31.200001</v>
      </c>
      <c r="G174" s="22">
        <f ca="1"/>
        <v>26.305609</v>
      </c>
      <c r="H174" s="69">
        <f ca="1"/>
        <v>142320600</v>
      </c>
      <c r="I174" s="23" t="str">
        <f t="shared" ca="1" si="5"/>
        <v/>
      </c>
      <c r="O174" s="56"/>
      <c r="P174" s="73"/>
    </row>
    <row r="175" spans="1:16" ht="13.8">
      <c r="A175" s="20">
        <f t="shared" ca="1" si="4"/>
        <v>41522</v>
      </c>
      <c r="B175" s="21" t="str">
        <f ca="1"/>
        <v>2013-09-05</v>
      </c>
      <c r="C175" s="22">
        <f ca="1"/>
        <v>31.1</v>
      </c>
      <c r="D175" s="22">
        <f ca="1"/>
        <v>31.440000999999999</v>
      </c>
      <c r="E175" s="22">
        <f ca="1"/>
        <v>30.950001</v>
      </c>
      <c r="F175" s="22">
        <f ca="1"/>
        <v>31.23</v>
      </c>
      <c r="G175" s="22">
        <f ca="1"/>
        <v>26.330908000000001</v>
      </c>
      <c r="H175" s="69">
        <f ca="1"/>
        <v>71644900</v>
      </c>
      <c r="I175" s="23" t="str">
        <f t="shared" ca="1" si="5"/>
        <v/>
      </c>
      <c r="O175" s="56"/>
      <c r="P175" s="73"/>
    </row>
    <row r="176" spans="1:16" ht="13.8">
      <c r="A176" s="20">
        <f t="shared" ca="1" si="4"/>
        <v>41523</v>
      </c>
      <c r="B176" s="21" t="str">
        <f ca="1"/>
        <v>2013-09-06</v>
      </c>
      <c r="C176" s="22">
        <f ca="1"/>
        <v>31.309999000000001</v>
      </c>
      <c r="D176" s="22">
        <f ca="1"/>
        <v>31.389999</v>
      </c>
      <c r="E176" s="22">
        <f ca="1"/>
        <v>31.129999000000002</v>
      </c>
      <c r="F176" s="22">
        <f ca="1"/>
        <v>31.15</v>
      </c>
      <c r="G176" s="22">
        <f ca="1"/>
        <v>26.263452999999998</v>
      </c>
      <c r="H176" s="69">
        <f ca="1"/>
        <v>75434900</v>
      </c>
      <c r="I176" s="23" t="str">
        <f t="shared" ca="1" si="5"/>
        <v/>
      </c>
      <c r="O176" s="56"/>
      <c r="P176" s="73"/>
    </row>
    <row r="177" spans="1:16" ht="13.8">
      <c r="A177" s="20">
        <f t="shared" ca="1" si="4"/>
        <v>41526</v>
      </c>
      <c r="B177" s="21" t="str">
        <f ca="1"/>
        <v>2013-09-09</v>
      </c>
      <c r="C177" s="22">
        <f ca="1"/>
        <v>31.219999000000001</v>
      </c>
      <c r="D177" s="22">
        <f ca="1"/>
        <v>31.790001</v>
      </c>
      <c r="E177" s="22">
        <f ca="1"/>
        <v>31.200001</v>
      </c>
      <c r="F177" s="22">
        <f ca="1"/>
        <v>31.66</v>
      </c>
      <c r="G177" s="22">
        <f ca="1"/>
        <v>26.693459000000001</v>
      </c>
      <c r="H177" s="69">
        <f ca="1"/>
        <v>49628500</v>
      </c>
      <c r="I177" s="23" t="str">
        <f t="shared" ca="1" si="5"/>
        <v/>
      </c>
      <c r="O177" s="56"/>
      <c r="P177" s="73"/>
    </row>
    <row r="178" spans="1:16" ht="13.8">
      <c r="A178" s="20">
        <f t="shared" ca="1" si="4"/>
        <v>41527</v>
      </c>
      <c r="B178" s="21" t="str">
        <f ca="1"/>
        <v>2013-09-10</v>
      </c>
      <c r="C178" s="22">
        <f ca="1"/>
        <v>31.9</v>
      </c>
      <c r="D178" s="22">
        <f ca="1"/>
        <v>32.400002000000001</v>
      </c>
      <c r="E178" s="22">
        <f ca="1"/>
        <v>31.790001</v>
      </c>
      <c r="F178" s="22">
        <f ca="1"/>
        <v>32.389999000000003</v>
      </c>
      <c r="G178" s="22">
        <f ca="1"/>
        <v>27.308937</v>
      </c>
      <c r="H178" s="69">
        <f ca="1"/>
        <v>56881200</v>
      </c>
      <c r="I178" s="23" t="str">
        <f t="shared" ca="1" si="5"/>
        <v/>
      </c>
      <c r="O178" s="56"/>
      <c r="P178" s="73"/>
    </row>
    <row r="179" spans="1:16" ht="13.8">
      <c r="A179" s="20">
        <f t="shared" ca="1" si="4"/>
        <v>41528</v>
      </c>
      <c r="B179" s="21" t="str">
        <f ca="1"/>
        <v>2013-09-11</v>
      </c>
      <c r="C179" s="22">
        <f ca="1"/>
        <v>32.57</v>
      </c>
      <c r="D179" s="22">
        <f ca="1"/>
        <v>32.93</v>
      </c>
      <c r="E179" s="22">
        <f ca="1"/>
        <v>32.529998999999997</v>
      </c>
      <c r="F179" s="22">
        <f ca="1"/>
        <v>32.740001999999997</v>
      </c>
      <c r="G179" s="22">
        <f ca="1"/>
        <v>27.604033000000001</v>
      </c>
      <c r="H179" s="69">
        <f ca="1"/>
        <v>39087500</v>
      </c>
      <c r="I179" s="23" t="str">
        <f t="shared" ca="1" si="5"/>
        <v/>
      </c>
      <c r="O179" s="56"/>
      <c r="P179" s="73"/>
    </row>
    <row r="180" spans="1:16" ht="13.8">
      <c r="A180" s="20">
        <f t="shared" ca="1" si="4"/>
        <v>41529</v>
      </c>
      <c r="B180" s="21" t="str">
        <f ca="1"/>
        <v>2013-09-12</v>
      </c>
      <c r="C180" s="22">
        <f ca="1"/>
        <v>32.720001000000003</v>
      </c>
      <c r="D180" s="22">
        <f ca="1"/>
        <v>32.779998999999997</v>
      </c>
      <c r="E180" s="22">
        <f ca="1"/>
        <v>32.590000000000003</v>
      </c>
      <c r="F180" s="22">
        <f ca="1"/>
        <v>32.689999</v>
      </c>
      <c r="G180" s="22">
        <f ca="1"/>
        <v>27.561876000000002</v>
      </c>
      <c r="H180" s="69">
        <f ca="1"/>
        <v>32860200</v>
      </c>
      <c r="I180" s="23" t="str">
        <f t="shared" ca="1" si="5"/>
        <v/>
      </c>
      <c r="O180" s="56"/>
      <c r="P180" s="73"/>
    </row>
    <row r="181" spans="1:16" ht="13.8">
      <c r="A181" s="20">
        <f t="shared" ca="1" si="4"/>
        <v>41530</v>
      </c>
      <c r="B181" s="21" t="str">
        <f ca="1"/>
        <v>2013-09-13</v>
      </c>
      <c r="C181" s="22">
        <f ca="1"/>
        <v>32.770000000000003</v>
      </c>
      <c r="D181" s="22">
        <f ca="1"/>
        <v>33.07</v>
      </c>
      <c r="E181" s="22">
        <f ca="1"/>
        <v>32.509998000000003</v>
      </c>
      <c r="F181" s="22">
        <f ca="1"/>
        <v>33.029998999999997</v>
      </c>
      <c r="G181" s="22">
        <f ca="1"/>
        <v>27.848538999999999</v>
      </c>
      <c r="H181" s="69">
        <f ca="1"/>
        <v>40899000</v>
      </c>
      <c r="I181" s="23" t="str">
        <f t="shared" ca="1" si="5"/>
        <v/>
      </c>
      <c r="O181" s="56"/>
      <c r="P181" s="73"/>
    </row>
    <row r="182" spans="1:16" ht="13.8">
      <c r="A182" s="20">
        <f t="shared" ca="1" si="4"/>
        <v>41533</v>
      </c>
      <c r="B182" s="21" t="str">
        <f ca="1"/>
        <v>2013-09-16</v>
      </c>
      <c r="C182" s="22">
        <f ca="1"/>
        <v>33.380001</v>
      </c>
      <c r="D182" s="22">
        <f ca="1"/>
        <v>33.5</v>
      </c>
      <c r="E182" s="22">
        <f ca="1"/>
        <v>32.729999999999997</v>
      </c>
      <c r="F182" s="22">
        <f ca="1"/>
        <v>32.799999</v>
      </c>
      <c r="G182" s="22">
        <f ca="1"/>
        <v>27.654616999999998</v>
      </c>
      <c r="H182" s="69">
        <f ca="1"/>
        <v>52839700</v>
      </c>
      <c r="I182" s="23" t="str">
        <f t="shared" ca="1" si="5"/>
        <v/>
      </c>
      <c r="O182" s="56"/>
      <c r="P182" s="73"/>
    </row>
    <row r="183" spans="1:16" ht="13.8">
      <c r="A183" s="20">
        <f t="shared" ca="1" si="4"/>
        <v>41534</v>
      </c>
      <c r="B183" s="21" t="str">
        <f ca="1"/>
        <v>2013-09-17</v>
      </c>
      <c r="C183" s="22">
        <f ca="1"/>
        <v>33.419998</v>
      </c>
      <c r="D183" s="22">
        <f ca="1"/>
        <v>33.470001000000003</v>
      </c>
      <c r="E183" s="22">
        <f ca="1"/>
        <v>32.900002000000001</v>
      </c>
      <c r="F183" s="22">
        <f ca="1"/>
        <v>32.93</v>
      </c>
      <c r="G183" s="22">
        <f ca="1"/>
        <v>27.764223000000001</v>
      </c>
      <c r="H183" s="69">
        <f ca="1"/>
        <v>84716500</v>
      </c>
      <c r="I183" s="23" t="str">
        <f t="shared" ca="1" si="5"/>
        <v/>
      </c>
      <c r="O183" s="56"/>
      <c r="P183" s="73"/>
    </row>
    <row r="184" spans="1:16" ht="13.8">
      <c r="A184" s="20">
        <f t="shared" ca="1" si="4"/>
        <v>41535</v>
      </c>
      <c r="B184" s="21" t="str">
        <f ca="1"/>
        <v>2013-09-18</v>
      </c>
      <c r="C184" s="22">
        <f ca="1"/>
        <v>32.990001999999997</v>
      </c>
      <c r="D184" s="22">
        <f ca="1"/>
        <v>33.400002000000001</v>
      </c>
      <c r="E184" s="22">
        <f ca="1"/>
        <v>32.830002</v>
      </c>
      <c r="F184" s="22">
        <f ca="1"/>
        <v>33.32</v>
      </c>
      <c r="G184" s="22">
        <f ca="1"/>
        <v>28.093057999999999</v>
      </c>
      <c r="H184" s="69">
        <f ca="1"/>
        <v>64099900</v>
      </c>
      <c r="I184" s="23" t="str">
        <f t="shared" ca="1" si="5"/>
        <v/>
      </c>
      <c r="O184" s="56"/>
      <c r="P184" s="73"/>
    </row>
    <row r="185" spans="1:16" ht="13.8">
      <c r="A185" s="20">
        <f t="shared" ca="1" si="4"/>
        <v>41536</v>
      </c>
      <c r="B185" s="21" t="str">
        <f ca="1"/>
        <v>2013-09-19</v>
      </c>
      <c r="C185" s="22">
        <f ca="1"/>
        <v>33.479999999999997</v>
      </c>
      <c r="D185" s="22">
        <f ca="1"/>
        <v>33.68</v>
      </c>
      <c r="E185" s="22">
        <f ca="1"/>
        <v>33.32</v>
      </c>
      <c r="F185" s="22">
        <f ca="1"/>
        <v>33.639999000000003</v>
      </c>
      <c r="G185" s="22">
        <f ca="1"/>
        <v>28.362846000000001</v>
      </c>
      <c r="H185" s="69">
        <f ca="1"/>
        <v>42026600</v>
      </c>
      <c r="I185" s="23" t="str">
        <f t="shared" ca="1" si="5"/>
        <v/>
      </c>
      <c r="O185" s="56"/>
      <c r="P185" s="73"/>
    </row>
    <row r="186" spans="1:16" ht="13.8">
      <c r="A186" s="20">
        <f t="shared" ca="1" si="4"/>
        <v>41537</v>
      </c>
      <c r="B186" s="21" t="str">
        <f ca="1"/>
        <v>2013-09-20</v>
      </c>
      <c r="C186" s="22">
        <f ca="1"/>
        <v>33.409999999999997</v>
      </c>
      <c r="D186" s="22">
        <f ca="1"/>
        <v>33.479999999999997</v>
      </c>
      <c r="E186" s="22">
        <f ca="1"/>
        <v>32.689999</v>
      </c>
      <c r="F186" s="22">
        <f ca="1"/>
        <v>32.790000999999997</v>
      </c>
      <c r="G186" s="22">
        <f ca="1"/>
        <v>27.646189</v>
      </c>
      <c r="H186" s="69">
        <f ca="1"/>
        <v>102904900</v>
      </c>
      <c r="I186" s="23" t="str">
        <f t="shared" ca="1" si="5"/>
        <v/>
      </c>
      <c r="O186" s="56"/>
      <c r="P186" s="73"/>
    </row>
    <row r="187" spans="1:16" ht="13.8">
      <c r="A187" s="20">
        <f t="shared" ca="1" si="4"/>
        <v>41540</v>
      </c>
      <c r="B187" s="21" t="str">
        <f ca="1"/>
        <v>2013-09-23</v>
      </c>
      <c r="C187" s="22">
        <f ca="1"/>
        <v>32.540000999999997</v>
      </c>
      <c r="D187" s="22">
        <f ca="1"/>
        <v>32.970001000000003</v>
      </c>
      <c r="E187" s="22">
        <f ca="1"/>
        <v>32.5</v>
      </c>
      <c r="F187" s="22">
        <f ca="1"/>
        <v>32.740001999999997</v>
      </c>
      <c r="G187" s="22">
        <f ca="1"/>
        <v>27.604033000000001</v>
      </c>
      <c r="H187" s="69">
        <f ca="1"/>
        <v>39826100</v>
      </c>
      <c r="I187" s="23" t="str">
        <f t="shared" ca="1" si="5"/>
        <v/>
      </c>
      <c r="O187" s="56"/>
      <c r="P187" s="73"/>
    </row>
    <row r="188" spans="1:16" ht="13.8">
      <c r="A188" s="20">
        <f t="shared" ca="1" si="4"/>
        <v>41541</v>
      </c>
      <c r="B188" s="21" t="str">
        <f ca="1"/>
        <v>2013-09-24</v>
      </c>
      <c r="C188" s="22">
        <f ca="1"/>
        <v>32.869999</v>
      </c>
      <c r="D188" s="22">
        <f ca="1"/>
        <v>32.869999</v>
      </c>
      <c r="E188" s="22">
        <f ca="1"/>
        <v>32.150002000000001</v>
      </c>
      <c r="F188" s="22">
        <f ca="1"/>
        <v>32.450001</v>
      </c>
      <c r="G188" s="22">
        <f ca="1"/>
        <v>27.359524</v>
      </c>
      <c r="H188" s="69">
        <f ca="1"/>
        <v>40685000</v>
      </c>
      <c r="I188" s="23" t="str">
        <f t="shared" ca="1" si="5"/>
        <v/>
      </c>
      <c r="O188" s="56"/>
      <c r="P188" s="73"/>
    </row>
    <row r="189" spans="1:16" ht="13.8">
      <c r="A189" s="20">
        <f t="shared" ca="1" si="4"/>
        <v>41542</v>
      </c>
      <c r="B189" s="21" t="str">
        <f ca="1"/>
        <v>2013-09-25</v>
      </c>
      <c r="C189" s="22">
        <f ca="1"/>
        <v>32.490001999999997</v>
      </c>
      <c r="D189" s="22">
        <f ca="1"/>
        <v>32.799999</v>
      </c>
      <c r="E189" s="22">
        <f ca="1"/>
        <v>32.400002000000001</v>
      </c>
      <c r="F189" s="22">
        <f ca="1"/>
        <v>32.509998000000003</v>
      </c>
      <c r="G189" s="22">
        <f ca="1"/>
        <v>27.410112000000002</v>
      </c>
      <c r="H189" s="69">
        <f ca="1"/>
        <v>28907500</v>
      </c>
      <c r="I189" s="23" t="str">
        <f t="shared" ca="1" si="5"/>
        <v/>
      </c>
      <c r="O189" s="56"/>
      <c r="P189" s="73"/>
    </row>
    <row r="190" spans="1:16" ht="13.8">
      <c r="A190" s="20">
        <f t="shared" ca="1" si="4"/>
        <v>41543</v>
      </c>
      <c r="B190" s="21" t="str">
        <f ca="1"/>
        <v>2013-09-26</v>
      </c>
      <c r="C190" s="22">
        <f ca="1"/>
        <v>32.639999000000003</v>
      </c>
      <c r="D190" s="22">
        <f ca="1"/>
        <v>33</v>
      </c>
      <c r="E190" s="22">
        <f ca="1"/>
        <v>32.590000000000003</v>
      </c>
      <c r="F190" s="22">
        <f ca="1"/>
        <v>32.770000000000003</v>
      </c>
      <c r="G190" s="22">
        <f ca="1"/>
        <v>27.629325999999999</v>
      </c>
      <c r="H190" s="69">
        <f ca="1"/>
        <v>28504000</v>
      </c>
      <c r="I190" s="23" t="str">
        <f t="shared" ca="1" si="5"/>
        <v/>
      </c>
      <c r="O190" s="56"/>
      <c r="P190" s="73"/>
    </row>
    <row r="191" spans="1:16" ht="13.8">
      <c r="A191" s="20">
        <f t="shared" ca="1" si="4"/>
        <v>41544</v>
      </c>
      <c r="B191" s="21" t="str">
        <f ca="1"/>
        <v>2013-09-27</v>
      </c>
      <c r="C191" s="22">
        <f ca="1"/>
        <v>32.880001</v>
      </c>
      <c r="D191" s="22">
        <f ca="1"/>
        <v>33.75</v>
      </c>
      <c r="E191" s="22">
        <f ca="1"/>
        <v>32.869999</v>
      </c>
      <c r="F191" s="22">
        <f ca="1"/>
        <v>33.270000000000003</v>
      </c>
      <c r="G191" s="22">
        <f ca="1"/>
        <v>28.050889999999999</v>
      </c>
      <c r="H191" s="69">
        <f ca="1"/>
        <v>55348000</v>
      </c>
      <c r="I191" s="23" t="str">
        <f t="shared" ca="1" si="5"/>
        <v/>
      </c>
      <c r="O191" s="56"/>
      <c r="P191" s="73"/>
    </row>
    <row r="192" spans="1:16" ht="13.8">
      <c r="A192" s="20">
        <f t="shared" ca="1" si="4"/>
        <v>41547</v>
      </c>
      <c r="B192" s="21" t="str">
        <f ca="1"/>
        <v>2013-09-30</v>
      </c>
      <c r="C192" s="22">
        <f ca="1"/>
        <v>33</v>
      </c>
      <c r="D192" s="22">
        <f ca="1"/>
        <v>33.310001</v>
      </c>
      <c r="E192" s="22">
        <f ca="1"/>
        <v>32.700001</v>
      </c>
      <c r="F192" s="22">
        <f ca="1"/>
        <v>33.279998999999997</v>
      </c>
      <c r="G192" s="22">
        <f ca="1"/>
        <v>28.059325999999999</v>
      </c>
      <c r="H192" s="69">
        <f ca="1"/>
        <v>39839500</v>
      </c>
      <c r="I192" s="23" t="str">
        <f t="shared" ca="1" si="5"/>
        <v/>
      </c>
      <c r="O192" s="56"/>
      <c r="P192" s="73"/>
    </row>
    <row r="193" spans="1:16" ht="13.8">
      <c r="A193" s="20">
        <f t="shared" ca="1" si="4"/>
        <v>41548</v>
      </c>
      <c r="B193" s="21" t="str">
        <f ca="1"/>
        <v>2013-10-01</v>
      </c>
      <c r="C193" s="22">
        <f ca="1"/>
        <v>33.349997999999999</v>
      </c>
      <c r="D193" s="22">
        <f ca="1"/>
        <v>33.610000999999997</v>
      </c>
      <c r="E193" s="22">
        <f ca="1"/>
        <v>33.299999</v>
      </c>
      <c r="F193" s="22">
        <f ca="1"/>
        <v>33.580002</v>
      </c>
      <c r="G193" s="22">
        <f ca="1"/>
        <v>28.312259999999998</v>
      </c>
      <c r="H193" s="69">
        <f ca="1"/>
        <v>36718700</v>
      </c>
      <c r="I193" s="23" t="str">
        <f t="shared" ca="1" si="5"/>
        <v/>
      </c>
      <c r="O193" s="56"/>
      <c r="P193" s="73"/>
    </row>
    <row r="194" spans="1:16" ht="13.8">
      <c r="A194" s="20">
        <f t="shared" ca="1" si="4"/>
        <v>41549</v>
      </c>
      <c r="B194" s="21" t="str">
        <f ca="1"/>
        <v>2013-10-02</v>
      </c>
      <c r="C194" s="22">
        <f ca="1"/>
        <v>33.360000999999997</v>
      </c>
      <c r="D194" s="22">
        <f ca="1"/>
        <v>34.029998999999997</v>
      </c>
      <c r="E194" s="22">
        <f ca="1"/>
        <v>33.290000999999997</v>
      </c>
      <c r="F194" s="22">
        <f ca="1"/>
        <v>33.919998</v>
      </c>
      <c r="G194" s="22">
        <f ca="1"/>
        <v>28.598928000000001</v>
      </c>
      <c r="H194" s="69">
        <f ca="1"/>
        <v>46946800</v>
      </c>
      <c r="I194" s="23" t="str">
        <f t="shared" ca="1" si="5"/>
        <v/>
      </c>
      <c r="O194" s="56"/>
      <c r="P194" s="73"/>
    </row>
    <row r="195" spans="1:16" ht="13.8">
      <c r="A195" s="20">
        <f t="shared" ca="1" si="4"/>
        <v>41550</v>
      </c>
      <c r="B195" s="21" t="str">
        <f ca="1"/>
        <v>2013-10-03</v>
      </c>
      <c r="C195" s="22">
        <f ca="1"/>
        <v>33.880001</v>
      </c>
      <c r="D195" s="22">
        <f ca="1"/>
        <v>34</v>
      </c>
      <c r="E195" s="22">
        <f ca="1"/>
        <v>33.419998</v>
      </c>
      <c r="F195" s="22">
        <f ca="1"/>
        <v>33.860000999999997</v>
      </c>
      <c r="G195" s="22">
        <f ca="1"/>
        <v>28.548335999999999</v>
      </c>
      <c r="H195" s="69">
        <f ca="1"/>
        <v>38703800</v>
      </c>
      <c r="I195" s="23" t="str">
        <f t="shared" ca="1" si="5"/>
        <v/>
      </c>
      <c r="O195" s="56"/>
      <c r="P195" s="73"/>
    </row>
    <row r="196" spans="1:16" ht="13.8">
      <c r="A196" s="20">
        <f t="shared" ca="1" si="4"/>
        <v>41551</v>
      </c>
      <c r="B196" s="21" t="str">
        <f ca="1"/>
        <v>2013-10-04</v>
      </c>
      <c r="C196" s="22">
        <f ca="1"/>
        <v>33.689999</v>
      </c>
      <c r="D196" s="22">
        <f ca="1"/>
        <v>33.990001999999997</v>
      </c>
      <c r="E196" s="22">
        <f ca="1"/>
        <v>33.619999</v>
      </c>
      <c r="F196" s="22">
        <f ca="1"/>
        <v>33.880001</v>
      </c>
      <c r="G196" s="22">
        <f ca="1"/>
        <v>28.565199</v>
      </c>
      <c r="H196" s="69">
        <f ca="1"/>
        <v>33008100</v>
      </c>
      <c r="I196" s="23" t="str">
        <f t="shared" ca="1" si="5"/>
        <v/>
      </c>
      <c r="O196" s="56"/>
      <c r="P196" s="73"/>
    </row>
    <row r="197" spans="1:16" ht="13.8">
      <c r="A197" s="20">
        <f t="shared" ca="1" si="4"/>
        <v>41554</v>
      </c>
      <c r="B197" s="21" t="str">
        <f ca="1"/>
        <v>2013-10-07</v>
      </c>
      <c r="C197" s="22">
        <f ca="1"/>
        <v>33.599997999999999</v>
      </c>
      <c r="D197" s="22">
        <f ca="1"/>
        <v>33.709999000000003</v>
      </c>
      <c r="E197" s="22">
        <f ca="1"/>
        <v>33.200001</v>
      </c>
      <c r="F197" s="22">
        <f ca="1"/>
        <v>33.299999</v>
      </c>
      <c r="G197" s="22">
        <f ca="1"/>
        <v>28.076183</v>
      </c>
      <c r="H197" s="69">
        <f ca="1"/>
        <v>35069300</v>
      </c>
      <c r="I197" s="23" t="str">
        <f t="shared" ca="1" si="5"/>
        <v/>
      </c>
      <c r="O197" s="56"/>
      <c r="P197" s="73"/>
    </row>
    <row r="198" spans="1:16" ht="13.8">
      <c r="A198" s="20">
        <f t="shared" ref="A198:A261" ca="1" si="6">IFERROR(DATEVALUE($B198),"--")</f>
        <v>41555</v>
      </c>
      <c r="B198" s="21" t="str">
        <f ca="1"/>
        <v>2013-10-08</v>
      </c>
      <c r="C198" s="22">
        <f ca="1"/>
        <v>33.310001</v>
      </c>
      <c r="D198" s="22">
        <f ca="1"/>
        <v>33.330002</v>
      </c>
      <c r="E198" s="22">
        <f ca="1"/>
        <v>32.799999</v>
      </c>
      <c r="F198" s="22">
        <f ca="1"/>
        <v>33.009998000000003</v>
      </c>
      <c r="G198" s="22">
        <f ca="1"/>
        <v>27.831672999999999</v>
      </c>
      <c r="H198" s="69">
        <f ca="1"/>
        <v>41017600</v>
      </c>
      <c r="I198" s="23" t="str">
        <f t="shared" ref="I198:I261" ca="1" si="7">IFERROR(IF(Ticker&lt;&gt;$Q$2,"",INDEX($P:$P,MATCH($A198,$O:$O,0))),"")</f>
        <v/>
      </c>
      <c r="O198" s="56"/>
      <c r="P198" s="73"/>
    </row>
    <row r="199" spans="1:16" ht="13.8">
      <c r="A199" s="20">
        <f t="shared" ca="1" si="6"/>
        <v>41556</v>
      </c>
      <c r="B199" s="21" t="str">
        <f ca="1"/>
        <v>2013-10-09</v>
      </c>
      <c r="C199" s="22">
        <f ca="1"/>
        <v>33.07</v>
      </c>
      <c r="D199" s="22">
        <f ca="1"/>
        <v>33.349997999999999</v>
      </c>
      <c r="E199" s="22">
        <f ca="1"/>
        <v>32.959999000000003</v>
      </c>
      <c r="F199" s="22">
        <f ca="1"/>
        <v>33.07</v>
      </c>
      <c r="G199" s="22">
        <f ca="1"/>
        <v>27.882265</v>
      </c>
      <c r="H199" s="69">
        <f ca="1"/>
        <v>35878600</v>
      </c>
      <c r="I199" s="23" t="str">
        <f t="shared" ca="1" si="7"/>
        <v/>
      </c>
      <c r="O199" s="56"/>
      <c r="P199" s="73"/>
    </row>
    <row r="200" spans="1:16" ht="13.8">
      <c r="A200" s="20">
        <f t="shared" ca="1" si="6"/>
        <v>41557</v>
      </c>
      <c r="B200" s="21" t="str">
        <f ca="1"/>
        <v>2013-10-10</v>
      </c>
      <c r="C200" s="22">
        <f ca="1"/>
        <v>33.310001</v>
      </c>
      <c r="D200" s="22">
        <f ca="1"/>
        <v>33.889999000000003</v>
      </c>
      <c r="E200" s="22">
        <f ca="1"/>
        <v>33.259998000000003</v>
      </c>
      <c r="F200" s="22">
        <f ca="1"/>
        <v>33.759998000000003</v>
      </c>
      <c r="G200" s="22">
        <f ca="1"/>
        <v>28.464023999999998</v>
      </c>
      <c r="H200" s="69">
        <f ca="1"/>
        <v>42875100</v>
      </c>
      <c r="I200" s="23" t="str">
        <f t="shared" ca="1" si="7"/>
        <v/>
      </c>
      <c r="O200" s="56"/>
      <c r="P200" s="73"/>
    </row>
    <row r="201" spans="1:16" ht="13.8">
      <c r="A201" s="20">
        <f t="shared" ca="1" si="6"/>
        <v>41558</v>
      </c>
      <c r="B201" s="21" t="str">
        <f ca="1"/>
        <v>2013-10-11</v>
      </c>
      <c r="C201" s="22">
        <f ca="1"/>
        <v>33.68</v>
      </c>
      <c r="D201" s="22">
        <f ca="1"/>
        <v>34.139999000000003</v>
      </c>
      <c r="E201" s="22">
        <f ca="1"/>
        <v>33.68</v>
      </c>
      <c r="F201" s="22">
        <f ca="1"/>
        <v>34.130001</v>
      </c>
      <c r="G201" s="22">
        <f ca="1"/>
        <v>28.775976</v>
      </c>
      <c r="H201" s="69">
        <f ca="1"/>
        <v>30033300</v>
      </c>
      <c r="I201" s="23" t="str">
        <f t="shared" ca="1" si="7"/>
        <v/>
      </c>
      <c r="O201" s="56"/>
      <c r="P201" s="73"/>
    </row>
    <row r="202" spans="1:16" ht="13.8">
      <c r="A202" s="20">
        <f t="shared" ca="1" si="6"/>
        <v>41561</v>
      </c>
      <c r="B202" s="21" t="str">
        <f ca="1"/>
        <v>2013-10-14</v>
      </c>
      <c r="C202" s="22">
        <f ca="1"/>
        <v>33.900002000000001</v>
      </c>
      <c r="D202" s="22">
        <f ca="1"/>
        <v>34.5</v>
      </c>
      <c r="E202" s="22">
        <f ca="1"/>
        <v>33.779998999999997</v>
      </c>
      <c r="F202" s="22">
        <f ca="1"/>
        <v>34.450001</v>
      </c>
      <c r="G202" s="22">
        <f ca="1"/>
        <v>29.04579</v>
      </c>
      <c r="H202" s="69">
        <f ca="1"/>
        <v>27757900</v>
      </c>
      <c r="I202" s="23" t="str">
        <f t="shared" ca="1" si="7"/>
        <v/>
      </c>
      <c r="O202" s="56"/>
      <c r="P202" s="73"/>
    </row>
    <row r="203" spans="1:16" ht="13.8">
      <c r="A203" s="20">
        <f t="shared" ca="1" si="6"/>
        <v>41562</v>
      </c>
      <c r="B203" s="21" t="str">
        <f ca="1"/>
        <v>2013-10-15</v>
      </c>
      <c r="C203" s="22">
        <f ca="1"/>
        <v>34.669998</v>
      </c>
      <c r="D203" s="22">
        <f ca="1"/>
        <v>34.990001999999997</v>
      </c>
      <c r="E203" s="22">
        <f ca="1"/>
        <v>34.470001000000003</v>
      </c>
      <c r="F203" s="22">
        <f ca="1"/>
        <v>34.490001999999997</v>
      </c>
      <c r="G203" s="22">
        <f ca="1"/>
        <v>29.079502000000002</v>
      </c>
      <c r="H203" s="69">
        <f ca="1"/>
        <v>47097800</v>
      </c>
      <c r="I203" s="23" t="str">
        <f t="shared" ca="1" si="7"/>
        <v/>
      </c>
      <c r="O203" s="56"/>
      <c r="P203" s="73"/>
    </row>
    <row r="204" spans="1:16" ht="13.8">
      <c r="A204" s="20">
        <f t="shared" ca="1" si="6"/>
        <v>41563</v>
      </c>
      <c r="B204" s="21" t="str">
        <f ca="1"/>
        <v>2013-10-16</v>
      </c>
      <c r="C204" s="22">
        <f ca="1"/>
        <v>34.599997999999999</v>
      </c>
      <c r="D204" s="22">
        <f ca="1"/>
        <v>34.900002000000001</v>
      </c>
      <c r="E204" s="22">
        <f ca="1"/>
        <v>34.560001</v>
      </c>
      <c r="F204" s="22">
        <f ca="1"/>
        <v>34.639999000000003</v>
      </c>
      <c r="G204" s="22">
        <f ca="1"/>
        <v>29.205984000000001</v>
      </c>
      <c r="H204" s="69">
        <f ca="1"/>
        <v>35111600</v>
      </c>
      <c r="I204" s="23" t="str">
        <f t="shared" ca="1" si="7"/>
        <v/>
      </c>
      <c r="O204" s="56"/>
      <c r="P204" s="73"/>
    </row>
    <row r="205" spans="1:16" ht="13.8">
      <c r="A205" s="20">
        <f t="shared" ca="1" si="6"/>
        <v>41564</v>
      </c>
      <c r="B205" s="21" t="str">
        <f ca="1"/>
        <v>2013-10-17</v>
      </c>
      <c r="C205" s="22">
        <f ca="1"/>
        <v>34.450001</v>
      </c>
      <c r="D205" s="22">
        <f ca="1"/>
        <v>34.990001999999997</v>
      </c>
      <c r="E205" s="22">
        <f ca="1"/>
        <v>34.369999</v>
      </c>
      <c r="F205" s="22">
        <f ca="1"/>
        <v>34.919998</v>
      </c>
      <c r="G205" s="22">
        <f ca="1"/>
        <v>29.442055</v>
      </c>
      <c r="H205" s="69">
        <f ca="1"/>
        <v>31359200</v>
      </c>
      <c r="I205" s="23" t="str">
        <f t="shared" ca="1" si="7"/>
        <v/>
      </c>
      <c r="O205" s="56"/>
      <c r="P205" s="73"/>
    </row>
    <row r="206" spans="1:16" ht="13.8">
      <c r="A206" s="20">
        <f t="shared" ca="1" si="6"/>
        <v>41565</v>
      </c>
      <c r="B206" s="21" t="str">
        <f ca="1"/>
        <v>2013-10-18</v>
      </c>
      <c r="C206" s="22">
        <f ca="1"/>
        <v>34.82</v>
      </c>
      <c r="D206" s="22">
        <f ca="1"/>
        <v>34.990001999999997</v>
      </c>
      <c r="E206" s="22">
        <f ca="1"/>
        <v>34.330002</v>
      </c>
      <c r="F206" s="22">
        <f ca="1"/>
        <v>34.959999000000003</v>
      </c>
      <c r="G206" s="22">
        <f ca="1"/>
        <v>29.475777000000001</v>
      </c>
      <c r="H206" s="69">
        <f ca="1"/>
        <v>41811700</v>
      </c>
      <c r="I206" s="23" t="str">
        <f t="shared" ca="1" si="7"/>
        <v/>
      </c>
      <c r="O206" s="56"/>
      <c r="P206" s="73"/>
    </row>
    <row r="207" spans="1:16" ht="13.8">
      <c r="A207" s="20">
        <f t="shared" ca="1" si="6"/>
        <v>41568</v>
      </c>
      <c r="B207" s="21" t="str">
        <f ca="1"/>
        <v>2013-10-21</v>
      </c>
      <c r="C207" s="22">
        <f ca="1"/>
        <v>34.979999999999997</v>
      </c>
      <c r="D207" s="22">
        <f ca="1"/>
        <v>35.200001</v>
      </c>
      <c r="E207" s="22">
        <f ca="1"/>
        <v>34.909999999999997</v>
      </c>
      <c r="F207" s="22">
        <f ca="1"/>
        <v>34.990001999999997</v>
      </c>
      <c r="G207" s="22">
        <f ca="1"/>
        <v>29.501076000000001</v>
      </c>
      <c r="H207" s="69">
        <f ca="1"/>
        <v>27433500</v>
      </c>
      <c r="I207" s="23" t="str">
        <f t="shared" ca="1" si="7"/>
        <v/>
      </c>
      <c r="O207" s="56"/>
      <c r="P207" s="73"/>
    </row>
    <row r="208" spans="1:16" ht="13.8">
      <c r="A208" s="20">
        <f t="shared" ca="1" si="6"/>
        <v>41569</v>
      </c>
      <c r="B208" s="21" t="str">
        <f ca="1"/>
        <v>2013-10-22</v>
      </c>
      <c r="C208" s="22">
        <f ca="1"/>
        <v>35.020000000000003</v>
      </c>
      <c r="D208" s="22">
        <f ca="1"/>
        <v>35.099997999999999</v>
      </c>
      <c r="E208" s="22">
        <f ca="1"/>
        <v>34.520000000000003</v>
      </c>
      <c r="F208" s="22">
        <f ca="1"/>
        <v>34.580002</v>
      </c>
      <c r="G208" s="22">
        <f ca="1"/>
        <v>29.155394000000001</v>
      </c>
      <c r="H208" s="69">
        <f ca="1"/>
        <v>40438500</v>
      </c>
      <c r="I208" s="23" t="str">
        <f t="shared" ca="1" si="7"/>
        <v/>
      </c>
      <c r="O208" s="56"/>
      <c r="P208" s="73"/>
    </row>
    <row r="209" spans="1:16" ht="13.8">
      <c r="A209" s="20">
        <f t="shared" ca="1" si="6"/>
        <v>41570</v>
      </c>
      <c r="B209" s="21" t="str">
        <f ca="1"/>
        <v>2013-10-23</v>
      </c>
      <c r="C209" s="22">
        <f ca="1"/>
        <v>34.349997999999999</v>
      </c>
      <c r="D209" s="22">
        <f ca="1"/>
        <v>34.490001999999997</v>
      </c>
      <c r="E209" s="22">
        <f ca="1"/>
        <v>33.669998</v>
      </c>
      <c r="F209" s="22">
        <f ca="1"/>
        <v>33.759998000000003</v>
      </c>
      <c r="G209" s="22">
        <f ca="1"/>
        <v>28.464023999999998</v>
      </c>
      <c r="H209" s="69">
        <f ca="1"/>
        <v>58600500</v>
      </c>
      <c r="I209" s="23" t="str">
        <f t="shared" ca="1" si="7"/>
        <v/>
      </c>
      <c r="O209" s="56"/>
      <c r="P209" s="73"/>
    </row>
    <row r="210" spans="1:16" ht="13.8">
      <c r="A210" s="20">
        <f t="shared" ca="1" si="6"/>
        <v>41571</v>
      </c>
      <c r="B210" s="21" t="str">
        <f ca="1"/>
        <v>2013-10-24</v>
      </c>
      <c r="C210" s="22">
        <f ca="1"/>
        <v>33.82</v>
      </c>
      <c r="D210" s="22">
        <f ca="1"/>
        <v>34.099997999999999</v>
      </c>
      <c r="E210" s="22">
        <f ca="1"/>
        <v>33.57</v>
      </c>
      <c r="F210" s="22">
        <f ca="1"/>
        <v>33.720001000000003</v>
      </c>
      <c r="G210" s="22">
        <f ca="1"/>
        <v>28.430304</v>
      </c>
      <c r="H210" s="69">
        <f ca="1"/>
        <v>53209700</v>
      </c>
      <c r="I210" s="23" t="str">
        <f t="shared" ca="1" si="7"/>
        <v/>
      </c>
      <c r="O210" s="56"/>
      <c r="P210" s="73"/>
    </row>
    <row r="211" spans="1:16" ht="13.8">
      <c r="A211" s="20">
        <f t="shared" ca="1" si="6"/>
        <v>41572</v>
      </c>
      <c r="B211" s="21" t="str">
        <f ca="1"/>
        <v>2013-10-25</v>
      </c>
      <c r="C211" s="22">
        <f ca="1"/>
        <v>35.880001</v>
      </c>
      <c r="D211" s="22">
        <f ca="1"/>
        <v>36.290000999999997</v>
      </c>
      <c r="E211" s="22">
        <f ca="1"/>
        <v>35.470001000000003</v>
      </c>
      <c r="F211" s="22">
        <f ca="1"/>
        <v>35.729999999999997</v>
      </c>
      <c r="G211" s="22">
        <f ca="1"/>
        <v>30.124991999999999</v>
      </c>
      <c r="H211" s="69">
        <f ca="1"/>
        <v>113494000</v>
      </c>
      <c r="I211" s="23" t="str">
        <f t="shared" ca="1" si="7"/>
        <v/>
      </c>
      <c r="O211" s="56"/>
      <c r="P211" s="73"/>
    </row>
    <row r="212" spans="1:16" ht="13.8">
      <c r="A212" s="20">
        <f t="shared" ca="1" si="6"/>
        <v>41575</v>
      </c>
      <c r="B212" s="21" t="str">
        <f ca="1"/>
        <v>2013-10-28</v>
      </c>
      <c r="C212" s="22">
        <f ca="1"/>
        <v>35.610000999999997</v>
      </c>
      <c r="D212" s="22">
        <f ca="1"/>
        <v>35.729999999999997</v>
      </c>
      <c r="E212" s="22">
        <f ca="1"/>
        <v>35.270000000000003</v>
      </c>
      <c r="F212" s="22">
        <f ca="1"/>
        <v>35.57</v>
      </c>
      <c r="G212" s="22">
        <f ca="1"/>
        <v>29.990086000000002</v>
      </c>
      <c r="H212" s="69">
        <f ca="1"/>
        <v>38383600</v>
      </c>
      <c r="I212" s="23" t="str">
        <f t="shared" ca="1" si="7"/>
        <v/>
      </c>
      <c r="O212" s="56"/>
      <c r="P212" s="73"/>
    </row>
    <row r="213" spans="1:16" ht="13.8">
      <c r="A213" s="20">
        <f t="shared" ca="1" si="6"/>
        <v>41576</v>
      </c>
      <c r="B213" s="21" t="str">
        <f ca="1"/>
        <v>2013-10-29</v>
      </c>
      <c r="C213" s="22">
        <f ca="1"/>
        <v>35.630001</v>
      </c>
      <c r="D213" s="22">
        <f ca="1"/>
        <v>35.720001000000003</v>
      </c>
      <c r="E213" s="22">
        <f ca="1"/>
        <v>35.259998000000003</v>
      </c>
      <c r="F213" s="22">
        <f ca="1"/>
        <v>35.520000000000003</v>
      </c>
      <c r="G213" s="22">
        <f ca="1"/>
        <v>29.947925999999999</v>
      </c>
      <c r="H213" s="69">
        <f ca="1"/>
        <v>31702200</v>
      </c>
      <c r="I213" s="23" t="str">
        <f t="shared" ca="1" si="7"/>
        <v/>
      </c>
      <c r="O213" s="56"/>
      <c r="P213" s="73"/>
    </row>
    <row r="214" spans="1:16" ht="13.8">
      <c r="A214" s="20">
        <f t="shared" ca="1" si="6"/>
        <v>41577</v>
      </c>
      <c r="B214" s="21" t="str">
        <f ca="1"/>
        <v>2013-10-30</v>
      </c>
      <c r="C214" s="22">
        <f ca="1"/>
        <v>35.529998999999997</v>
      </c>
      <c r="D214" s="22">
        <f ca="1"/>
        <v>35.790000999999997</v>
      </c>
      <c r="E214" s="22">
        <f ca="1"/>
        <v>35.43</v>
      </c>
      <c r="F214" s="22">
        <f ca="1"/>
        <v>35.540000999999997</v>
      </c>
      <c r="G214" s="22">
        <f ca="1"/>
        <v>29.964797999999998</v>
      </c>
      <c r="H214" s="69">
        <f ca="1"/>
        <v>36997700</v>
      </c>
      <c r="I214" s="23" t="str">
        <f t="shared" ca="1" si="7"/>
        <v/>
      </c>
      <c r="O214" s="56"/>
      <c r="P214" s="73"/>
    </row>
    <row r="215" spans="1:16" ht="13.8">
      <c r="A215" s="20">
        <f t="shared" ca="1" si="6"/>
        <v>41578</v>
      </c>
      <c r="B215" s="21" t="str">
        <f ca="1"/>
        <v>2013-10-31</v>
      </c>
      <c r="C215" s="22">
        <f ca="1"/>
        <v>35.659999999999997</v>
      </c>
      <c r="D215" s="22">
        <f ca="1"/>
        <v>35.689999</v>
      </c>
      <c r="E215" s="22">
        <f ca="1"/>
        <v>35.340000000000003</v>
      </c>
      <c r="F215" s="22">
        <f ca="1"/>
        <v>35.409999999999997</v>
      </c>
      <c r="G215" s="22">
        <f ca="1"/>
        <v>29.855174999999999</v>
      </c>
      <c r="H215" s="69">
        <f ca="1"/>
        <v>41682300</v>
      </c>
      <c r="I215" s="23" t="str">
        <f t="shared" ca="1" si="7"/>
        <v/>
      </c>
      <c r="O215" s="56"/>
      <c r="P215" s="73"/>
    </row>
    <row r="216" spans="1:16" ht="13.8">
      <c r="A216" s="20">
        <f t="shared" ca="1" si="6"/>
        <v>41579</v>
      </c>
      <c r="B216" s="21" t="str">
        <f ca="1"/>
        <v>2013-11-01</v>
      </c>
      <c r="C216" s="22">
        <f ca="1"/>
        <v>35.669998</v>
      </c>
      <c r="D216" s="22">
        <f ca="1"/>
        <v>35.689999</v>
      </c>
      <c r="E216" s="22">
        <f ca="1"/>
        <v>35.389999000000003</v>
      </c>
      <c r="F216" s="22">
        <f ca="1"/>
        <v>35.529998999999997</v>
      </c>
      <c r="G216" s="22">
        <f ca="1"/>
        <v>29.956358000000002</v>
      </c>
      <c r="H216" s="69">
        <f ca="1"/>
        <v>40264600</v>
      </c>
      <c r="I216" s="23" t="str">
        <f t="shared" ca="1" si="7"/>
        <v/>
      </c>
      <c r="O216" s="56"/>
      <c r="P216" s="73"/>
    </row>
    <row r="217" spans="1:16" ht="13.8">
      <c r="A217" s="20">
        <f t="shared" ca="1" si="6"/>
        <v>41582</v>
      </c>
      <c r="B217" s="21" t="str">
        <f ca="1"/>
        <v>2013-11-04</v>
      </c>
      <c r="C217" s="22">
        <f ca="1"/>
        <v>35.590000000000003</v>
      </c>
      <c r="D217" s="22">
        <f ca="1"/>
        <v>35.979999999999997</v>
      </c>
      <c r="E217" s="22">
        <f ca="1"/>
        <v>35.549999</v>
      </c>
      <c r="F217" s="22">
        <f ca="1"/>
        <v>35.939999</v>
      </c>
      <c r="G217" s="22">
        <f ca="1"/>
        <v>30.302040000000002</v>
      </c>
      <c r="H217" s="69">
        <f ca="1"/>
        <v>28060700</v>
      </c>
      <c r="I217" s="23" t="str">
        <f t="shared" ca="1" si="7"/>
        <v/>
      </c>
      <c r="O217" s="56"/>
      <c r="P217" s="73"/>
    </row>
    <row r="218" spans="1:16" ht="13.8">
      <c r="A218" s="20">
        <f t="shared" ca="1" si="6"/>
        <v>41583</v>
      </c>
      <c r="B218" s="21" t="str">
        <f ca="1"/>
        <v>2013-11-05</v>
      </c>
      <c r="C218" s="22">
        <f ca="1"/>
        <v>35.790000999999997</v>
      </c>
      <c r="D218" s="22">
        <f ca="1"/>
        <v>36.709999000000003</v>
      </c>
      <c r="E218" s="22">
        <f ca="1"/>
        <v>35.770000000000003</v>
      </c>
      <c r="F218" s="22">
        <f ca="1"/>
        <v>36.639999000000003</v>
      </c>
      <c r="G218" s="22">
        <f ca="1"/>
        <v>30.892242</v>
      </c>
      <c r="H218" s="69">
        <f ca="1"/>
        <v>51681900</v>
      </c>
      <c r="I218" s="23" t="str">
        <f t="shared" ca="1" si="7"/>
        <v/>
      </c>
      <c r="O218" s="56"/>
      <c r="P218" s="73"/>
    </row>
    <row r="219" spans="1:16" ht="13.8">
      <c r="A219" s="20">
        <f t="shared" ca="1" si="6"/>
        <v>41584</v>
      </c>
      <c r="B219" s="21" t="str">
        <f ca="1"/>
        <v>2013-11-06</v>
      </c>
      <c r="C219" s="22">
        <f ca="1"/>
        <v>37.240001999999997</v>
      </c>
      <c r="D219" s="22">
        <f ca="1"/>
        <v>38.220001000000003</v>
      </c>
      <c r="E219" s="22">
        <f ca="1"/>
        <v>37.060001</v>
      </c>
      <c r="F219" s="22">
        <f ca="1"/>
        <v>38.18</v>
      </c>
      <c r="G219" s="22">
        <f ca="1"/>
        <v>32.190655</v>
      </c>
      <c r="H219" s="69">
        <f ca="1"/>
        <v>88948800</v>
      </c>
      <c r="I219" s="23" t="str">
        <f t="shared" ca="1" si="7"/>
        <v/>
      </c>
      <c r="O219" s="56"/>
      <c r="P219" s="73"/>
    </row>
    <row r="220" spans="1:16" ht="13.8">
      <c r="A220" s="20">
        <f t="shared" ca="1" si="6"/>
        <v>41585</v>
      </c>
      <c r="B220" s="21" t="str">
        <f ca="1"/>
        <v>2013-11-07</v>
      </c>
      <c r="C220" s="22">
        <f ca="1"/>
        <v>37.959999000000003</v>
      </c>
      <c r="D220" s="22">
        <f ca="1"/>
        <v>38.009998000000003</v>
      </c>
      <c r="E220" s="22">
        <f ca="1"/>
        <v>37.43</v>
      </c>
      <c r="F220" s="22">
        <f ca="1"/>
        <v>37.5</v>
      </c>
      <c r="G220" s="22">
        <f ca="1"/>
        <v>31.617325000000001</v>
      </c>
      <c r="H220" s="69">
        <f ca="1"/>
        <v>60437400</v>
      </c>
      <c r="I220" s="23" t="str">
        <f t="shared" ca="1" si="7"/>
        <v/>
      </c>
      <c r="O220" s="56"/>
      <c r="P220" s="73"/>
    </row>
    <row r="221" spans="1:16" ht="13.8">
      <c r="A221" s="20">
        <f t="shared" ca="1" si="6"/>
        <v>41586</v>
      </c>
      <c r="B221" s="21" t="str">
        <f ca="1"/>
        <v>2013-11-08</v>
      </c>
      <c r="C221" s="22">
        <f ca="1"/>
        <v>37.669998</v>
      </c>
      <c r="D221" s="22">
        <f ca="1"/>
        <v>37.779998999999997</v>
      </c>
      <c r="E221" s="22">
        <f ca="1"/>
        <v>37.340000000000003</v>
      </c>
      <c r="F221" s="22">
        <f ca="1"/>
        <v>37.779998999999997</v>
      </c>
      <c r="G221" s="22">
        <f ca="1"/>
        <v>31.853403</v>
      </c>
      <c r="H221" s="69">
        <f ca="1"/>
        <v>36737800</v>
      </c>
      <c r="I221" s="23" t="str">
        <f t="shared" ca="1" si="7"/>
        <v/>
      </c>
      <c r="O221" s="56"/>
      <c r="P221" s="73"/>
    </row>
    <row r="222" spans="1:16" ht="13.8">
      <c r="A222" s="20">
        <f t="shared" ca="1" si="6"/>
        <v>41589</v>
      </c>
      <c r="B222" s="21" t="str">
        <f ca="1"/>
        <v>2013-11-11</v>
      </c>
      <c r="C222" s="22">
        <f ca="1"/>
        <v>37.689999</v>
      </c>
      <c r="D222" s="22">
        <f ca="1"/>
        <v>37.779998999999997</v>
      </c>
      <c r="E222" s="22">
        <f ca="1"/>
        <v>37.349997999999999</v>
      </c>
      <c r="F222" s="22">
        <f ca="1"/>
        <v>37.590000000000003</v>
      </c>
      <c r="G222" s="22">
        <f ca="1"/>
        <v>31.693199</v>
      </c>
      <c r="H222" s="69">
        <f ca="1"/>
        <v>26872500</v>
      </c>
      <c r="I222" s="23" t="str">
        <f t="shared" ca="1" si="7"/>
        <v/>
      </c>
      <c r="O222" s="56"/>
      <c r="P222" s="73"/>
    </row>
    <row r="223" spans="1:16" ht="13.8">
      <c r="A223" s="20">
        <f t="shared" ca="1" si="6"/>
        <v>41590</v>
      </c>
      <c r="B223" s="21" t="str">
        <f ca="1"/>
        <v>2013-11-12</v>
      </c>
      <c r="C223" s="22">
        <f ca="1"/>
        <v>37.380001</v>
      </c>
      <c r="D223" s="22">
        <f ca="1"/>
        <v>37.599997999999999</v>
      </c>
      <c r="E223" s="22">
        <f ca="1"/>
        <v>37.200001</v>
      </c>
      <c r="F223" s="22">
        <f ca="1"/>
        <v>37.360000999999997</v>
      </c>
      <c r="G223" s="22">
        <f ca="1"/>
        <v>31.499285</v>
      </c>
      <c r="H223" s="69">
        <f ca="1"/>
        <v>31651600</v>
      </c>
      <c r="I223" s="23" t="str">
        <f t="shared" ca="1" si="7"/>
        <v/>
      </c>
      <c r="O223" s="56"/>
      <c r="P223" s="73"/>
    </row>
    <row r="224" spans="1:16" ht="13.8">
      <c r="A224" s="20">
        <f t="shared" ca="1" si="6"/>
        <v>41591</v>
      </c>
      <c r="B224" s="21" t="str">
        <f ca="1"/>
        <v>2013-11-13</v>
      </c>
      <c r="C224" s="22">
        <f ca="1"/>
        <v>36.979999999999997</v>
      </c>
      <c r="D224" s="22">
        <f ca="1"/>
        <v>38.159999999999997</v>
      </c>
      <c r="E224" s="22">
        <f ca="1"/>
        <v>36.900002000000001</v>
      </c>
      <c r="F224" s="22">
        <f ca="1"/>
        <v>38.159999999999997</v>
      </c>
      <c r="G224" s="22">
        <f ca="1"/>
        <v>32.173797999999998</v>
      </c>
      <c r="H224" s="69">
        <f ca="1"/>
        <v>44957600</v>
      </c>
      <c r="I224" s="23" t="str">
        <f t="shared" ca="1" si="7"/>
        <v/>
      </c>
      <c r="O224" s="56"/>
      <c r="P224" s="73"/>
    </row>
    <row r="225" spans="1:16" ht="13.8">
      <c r="A225" s="20">
        <f t="shared" ca="1" si="6"/>
        <v>41592</v>
      </c>
      <c r="B225" s="21" t="str">
        <f ca="1"/>
        <v>2013-11-14</v>
      </c>
      <c r="C225" s="22">
        <f ca="1"/>
        <v>37.869999</v>
      </c>
      <c r="D225" s="22">
        <f ca="1"/>
        <v>38.130001</v>
      </c>
      <c r="E225" s="22">
        <f ca="1"/>
        <v>37.720001000000003</v>
      </c>
      <c r="F225" s="22">
        <f ca="1"/>
        <v>38.020000000000003</v>
      </c>
      <c r="G225" s="22">
        <f ca="1"/>
        <v>32.055756000000002</v>
      </c>
      <c r="H225" s="69">
        <f ca="1"/>
        <v>46183700</v>
      </c>
      <c r="I225" s="23" t="str">
        <f t="shared" ca="1" si="7"/>
        <v/>
      </c>
      <c r="O225" s="56"/>
      <c r="P225" s="73"/>
    </row>
    <row r="226" spans="1:16" ht="13.8">
      <c r="A226" s="20">
        <f t="shared" ca="1" si="6"/>
        <v>41593</v>
      </c>
      <c r="B226" s="21" t="str">
        <f ca="1"/>
        <v>2013-11-15</v>
      </c>
      <c r="C226" s="22">
        <f ca="1"/>
        <v>37.950001</v>
      </c>
      <c r="D226" s="22">
        <f ca="1"/>
        <v>38.020000000000003</v>
      </c>
      <c r="E226" s="22">
        <f ca="1"/>
        <v>37.720001000000003</v>
      </c>
      <c r="F226" s="22">
        <f ca="1"/>
        <v>37.840000000000003</v>
      </c>
      <c r="G226" s="22">
        <f ca="1"/>
        <v>31.903995999999999</v>
      </c>
      <c r="H226" s="69">
        <f ca="1"/>
        <v>50601300</v>
      </c>
      <c r="I226" s="23" t="str">
        <f t="shared" ca="1" si="7"/>
        <v/>
      </c>
      <c r="O226" s="56"/>
      <c r="P226" s="73"/>
    </row>
    <row r="227" spans="1:16" ht="13.8">
      <c r="A227" s="20">
        <f t="shared" ca="1" si="6"/>
        <v>41596</v>
      </c>
      <c r="B227" s="21" t="str">
        <f ca="1"/>
        <v>2013-11-18</v>
      </c>
      <c r="C227" s="22">
        <f ca="1"/>
        <v>37.349997999999999</v>
      </c>
      <c r="D227" s="22">
        <f ca="1"/>
        <v>37.580002</v>
      </c>
      <c r="E227" s="22">
        <f ca="1"/>
        <v>37.07</v>
      </c>
      <c r="F227" s="22">
        <f ca="1"/>
        <v>37.200001</v>
      </c>
      <c r="G227" s="22">
        <f ca="1"/>
        <v>31.364384000000001</v>
      </c>
      <c r="H227" s="69">
        <f ca="1"/>
        <v>53277500</v>
      </c>
      <c r="I227" s="23" t="str">
        <f t="shared" ca="1" si="7"/>
        <v/>
      </c>
      <c r="O227" s="56"/>
      <c r="P227" s="73"/>
    </row>
    <row r="228" spans="1:16" ht="13.8">
      <c r="A228" s="20">
        <f t="shared" ca="1" si="6"/>
        <v>41597</v>
      </c>
      <c r="B228" s="21" t="str">
        <f ca="1"/>
        <v>2013-11-19</v>
      </c>
      <c r="C228" s="22">
        <f ca="1"/>
        <v>36.849997999999999</v>
      </c>
      <c r="D228" s="22">
        <f ca="1"/>
        <v>37.229999999999997</v>
      </c>
      <c r="E228" s="22">
        <f ca="1"/>
        <v>36.669998</v>
      </c>
      <c r="F228" s="22">
        <f ca="1"/>
        <v>36.740001999999997</v>
      </c>
      <c r="G228" s="22">
        <f ca="1"/>
        <v>31.211479000000001</v>
      </c>
      <c r="H228" s="69">
        <f ca="1"/>
        <v>44275000</v>
      </c>
      <c r="I228" s="23">
        <f t="shared" ca="1" si="7"/>
        <v>0.28000000000000003</v>
      </c>
      <c r="O228" s="56"/>
      <c r="P228" s="73"/>
    </row>
    <row r="229" spans="1:16" ht="13.8">
      <c r="A229" s="20">
        <f t="shared" ca="1" si="6"/>
        <v>41598</v>
      </c>
      <c r="B229" s="21" t="str">
        <f ca="1"/>
        <v>2013-11-20</v>
      </c>
      <c r="C229" s="22">
        <f ca="1"/>
        <v>36.919998</v>
      </c>
      <c r="D229" s="22">
        <f ca="1"/>
        <v>37.409999999999997</v>
      </c>
      <c r="E229" s="22">
        <f ca="1"/>
        <v>36.860000999999997</v>
      </c>
      <c r="F229" s="22">
        <f ca="1"/>
        <v>37.080002</v>
      </c>
      <c r="G229" s="22">
        <f ca="1"/>
        <v>31.500315000000001</v>
      </c>
      <c r="H229" s="69">
        <f ca="1"/>
        <v>32229900</v>
      </c>
      <c r="I229" s="23" t="str">
        <f t="shared" ca="1" si="7"/>
        <v/>
      </c>
      <c r="O229" s="56"/>
      <c r="P229" s="73"/>
    </row>
    <row r="230" spans="1:16" ht="13.8">
      <c r="A230" s="20">
        <f t="shared" ca="1" si="6"/>
        <v>41599</v>
      </c>
      <c r="B230" s="21" t="str">
        <f ca="1"/>
        <v>2013-11-21</v>
      </c>
      <c r="C230" s="22">
        <f ca="1"/>
        <v>37.270000000000003</v>
      </c>
      <c r="D230" s="22">
        <f ca="1"/>
        <v>37.529998999999997</v>
      </c>
      <c r="E230" s="22">
        <f ca="1"/>
        <v>37.259998000000003</v>
      </c>
      <c r="F230" s="22">
        <f ca="1"/>
        <v>37.400002000000001</v>
      </c>
      <c r="G230" s="22">
        <f ca="1"/>
        <v>31.772161000000001</v>
      </c>
      <c r="H230" s="69">
        <f ca="1"/>
        <v>23064700</v>
      </c>
      <c r="I230" s="23" t="str">
        <f t="shared" ca="1" si="7"/>
        <v/>
      </c>
    </row>
    <row r="231" spans="1:16" ht="13.8">
      <c r="A231" s="20">
        <f t="shared" ca="1" si="6"/>
        <v>41600</v>
      </c>
      <c r="B231" s="21" t="str">
        <f ca="1"/>
        <v>2013-11-22</v>
      </c>
      <c r="C231" s="22">
        <f ca="1"/>
        <v>37.529998999999997</v>
      </c>
      <c r="D231" s="22">
        <f ca="1"/>
        <v>37.68</v>
      </c>
      <c r="E231" s="22">
        <f ca="1"/>
        <v>37.330002</v>
      </c>
      <c r="F231" s="22">
        <f ca="1"/>
        <v>37.57</v>
      </c>
      <c r="G231" s="22">
        <f ca="1"/>
        <v>31.916567000000001</v>
      </c>
      <c r="H231" s="69">
        <f ca="1"/>
        <v>27982000</v>
      </c>
      <c r="I231" s="23" t="str">
        <f t="shared" ca="1" si="7"/>
        <v/>
      </c>
    </row>
    <row r="232" spans="1:16" ht="13.8">
      <c r="A232" s="20">
        <f t="shared" ca="1" si="6"/>
        <v>41603</v>
      </c>
      <c r="B232" s="21" t="str">
        <f ca="1"/>
        <v>2013-11-25</v>
      </c>
      <c r="C232" s="22">
        <f ca="1"/>
        <v>37.93</v>
      </c>
      <c r="D232" s="22">
        <f ca="1"/>
        <v>37.950001</v>
      </c>
      <c r="E232" s="22">
        <f ca="1"/>
        <v>37.57</v>
      </c>
      <c r="F232" s="22">
        <f ca="1"/>
        <v>37.639999000000003</v>
      </c>
      <c r="G232" s="22">
        <f ca="1"/>
        <v>31.976044000000002</v>
      </c>
      <c r="H232" s="69">
        <f ca="1"/>
        <v>30646800</v>
      </c>
      <c r="I232" s="23" t="str">
        <f t="shared" ca="1" si="7"/>
        <v/>
      </c>
    </row>
    <row r="233" spans="1:16" ht="13.8">
      <c r="A233" s="20">
        <f t="shared" ca="1" si="6"/>
        <v>41604</v>
      </c>
      <c r="B233" s="21" t="str">
        <f ca="1"/>
        <v>2013-11-26</v>
      </c>
      <c r="C233" s="22">
        <f ca="1"/>
        <v>37.57</v>
      </c>
      <c r="D233" s="22">
        <f ca="1"/>
        <v>37.650002000000001</v>
      </c>
      <c r="E233" s="22">
        <f ca="1"/>
        <v>37.349997999999999</v>
      </c>
      <c r="F233" s="22">
        <f ca="1"/>
        <v>37.349997999999999</v>
      </c>
      <c r="G233" s="22">
        <f ca="1"/>
        <v>31.729686999999998</v>
      </c>
      <c r="H233" s="69">
        <f ca="1"/>
        <v>34465300</v>
      </c>
      <c r="I233" s="23" t="str">
        <f t="shared" ca="1" si="7"/>
        <v/>
      </c>
    </row>
    <row r="234" spans="1:16" ht="13.8">
      <c r="A234" s="20">
        <f t="shared" ca="1" si="6"/>
        <v>41605</v>
      </c>
      <c r="B234" s="21" t="str">
        <f ca="1"/>
        <v>2013-11-27</v>
      </c>
      <c r="C234" s="22">
        <f ca="1"/>
        <v>37.57</v>
      </c>
      <c r="D234" s="22">
        <f ca="1"/>
        <v>37.759998000000003</v>
      </c>
      <c r="E234" s="22">
        <f ca="1"/>
        <v>37.490001999999997</v>
      </c>
      <c r="F234" s="22">
        <f ca="1"/>
        <v>37.599997999999999</v>
      </c>
      <c r="G234" s="22">
        <f ca="1"/>
        <v>31.942070000000001</v>
      </c>
      <c r="H234" s="69">
        <f ca="1"/>
        <v>26002100</v>
      </c>
      <c r="I234" s="23" t="str">
        <f t="shared" ca="1" si="7"/>
        <v/>
      </c>
    </row>
    <row r="235" spans="1:16" ht="13.8">
      <c r="A235" s="20">
        <f t="shared" ca="1" si="6"/>
        <v>41607</v>
      </c>
      <c r="B235" s="21" t="str">
        <f ca="1"/>
        <v>2013-11-29</v>
      </c>
      <c r="C235" s="22">
        <f ca="1"/>
        <v>37.82</v>
      </c>
      <c r="D235" s="22">
        <f ca="1"/>
        <v>38.290000999999997</v>
      </c>
      <c r="E235" s="22">
        <f ca="1"/>
        <v>37.82</v>
      </c>
      <c r="F235" s="22">
        <f ca="1"/>
        <v>38.130001</v>
      </c>
      <c r="G235" s="22">
        <f ca="1"/>
        <v>32.392315000000004</v>
      </c>
      <c r="H235" s="69">
        <f ca="1"/>
        <v>22090400</v>
      </c>
      <c r="I235" s="23" t="str">
        <f t="shared" ca="1" si="7"/>
        <v/>
      </c>
    </row>
    <row r="236" spans="1:16" ht="13.8">
      <c r="A236" s="20">
        <f t="shared" ca="1" si="6"/>
        <v>41610</v>
      </c>
      <c r="B236" s="21" t="str">
        <f ca="1"/>
        <v>2013-12-02</v>
      </c>
      <c r="C236" s="22">
        <f ca="1"/>
        <v>38.090000000000003</v>
      </c>
      <c r="D236" s="22">
        <f ca="1"/>
        <v>38.779998999999997</v>
      </c>
      <c r="E236" s="22">
        <f ca="1"/>
        <v>38.060001</v>
      </c>
      <c r="F236" s="22">
        <f ca="1"/>
        <v>38.450001</v>
      </c>
      <c r="G236" s="22">
        <f ca="1"/>
        <v>32.664149999999999</v>
      </c>
      <c r="H236" s="69">
        <f ca="1"/>
        <v>42950400</v>
      </c>
      <c r="I236" s="23" t="str">
        <f t="shared" ca="1" si="7"/>
        <v/>
      </c>
    </row>
    <row r="237" spans="1:16" ht="13.8">
      <c r="A237" s="20">
        <f t="shared" ca="1" si="6"/>
        <v>41611</v>
      </c>
      <c r="B237" s="21" t="str">
        <f ca="1"/>
        <v>2013-12-03</v>
      </c>
      <c r="C237" s="22">
        <f ca="1"/>
        <v>38.139999000000003</v>
      </c>
      <c r="D237" s="22">
        <f ca="1"/>
        <v>38.490001999999997</v>
      </c>
      <c r="E237" s="22">
        <f ca="1"/>
        <v>38.080002</v>
      </c>
      <c r="F237" s="22">
        <f ca="1"/>
        <v>38.310001</v>
      </c>
      <c r="G237" s="22">
        <f ca="1"/>
        <v>32.545223</v>
      </c>
      <c r="H237" s="69">
        <f ca="1"/>
        <v>52109800</v>
      </c>
      <c r="I237" s="23" t="str">
        <f t="shared" ca="1" si="7"/>
        <v/>
      </c>
    </row>
    <row r="238" spans="1:16" ht="13.8">
      <c r="A238" s="20">
        <f t="shared" ca="1" si="6"/>
        <v>41612</v>
      </c>
      <c r="B238" s="21" t="str">
        <f ca="1"/>
        <v>2013-12-04</v>
      </c>
      <c r="C238" s="22">
        <f ca="1"/>
        <v>38.209999000000003</v>
      </c>
      <c r="D238" s="22">
        <f ca="1"/>
        <v>38.979999999999997</v>
      </c>
      <c r="E238" s="22">
        <f ca="1"/>
        <v>38.119999</v>
      </c>
      <c r="F238" s="22">
        <f ca="1"/>
        <v>38.939999</v>
      </c>
      <c r="G238" s="22">
        <f ca="1"/>
        <v>33.080413999999998</v>
      </c>
      <c r="H238" s="69">
        <f ca="1"/>
        <v>51983600</v>
      </c>
      <c r="I238" s="23" t="str">
        <f t="shared" ca="1" si="7"/>
        <v/>
      </c>
    </row>
    <row r="239" spans="1:16" ht="13.8">
      <c r="A239" s="20">
        <f t="shared" ca="1" si="6"/>
        <v>41613</v>
      </c>
      <c r="B239" s="21" t="str">
        <f ca="1"/>
        <v>2013-12-05</v>
      </c>
      <c r="C239" s="22">
        <f ca="1"/>
        <v>38.849997999999999</v>
      </c>
      <c r="D239" s="22">
        <f ca="1"/>
        <v>38.880001</v>
      </c>
      <c r="E239" s="22">
        <f ca="1"/>
        <v>37.18</v>
      </c>
      <c r="F239" s="22">
        <f ca="1"/>
        <v>38</v>
      </c>
      <c r="G239" s="22">
        <f ca="1"/>
        <v>32.281872</v>
      </c>
      <c r="H239" s="69">
        <f ca="1"/>
        <v>116305000</v>
      </c>
      <c r="I239" s="23" t="str">
        <f t="shared" ca="1" si="7"/>
        <v/>
      </c>
    </row>
    <row r="240" spans="1:16" ht="13.8">
      <c r="A240" s="20">
        <f t="shared" ca="1" si="6"/>
        <v>41614</v>
      </c>
      <c r="B240" s="21" t="str">
        <f ca="1"/>
        <v>2013-12-06</v>
      </c>
      <c r="C240" s="22">
        <f ca="1"/>
        <v>38.419998</v>
      </c>
      <c r="D240" s="22">
        <f ca="1"/>
        <v>38.549999</v>
      </c>
      <c r="E240" s="22">
        <f ca="1"/>
        <v>37.990001999999997</v>
      </c>
      <c r="F240" s="22">
        <f ca="1"/>
        <v>38.360000999999997</v>
      </c>
      <c r="G240" s="22">
        <f ca="1"/>
        <v>32.587707999999999</v>
      </c>
      <c r="H240" s="69">
        <f ca="1"/>
        <v>36457300</v>
      </c>
      <c r="I240" s="23" t="str">
        <f t="shared" ca="1" si="7"/>
        <v/>
      </c>
    </row>
    <row r="241" spans="1:9" ht="13.8">
      <c r="A241" s="20">
        <f t="shared" ca="1" si="6"/>
        <v>41617</v>
      </c>
      <c r="B241" s="21" t="str">
        <f ca="1"/>
        <v>2013-12-09</v>
      </c>
      <c r="C241" s="22">
        <f ca="1"/>
        <v>38.560001</v>
      </c>
      <c r="D241" s="22">
        <f ca="1"/>
        <v>38.869999</v>
      </c>
      <c r="E241" s="22">
        <f ca="1"/>
        <v>38.369999</v>
      </c>
      <c r="F241" s="22">
        <f ca="1"/>
        <v>38.709999000000003</v>
      </c>
      <c r="G241" s="22">
        <f ca="1"/>
        <v>32.885021000000002</v>
      </c>
      <c r="H241" s="69">
        <f ca="1"/>
        <v>30286000</v>
      </c>
      <c r="I241" s="23" t="str">
        <f t="shared" ca="1" si="7"/>
        <v/>
      </c>
    </row>
    <row r="242" spans="1:9" ht="13.8">
      <c r="A242" s="20">
        <f t="shared" ca="1" si="6"/>
        <v>41618</v>
      </c>
      <c r="B242" s="21" t="str">
        <f ca="1"/>
        <v>2013-12-10</v>
      </c>
      <c r="C242" s="22">
        <f ca="1"/>
        <v>38.610000999999997</v>
      </c>
      <c r="D242" s="22">
        <f ca="1"/>
        <v>38.900002000000001</v>
      </c>
      <c r="E242" s="22">
        <f ca="1"/>
        <v>38.020000000000003</v>
      </c>
      <c r="F242" s="22">
        <f ca="1"/>
        <v>38.110000999999997</v>
      </c>
      <c r="G242" s="22">
        <f ca="1"/>
        <v>32.375323999999999</v>
      </c>
      <c r="H242" s="69">
        <f ca="1"/>
        <v>37828600</v>
      </c>
      <c r="I242" s="23" t="str">
        <f t="shared" ca="1" si="7"/>
        <v/>
      </c>
    </row>
    <row r="243" spans="1:9" ht="13.8">
      <c r="A243" s="20">
        <f t="shared" ca="1" si="6"/>
        <v>41619</v>
      </c>
      <c r="B243" s="21" t="str">
        <f ca="1"/>
        <v>2013-12-11</v>
      </c>
      <c r="C243" s="22">
        <f ca="1"/>
        <v>38.060001</v>
      </c>
      <c r="D243" s="22">
        <f ca="1"/>
        <v>38.299999</v>
      </c>
      <c r="E243" s="22">
        <f ca="1"/>
        <v>37.389999000000003</v>
      </c>
      <c r="F243" s="22">
        <f ca="1"/>
        <v>37.610000999999997</v>
      </c>
      <c r="G243" s="22">
        <f ca="1"/>
        <v>31.950551999999998</v>
      </c>
      <c r="H243" s="69">
        <f ca="1"/>
        <v>39853400</v>
      </c>
      <c r="I243" s="23" t="str">
        <f t="shared" ca="1" si="7"/>
        <v/>
      </c>
    </row>
    <row r="244" spans="1:9" ht="13.8">
      <c r="A244" s="20">
        <f t="shared" ca="1" si="6"/>
        <v>41620</v>
      </c>
      <c r="B244" s="21" t="str">
        <f ca="1"/>
        <v>2013-12-12</v>
      </c>
      <c r="C244" s="22">
        <f ca="1"/>
        <v>37.639999000000003</v>
      </c>
      <c r="D244" s="22">
        <f ca="1"/>
        <v>37.639999000000003</v>
      </c>
      <c r="E244" s="22">
        <f ca="1"/>
        <v>37.18</v>
      </c>
      <c r="F244" s="22">
        <f ca="1"/>
        <v>37.220001000000003</v>
      </c>
      <c r="G244" s="22">
        <f ca="1"/>
        <v>31.619243999999998</v>
      </c>
      <c r="H244" s="69">
        <f ca="1"/>
        <v>36012800</v>
      </c>
      <c r="I244" s="23" t="str">
        <f t="shared" ca="1" si="7"/>
        <v/>
      </c>
    </row>
    <row r="245" spans="1:9" ht="13.8">
      <c r="A245" s="20">
        <f t="shared" ca="1" si="6"/>
        <v>41621</v>
      </c>
      <c r="B245" s="21" t="str">
        <f ca="1"/>
        <v>2013-12-13</v>
      </c>
      <c r="C245" s="22">
        <f ca="1"/>
        <v>37.419998</v>
      </c>
      <c r="D245" s="22">
        <f ca="1"/>
        <v>37.450001</v>
      </c>
      <c r="E245" s="22">
        <f ca="1"/>
        <v>36.619999</v>
      </c>
      <c r="F245" s="22">
        <f ca="1"/>
        <v>36.689999</v>
      </c>
      <c r="G245" s="22">
        <f ca="1"/>
        <v>31.169001000000002</v>
      </c>
      <c r="H245" s="69">
        <f ca="1"/>
        <v>40066100</v>
      </c>
      <c r="I245" s="23" t="str">
        <f t="shared" ca="1" si="7"/>
        <v/>
      </c>
    </row>
    <row r="246" spans="1:9" ht="13.8">
      <c r="A246" s="20">
        <f t="shared" ca="1" si="6"/>
        <v>41624</v>
      </c>
      <c r="B246" s="21" t="str">
        <f ca="1"/>
        <v>2013-12-16</v>
      </c>
      <c r="C246" s="22">
        <f ca="1"/>
        <v>36.729999999999997</v>
      </c>
      <c r="D246" s="22">
        <f ca="1"/>
        <v>37</v>
      </c>
      <c r="E246" s="22">
        <f ca="1"/>
        <v>36.540000999999997</v>
      </c>
      <c r="F246" s="22">
        <f ca="1"/>
        <v>36.889999000000003</v>
      </c>
      <c r="G246" s="22">
        <f ca="1"/>
        <v>31.338902999999998</v>
      </c>
      <c r="H246" s="69">
        <f ca="1"/>
        <v>31734200</v>
      </c>
      <c r="I246" s="23" t="str">
        <f t="shared" ca="1" si="7"/>
        <v/>
      </c>
    </row>
    <row r="247" spans="1:9" ht="13.8">
      <c r="A247" s="20">
        <f t="shared" ca="1" si="6"/>
        <v>41625</v>
      </c>
      <c r="B247" s="21" t="str">
        <f ca="1"/>
        <v>2013-12-17</v>
      </c>
      <c r="C247" s="22">
        <f ca="1"/>
        <v>36.939999</v>
      </c>
      <c r="D247" s="22">
        <f ca="1"/>
        <v>37.110000999999997</v>
      </c>
      <c r="E247" s="22">
        <f ca="1"/>
        <v>36.330002</v>
      </c>
      <c r="F247" s="22">
        <f ca="1"/>
        <v>36.520000000000003</v>
      </c>
      <c r="G247" s="22">
        <f ca="1"/>
        <v>31.024574000000001</v>
      </c>
      <c r="H247" s="69">
        <f ca="1"/>
        <v>45687700</v>
      </c>
      <c r="I247" s="23" t="str">
        <f t="shared" ca="1" si="7"/>
        <v/>
      </c>
    </row>
    <row r="248" spans="1:9" ht="13.8">
      <c r="A248" s="20">
        <f t="shared" ca="1" si="6"/>
        <v>41626</v>
      </c>
      <c r="B248" s="21" t="str">
        <f ca="1"/>
        <v>2013-12-18</v>
      </c>
      <c r="C248" s="22">
        <f ca="1"/>
        <v>36.360000999999997</v>
      </c>
      <c r="D248" s="22">
        <f ca="1"/>
        <v>36.599997999999999</v>
      </c>
      <c r="E248" s="22">
        <f ca="1"/>
        <v>35.529998999999997</v>
      </c>
      <c r="F248" s="22">
        <f ca="1"/>
        <v>36.580002</v>
      </c>
      <c r="G248" s="22">
        <f ca="1"/>
        <v>31.07555</v>
      </c>
      <c r="H248" s="69">
        <f ca="1"/>
        <v>63192100</v>
      </c>
      <c r="I248" s="23" t="str">
        <f t="shared" ca="1" si="7"/>
        <v/>
      </c>
    </row>
    <row r="249" spans="1:9" ht="13.8">
      <c r="A249" s="20">
        <f t="shared" ca="1" si="6"/>
        <v>41627</v>
      </c>
      <c r="B249" s="21" t="str">
        <f ca="1"/>
        <v>2013-12-19</v>
      </c>
      <c r="C249" s="22">
        <f ca="1"/>
        <v>36.509998000000003</v>
      </c>
      <c r="D249" s="22">
        <f ca="1"/>
        <v>36.549999</v>
      </c>
      <c r="E249" s="22">
        <f ca="1"/>
        <v>36.080002</v>
      </c>
      <c r="F249" s="22">
        <f ca="1"/>
        <v>36.25</v>
      </c>
      <c r="G249" s="22">
        <f ca="1"/>
        <v>30.795200000000001</v>
      </c>
      <c r="H249" s="69">
        <f ca="1"/>
        <v>34160100</v>
      </c>
      <c r="I249" s="23" t="str">
        <f t="shared" ca="1" si="7"/>
        <v/>
      </c>
    </row>
    <row r="250" spans="1:9" ht="13.8">
      <c r="A250" s="20">
        <f t="shared" ca="1" si="6"/>
        <v>41628</v>
      </c>
      <c r="B250" s="21" t="str">
        <f ca="1"/>
        <v>2013-12-20</v>
      </c>
      <c r="C250" s="22">
        <f ca="1"/>
        <v>36.200001</v>
      </c>
      <c r="D250" s="22">
        <f ca="1"/>
        <v>36.93</v>
      </c>
      <c r="E250" s="22">
        <f ca="1"/>
        <v>36.189999</v>
      </c>
      <c r="F250" s="22">
        <f ca="1"/>
        <v>36.799999</v>
      </c>
      <c r="G250" s="22">
        <f ca="1"/>
        <v>31.262450999999999</v>
      </c>
      <c r="H250" s="69">
        <f ca="1"/>
        <v>62649100</v>
      </c>
      <c r="I250" s="23" t="str">
        <f t="shared" ca="1" si="7"/>
        <v/>
      </c>
    </row>
    <row r="251" spans="1:9" ht="13.8">
      <c r="A251" s="20">
        <f t="shared" ca="1" si="6"/>
        <v>41631</v>
      </c>
      <c r="B251" s="21" t="str">
        <f ca="1"/>
        <v>2013-12-23</v>
      </c>
      <c r="C251" s="22">
        <f ca="1"/>
        <v>36.810001</v>
      </c>
      <c r="D251" s="22">
        <f ca="1"/>
        <v>36.889999000000003</v>
      </c>
      <c r="E251" s="22">
        <f ca="1"/>
        <v>36.549999</v>
      </c>
      <c r="F251" s="22">
        <f ca="1"/>
        <v>36.619999</v>
      </c>
      <c r="G251" s="22">
        <f ca="1"/>
        <v>31.109528999999998</v>
      </c>
      <c r="H251" s="69">
        <f ca="1"/>
        <v>25128700</v>
      </c>
      <c r="I251" s="23" t="str">
        <f t="shared" ca="1" si="7"/>
        <v/>
      </c>
    </row>
    <row r="252" spans="1:9" ht="13.8">
      <c r="A252" s="20">
        <f t="shared" ca="1" si="6"/>
        <v>41632</v>
      </c>
      <c r="B252" s="21" t="str">
        <f ca="1"/>
        <v>2013-12-24</v>
      </c>
      <c r="C252" s="22">
        <f ca="1"/>
        <v>36.720001000000003</v>
      </c>
      <c r="D252" s="22">
        <f ca="1"/>
        <v>37.169998</v>
      </c>
      <c r="E252" s="22">
        <f ca="1"/>
        <v>36.639999000000003</v>
      </c>
      <c r="F252" s="22">
        <f ca="1"/>
        <v>37.080002</v>
      </c>
      <c r="G252" s="22">
        <f ca="1"/>
        <v>31.500315000000001</v>
      </c>
      <c r="H252" s="69">
        <f ca="1"/>
        <v>14243000</v>
      </c>
      <c r="I252" s="23" t="str">
        <f t="shared" ca="1" si="7"/>
        <v/>
      </c>
    </row>
    <row r="253" spans="1:9" ht="13.8">
      <c r="A253" s="20">
        <f t="shared" ca="1" si="6"/>
        <v>41634</v>
      </c>
      <c r="B253" s="21" t="str">
        <f ca="1"/>
        <v>2013-12-26</v>
      </c>
      <c r="C253" s="22">
        <f ca="1"/>
        <v>37.200001</v>
      </c>
      <c r="D253" s="22">
        <f ca="1"/>
        <v>37.490001999999997</v>
      </c>
      <c r="E253" s="22">
        <f ca="1"/>
        <v>37.169998</v>
      </c>
      <c r="F253" s="22">
        <f ca="1"/>
        <v>37.439999</v>
      </c>
      <c r="G253" s="22">
        <f ca="1"/>
        <v>31.806141</v>
      </c>
      <c r="H253" s="69">
        <f ca="1"/>
        <v>17612800</v>
      </c>
      <c r="I253" s="23" t="str">
        <f t="shared" ca="1" si="7"/>
        <v/>
      </c>
    </row>
    <row r="254" spans="1:9" ht="13.8">
      <c r="A254" s="20">
        <f t="shared" ca="1" si="6"/>
        <v>41635</v>
      </c>
      <c r="B254" s="21" t="str">
        <f ca="1"/>
        <v>2013-12-27</v>
      </c>
      <c r="C254" s="22">
        <f ca="1"/>
        <v>37.580002</v>
      </c>
      <c r="D254" s="22">
        <f ca="1"/>
        <v>37.619999</v>
      </c>
      <c r="E254" s="22">
        <f ca="1"/>
        <v>37.169998</v>
      </c>
      <c r="F254" s="22">
        <f ca="1"/>
        <v>37.290000999999997</v>
      </c>
      <c r="G254" s="22">
        <f ca="1"/>
        <v>31.678719000000001</v>
      </c>
      <c r="H254" s="69">
        <f ca="1"/>
        <v>14563000</v>
      </c>
      <c r="I254" s="23" t="str">
        <f t="shared" ca="1" si="7"/>
        <v/>
      </c>
    </row>
    <row r="255" spans="1:9" ht="13.8">
      <c r="A255" s="20">
        <f t="shared" ca="1" si="6"/>
        <v>41638</v>
      </c>
      <c r="B255" s="21" t="str">
        <f ca="1"/>
        <v>2013-12-30</v>
      </c>
      <c r="C255" s="22">
        <f ca="1"/>
        <v>37.220001000000003</v>
      </c>
      <c r="D255" s="22">
        <f ca="1"/>
        <v>37.380001</v>
      </c>
      <c r="E255" s="22">
        <f ca="1"/>
        <v>36.900002000000001</v>
      </c>
      <c r="F255" s="22">
        <f ca="1"/>
        <v>37.290000999999997</v>
      </c>
      <c r="G255" s="22">
        <f ca="1"/>
        <v>31.678719000000001</v>
      </c>
      <c r="H255" s="69">
        <f ca="1"/>
        <v>16290500</v>
      </c>
      <c r="I255" s="23" t="str">
        <f t="shared" ca="1" si="7"/>
        <v/>
      </c>
    </row>
    <row r="256" spans="1:9" ht="13.8">
      <c r="A256" s="20">
        <f t="shared" ca="1" si="6"/>
        <v>41639</v>
      </c>
      <c r="B256" s="21" t="str">
        <f ca="1"/>
        <v>2013-12-31</v>
      </c>
      <c r="C256" s="22">
        <f ca="1"/>
        <v>37.400002000000001</v>
      </c>
      <c r="D256" s="22">
        <f ca="1"/>
        <v>37.580002</v>
      </c>
      <c r="E256" s="22">
        <f ca="1"/>
        <v>37.220001000000003</v>
      </c>
      <c r="F256" s="22">
        <f ca="1"/>
        <v>37.409999999999997</v>
      </c>
      <c r="G256" s="22">
        <f ca="1"/>
        <v>31.780657000000001</v>
      </c>
      <c r="H256" s="69">
        <f ca="1"/>
        <v>17503500</v>
      </c>
      <c r="I256" s="23" t="str">
        <f t="shared" ca="1" si="7"/>
        <v/>
      </c>
    </row>
    <row r="257" spans="1:9" ht="13.8">
      <c r="A257" s="20">
        <f t="shared" ca="1" si="6"/>
        <v>41641</v>
      </c>
      <c r="B257" s="21" t="str">
        <f ca="1"/>
        <v>2014-01-02</v>
      </c>
      <c r="C257" s="22">
        <f ca="1"/>
        <v>37.349997999999999</v>
      </c>
      <c r="D257" s="22">
        <f ca="1"/>
        <v>37.400002000000001</v>
      </c>
      <c r="E257" s="22">
        <f ca="1"/>
        <v>37.099997999999999</v>
      </c>
      <c r="F257" s="22">
        <f ca="1"/>
        <v>37.159999999999997</v>
      </c>
      <c r="G257" s="22">
        <f ca="1"/>
        <v>31.568279</v>
      </c>
      <c r="H257" s="69">
        <f ca="1"/>
        <v>30632200</v>
      </c>
      <c r="I257" s="23" t="str">
        <f t="shared" ca="1" si="7"/>
        <v/>
      </c>
    </row>
    <row r="258" spans="1:9" ht="13.8">
      <c r="A258" s="20">
        <f t="shared" ca="1" si="6"/>
        <v>41642</v>
      </c>
      <c r="B258" s="21" t="str">
        <f ca="1"/>
        <v>2014-01-03</v>
      </c>
      <c r="C258" s="22">
        <f ca="1"/>
        <v>37.200001</v>
      </c>
      <c r="D258" s="22">
        <f ca="1"/>
        <v>37.220001000000003</v>
      </c>
      <c r="E258" s="22">
        <f ca="1"/>
        <v>36.599997999999999</v>
      </c>
      <c r="F258" s="22">
        <f ca="1"/>
        <v>36.909999999999997</v>
      </c>
      <c r="G258" s="22">
        <f ca="1"/>
        <v>31.355903999999999</v>
      </c>
      <c r="H258" s="69">
        <f ca="1"/>
        <v>31134800</v>
      </c>
      <c r="I258" s="23" t="str">
        <f t="shared" ca="1" si="7"/>
        <v/>
      </c>
    </row>
    <row r="259" spans="1:9" ht="13.8">
      <c r="A259" s="20">
        <f t="shared" ca="1" si="6"/>
        <v>41645</v>
      </c>
      <c r="B259" s="21" t="str">
        <f ca="1"/>
        <v>2014-01-06</v>
      </c>
      <c r="C259" s="22">
        <f ca="1"/>
        <v>36.849997999999999</v>
      </c>
      <c r="D259" s="22">
        <f ca="1"/>
        <v>36.889999000000003</v>
      </c>
      <c r="E259" s="22">
        <f ca="1"/>
        <v>36.110000999999997</v>
      </c>
      <c r="F259" s="22">
        <f ca="1"/>
        <v>36.130001</v>
      </c>
      <c r="G259" s="22">
        <f ca="1"/>
        <v>30.693256000000002</v>
      </c>
      <c r="H259" s="69">
        <f ca="1"/>
        <v>43603700</v>
      </c>
      <c r="I259" s="23" t="str">
        <f t="shared" ca="1" si="7"/>
        <v/>
      </c>
    </row>
    <row r="260" spans="1:9" ht="13.8">
      <c r="A260" s="20">
        <f t="shared" ca="1" si="6"/>
        <v>41646</v>
      </c>
      <c r="B260" s="21" t="str">
        <f ca="1"/>
        <v>2014-01-07</v>
      </c>
      <c r="C260" s="22">
        <f ca="1"/>
        <v>36.330002</v>
      </c>
      <c r="D260" s="22">
        <f ca="1"/>
        <v>36.490001999999997</v>
      </c>
      <c r="E260" s="22">
        <f ca="1"/>
        <v>36.209999000000003</v>
      </c>
      <c r="F260" s="22">
        <f ca="1"/>
        <v>36.409999999999997</v>
      </c>
      <c r="G260" s="22">
        <f ca="1"/>
        <v>30.931128999999999</v>
      </c>
      <c r="H260" s="69">
        <f ca="1"/>
        <v>35802800</v>
      </c>
      <c r="I260" s="23" t="str">
        <f t="shared" ca="1" si="7"/>
        <v/>
      </c>
    </row>
    <row r="261" spans="1:9" ht="13.8">
      <c r="A261" s="20">
        <f t="shared" ca="1" si="6"/>
        <v>41647</v>
      </c>
      <c r="B261" s="21" t="str">
        <f ca="1"/>
        <v>2014-01-08</v>
      </c>
      <c r="C261" s="22">
        <f ca="1"/>
        <v>36</v>
      </c>
      <c r="D261" s="22">
        <f ca="1"/>
        <v>36.139999000000003</v>
      </c>
      <c r="E261" s="22">
        <f ca="1"/>
        <v>35.580002</v>
      </c>
      <c r="F261" s="22">
        <f ca="1"/>
        <v>35.759998000000003</v>
      </c>
      <c r="G261" s="22">
        <f ca="1"/>
        <v>30.378937000000001</v>
      </c>
      <c r="H261" s="69">
        <f ca="1"/>
        <v>59971700</v>
      </c>
      <c r="I261" s="23" t="str">
        <f t="shared" ca="1" si="7"/>
        <v/>
      </c>
    </row>
    <row r="262" spans="1:9" ht="13.8">
      <c r="A262" s="20">
        <f t="shared" ref="A262:A325" ca="1" si="8">IFERROR(DATEVALUE($B262),"--")</f>
        <v>41648</v>
      </c>
      <c r="B262" s="21" t="str">
        <f ca="1"/>
        <v>2014-01-09</v>
      </c>
      <c r="C262" s="22">
        <f ca="1"/>
        <v>35.880001</v>
      </c>
      <c r="D262" s="22">
        <f ca="1"/>
        <v>35.909999999999997</v>
      </c>
      <c r="E262" s="22">
        <f ca="1"/>
        <v>35.400002000000001</v>
      </c>
      <c r="F262" s="22">
        <f ca="1"/>
        <v>35.529998999999997</v>
      </c>
      <c r="G262" s="22">
        <f ca="1"/>
        <v>30.18355</v>
      </c>
      <c r="H262" s="69">
        <f ca="1"/>
        <v>36516300</v>
      </c>
      <c r="I262" s="23" t="str">
        <f t="shared" ref="I262:I325" ca="1" si="9">IFERROR(IF(Ticker&lt;&gt;$Q$2,"",INDEX($P:$P,MATCH($A262,$O:$O,0))),"")</f>
        <v/>
      </c>
    </row>
    <row r="263" spans="1:9" ht="13.8">
      <c r="A263" s="20">
        <f t="shared" ca="1" si="8"/>
        <v>41649</v>
      </c>
      <c r="B263" s="21" t="str">
        <f ca="1"/>
        <v>2014-01-10</v>
      </c>
      <c r="C263" s="22">
        <f ca="1"/>
        <v>35.900002000000001</v>
      </c>
      <c r="D263" s="22">
        <f ca="1"/>
        <v>36.150002000000001</v>
      </c>
      <c r="E263" s="22">
        <f ca="1"/>
        <v>35.75</v>
      </c>
      <c r="F263" s="22">
        <f ca="1"/>
        <v>36.040000999999997</v>
      </c>
      <c r="G263" s="22">
        <f ca="1"/>
        <v>30.616816</v>
      </c>
      <c r="H263" s="69">
        <f ca="1"/>
        <v>40548800</v>
      </c>
      <c r="I263" s="23" t="str">
        <f t="shared" ca="1" si="9"/>
        <v/>
      </c>
    </row>
    <row r="264" spans="1:9" ht="13.8">
      <c r="A264" s="20">
        <f t="shared" ca="1" si="8"/>
        <v>41652</v>
      </c>
      <c r="B264" s="21" t="str">
        <f ca="1"/>
        <v>2014-01-13</v>
      </c>
      <c r="C264" s="22">
        <f ca="1"/>
        <v>35.990001999999997</v>
      </c>
      <c r="D264" s="22">
        <f ca="1"/>
        <v>36.020000000000003</v>
      </c>
      <c r="E264" s="22">
        <f ca="1"/>
        <v>34.830002</v>
      </c>
      <c r="F264" s="22">
        <f ca="1"/>
        <v>34.979999999999997</v>
      </c>
      <c r="G264" s="22">
        <f ca="1"/>
        <v>29.716311000000001</v>
      </c>
      <c r="H264" s="69">
        <f ca="1"/>
        <v>45901900</v>
      </c>
      <c r="I264" s="23" t="str">
        <f t="shared" ca="1" si="9"/>
        <v/>
      </c>
    </row>
    <row r="265" spans="1:9" ht="13.8">
      <c r="A265" s="20">
        <f t="shared" ca="1" si="8"/>
        <v>41653</v>
      </c>
      <c r="B265" s="21" t="str">
        <f ca="1"/>
        <v>2014-01-14</v>
      </c>
      <c r="C265" s="22">
        <f ca="1"/>
        <v>34.729999999999997</v>
      </c>
      <c r="D265" s="22">
        <f ca="1"/>
        <v>35.880001</v>
      </c>
      <c r="E265" s="22">
        <f ca="1"/>
        <v>34.630001</v>
      </c>
      <c r="F265" s="22">
        <f ca="1"/>
        <v>35.779998999999997</v>
      </c>
      <c r="G265" s="22">
        <f ca="1"/>
        <v>30.395937</v>
      </c>
      <c r="H265" s="69">
        <f ca="1"/>
        <v>41623300</v>
      </c>
      <c r="I265" s="23" t="str">
        <f t="shared" ca="1" si="9"/>
        <v/>
      </c>
    </row>
    <row r="266" spans="1:9" ht="13.8">
      <c r="A266" s="20">
        <f t="shared" ca="1" si="8"/>
        <v>41654</v>
      </c>
      <c r="B266" s="21" t="str">
        <f ca="1"/>
        <v>2014-01-15</v>
      </c>
      <c r="C266" s="22">
        <f ca="1"/>
        <v>35.900002000000001</v>
      </c>
      <c r="D266" s="22">
        <f ca="1"/>
        <v>36.790000999999997</v>
      </c>
      <c r="E266" s="22">
        <f ca="1"/>
        <v>35.849997999999999</v>
      </c>
      <c r="F266" s="22">
        <f ca="1"/>
        <v>36.759998000000003</v>
      </c>
      <c r="G266" s="22">
        <f ca="1"/>
        <v>31.228463999999999</v>
      </c>
      <c r="H266" s="69">
        <f ca="1"/>
        <v>44812600</v>
      </c>
      <c r="I266" s="23" t="str">
        <f t="shared" ca="1" si="9"/>
        <v/>
      </c>
    </row>
    <row r="267" spans="1:9" ht="13.8">
      <c r="A267" s="20">
        <f t="shared" ca="1" si="8"/>
        <v>41655</v>
      </c>
      <c r="B267" s="21" t="str">
        <f ca="1"/>
        <v>2014-01-16</v>
      </c>
      <c r="C267" s="22">
        <f ca="1"/>
        <v>36.689999</v>
      </c>
      <c r="D267" s="22">
        <f ca="1"/>
        <v>37</v>
      </c>
      <c r="E267" s="22">
        <f ca="1"/>
        <v>36.310001</v>
      </c>
      <c r="F267" s="22">
        <f ca="1"/>
        <v>36.889999000000003</v>
      </c>
      <c r="G267" s="22">
        <f ca="1"/>
        <v>31.338902999999998</v>
      </c>
      <c r="H267" s="69">
        <f ca="1"/>
        <v>38018700</v>
      </c>
      <c r="I267" s="23" t="str">
        <f t="shared" ca="1" si="9"/>
        <v/>
      </c>
    </row>
    <row r="268" spans="1:9" ht="13.8">
      <c r="A268" s="20">
        <f t="shared" ca="1" si="8"/>
        <v>41656</v>
      </c>
      <c r="B268" s="21" t="str">
        <f ca="1"/>
        <v>2014-01-17</v>
      </c>
      <c r="C268" s="22">
        <f ca="1"/>
        <v>36.830002</v>
      </c>
      <c r="D268" s="22">
        <f ca="1"/>
        <v>36.830002</v>
      </c>
      <c r="E268" s="22">
        <f ca="1"/>
        <v>36.150002000000001</v>
      </c>
      <c r="F268" s="22">
        <f ca="1"/>
        <v>36.380001</v>
      </c>
      <c r="G268" s="22">
        <f ca="1"/>
        <v>30.905646999999998</v>
      </c>
      <c r="H268" s="69">
        <f ca="1"/>
        <v>46267500</v>
      </c>
      <c r="I268" s="23" t="str">
        <f t="shared" ca="1" si="9"/>
        <v/>
      </c>
    </row>
    <row r="269" spans="1:9" ht="13.8">
      <c r="A269" s="20">
        <f t="shared" ca="1" si="8"/>
        <v>41660</v>
      </c>
      <c r="B269" s="21" t="str">
        <f ca="1"/>
        <v>2014-01-21</v>
      </c>
      <c r="C269" s="22">
        <f ca="1"/>
        <v>36.82</v>
      </c>
      <c r="D269" s="22">
        <f ca="1"/>
        <v>36.82</v>
      </c>
      <c r="E269" s="22">
        <f ca="1"/>
        <v>36.060001</v>
      </c>
      <c r="F269" s="22">
        <f ca="1"/>
        <v>36.169998</v>
      </c>
      <c r="G269" s="22">
        <f ca="1"/>
        <v>30.727236000000001</v>
      </c>
      <c r="H269" s="69">
        <f ca="1"/>
        <v>31567300</v>
      </c>
      <c r="I269" s="23" t="str">
        <f t="shared" ca="1" si="9"/>
        <v/>
      </c>
    </row>
    <row r="270" spans="1:9" ht="13.8">
      <c r="A270" s="20">
        <f t="shared" ca="1" si="8"/>
        <v>41661</v>
      </c>
      <c r="B270" s="21" t="str">
        <f ca="1"/>
        <v>2014-01-22</v>
      </c>
      <c r="C270" s="22">
        <f ca="1"/>
        <v>36.259998000000003</v>
      </c>
      <c r="D270" s="22">
        <f ca="1"/>
        <v>36.32</v>
      </c>
      <c r="E270" s="22">
        <f ca="1"/>
        <v>35.75</v>
      </c>
      <c r="F270" s="22">
        <f ca="1"/>
        <v>35.93</v>
      </c>
      <c r="G270" s="22">
        <f ca="1"/>
        <v>30.523363</v>
      </c>
      <c r="H270" s="69">
        <f ca="1"/>
        <v>21904300</v>
      </c>
      <c r="I270" s="23" t="str">
        <f t="shared" ca="1" si="9"/>
        <v/>
      </c>
    </row>
    <row r="271" spans="1:9" ht="13.8">
      <c r="A271" s="20">
        <f t="shared" ca="1" si="8"/>
        <v>41662</v>
      </c>
      <c r="B271" s="21" t="str">
        <f ca="1"/>
        <v>2014-01-23</v>
      </c>
      <c r="C271" s="22">
        <f ca="1"/>
        <v>36.090000000000003</v>
      </c>
      <c r="D271" s="22">
        <f ca="1"/>
        <v>36.130001</v>
      </c>
      <c r="E271" s="22">
        <f ca="1"/>
        <v>35.520000000000003</v>
      </c>
      <c r="F271" s="22">
        <f ca="1"/>
        <v>36.060001</v>
      </c>
      <c r="G271" s="22">
        <f ca="1"/>
        <v>30.633801999999999</v>
      </c>
      <c r="H271" s="69">
        <f ca="1"/>
        <v>43954000</v>
      </c>
      <c r="I271" s="23" t="str">
        <f t="shared" ca="1" si="9"/>
        <v/>
      </c>
    </row>
    <row r="272" spans="1:9" ht="13.8">
      <c r="A272" s="20">
        <f t="shared" ca="1" si="8"/>
        <v>41663</v>
      </c>
      <c r="B272" s="21" t="str">
        <f ca="1"/>
        <v>2014-01-24</v>
      </c>
      <c r="C272" s="22">
        <f ca="1"/>
        <v>37.450001</v>
      </c>
      <c r="D272" s="22">
        <f ca="1"/>
        <v>37.549999</v>
      </c>
      <c r="E272" s="22">
        <f ca="1"/>
        <v>36.529998999999997</v>
      </c>
      <c r="F272" s="22">
        <f ca="1"/>
        <v>36.810001</v>
      </c>
      <c r="G272" s="22">
        <f ca="1"/>
        <v>31.270945000000001</v>
      </c>
      <c r="H272" s="69">
        <f ca="1"/>
        <v>76395500</v>
      </c>
      <c r="I272" s="23" t="str">
        <f t="shared" ca="1" si="9"/>
        <v/>
      </c>
    </row>
    <row r="273" spans="1:9" ht="13.8">
      <c r="A273" s="20">
        <f t="shared" ca="1" si="8"/>
        <v>41666</v>
      </c>
      <c r="B273" s="21" t="str">
        <f ca="1"/>
        <v>2014-01-27</v>
      </c>
      <c r="C273" s="22">
        <f ca="1"/>
        <v>36.869999</v>
      </c>
      <c r="D273" s="22">
        <f ca="1"/>
        <v>36.889999000000003</v>
      </c>
      <c r="E273" s="22">
        <f ca="1"/>
        <v>35.979999999999997</v>
      </c>
      <c r="F273" s="22">
        <f ca="1"/>
        <v>36.029998999999997</v>
      </c>
      <c r="G273" s="22">
        <f ca="1"/>
        <v>30.608312999999999</v>
      </c>
      <c r="H273" s="69">
        <f ca="1"/>
        <v>44420800</v>
      </c>
      <c r="I273" s="23" t="str">
        <f t="shared" ca="1" si="9"/>
        <v/>
      </c>
    </row>
    <row r="274" spans="1:9" ht="13.8">
      <c r="A274" s="20">
        <f t="shared" ca="1" si="8"/>
        <v>41667</v>
      </c>
      <c r="B274" s="21" t="str">
        <f ca="1"/>
        <v>2014-01-28</v>
      </c>
      <c r="C274" s="22">
        <f ca="1"/>
        <v>36.119999</v>
      </c>
      <c r="D274" s="22">
        <f ca="1"/>
        <v>36.389999000000003</v>
      </c>
      <c r="E274" s="22">
        <f ca="1"/>
        <v>35.75</v>
      </c>
      <c r="F274" s="22">
        <f ca="1"/>
        <v>36.270000000000003</v>
      </c>
      <c r="G274" s="22">
        <f ca="1"/>
        <v>30.812197000000001</v>
      </c>
      <c r="H274" s="69">
        <f ca="1"/>
        <v>36205500</v>
      </c>
      <c r="I274" s="23" t="str">
        <f t="shared" ca="1" si="9"/>
        <v/>
      </c>
    </row>
    <row r="275" spans="1:9" ht="13.8">
      <c r="A275" s="20">
        <f t="shared" ca="1" si="8"/>
        <v>41668</v>
      </c>
      <c r="B275" s="21" t="str">
        <f ca="1"/>
        <v>2014-01-29</v>
      </c>
      <c r="C275" s="22">
        <f ca="1"/>
        <v>35.979999999999997</v>
      </c>
      <c r="D275" s="22">
        <f ca="1"/>
        <v>36.880001</v>
      </c>
      <c r="E275" s="22">
        <f ca="1"/>
        <v>35.900002000000001</v>
      </c>
      <c r="F275" s="22">
        <f ca="1"/>
        <v>36.659999999999997</v>
      </c>
      <c r="G275" s="22">
        <f ca="1"/>
        <v>31.143511</v>
      </c>
      <c r="H275" s="69">
        <f ca="1"/>
        <v>52745900</v>
      </c>
      <c r="I275" s="23" t="str">
        <f t="shared" ca="1" si="9"/>
        <v/>
      </c>
    </row>
    <row r="276" spans="1:9" ht="13.8">
      <c r="A276" s="20">
        <f t="shared" ca="1" si="8"/>
        <v>41669</v>
      </c>
      <c r="B276" s="21" t="str">
        <f ca="1"/>
        <v>2014-01-30</v>
      </c>
      <c r="C276" s="22">
        <f ca="1"/>
        <v>36.790000999999997</v>
      </c>
      <c r="D276" s="22">
        <f ca="1"/>
        <v>36.880001</v>
      </c>
      <c r="E276" s="22">
        <f ca="1"/>
        <v>36.229999999999997</v>
      </c>
      <c r="F276" s="22">
        <f ca="1"/>
        <v>36.860000999999997</v>
      </c>
      <c r="G276" s="22">
        <f ca="1"/>
        <v>31.313419</v>
      </c>
      <c r="H276" s="69">
        <f ca="1"/>
        <v>35036300</v>
      </c>
      <c r="I276" s="23" t="str">
        <f t="shared" ca="1" si="9"/>
        <v/>
      </c>
    </row>
    <row r="277" spans="1:9" ht="13.8">
      <c r="A277" s="20">
        <f t="shared" ca="1" si="8"/>
        <v>41670</v>
      </c>
      <c r="B277" s="21" t="str">
        <f ca="1"/>
        <v>2014-01-31</v>
      </c>
      <c r="C277" s="22">
        <f ca="1"/>
        <v>36.950001</v>
      </c>
      <c r="D277" s="22">
        <f ca="1"/>
        <v>37.889999000000003</v>
      </c>
      <c r="E277" s="22">
        <f ca="1"/>
        <v>36.560001</v>
      </c>
      <c r="F277" s="22">
        <f ca="1"/>
        <v>37.840000000000003</v>
      </c>
      <c r="G277" s="22">
        <f ca="1"/>
        <v>32.145958</v>
      </c>
      <c r="H277" s="69">
        <f ca="1"/>
        <v>93162300</v>
      </c>
      <c r="I277" s="23" t="str">
        <f t="shared" ca="1" si="9"/>
        <v/>
      </c>
    </row>
    <row r="278" spans="1:9" ht="13.8">
      <c r="A278" s="20">
        <f t="shared" ca="1" si="8"/>
        <v>41673</v>
      </c>
      <c r="B278" s="21" t="str">
        <f ca="1"/>
        <v>2014-02-03</v>
      </c>
      <c r="C278" s="22">
        <f ca="1"/>
        <v>37.740001999999997</v>
      </c>
      <c r="D278" s="22">
        <f ca="1"/>
        <v>37.990001999999997</v>
      </c>
      <c r="E278" s="22">
        <f ca="1"/>
        <v>36.43</v>
      </c>
      <c r="F278" s="22">
        <f ca="1"/>
        <v>36.479999999999997</v>
      </c>
      <c r="G278" s="22">
        <f ca="1"/>
        <v>30.990590999999998</v>
      </c>
      <c r="H278" s="69">
        <f ca="1"/>
        <v>64063100</v>
      </c>
      <c r="I278" s="23" t="str">
        <f t="shared" ca="1" si="9"/>
        <v/>
      </c>
    </row>
    <row r="279" spans="1:9" ht="13.8">
      <c r="A279" s="20">
        <f t="shared" ca="1" si="8"/>
        <v>41674</v>
      </c>
      <c r="B279" s="21" t="str">
        <f ca="1"/>
        <v>2014-02-04</v>
      </c>
      <c r="C279" s="22">
        <f ca="1"/>
        <v>36.970001000000003</v>
      </c>
      <c r="D279" s="22">
        <f ca="1"/>
        <v>37.189999</v>
      </c>
      <c r="E279" s="22">
        <f ca="1"/>
        <v>36.25</v>
      </c>
      <c r="F279" s="22">
        <f ca="1"/>
        <v>36.349997999999999</v>
      </c>
      <c r="G279" s="22">
        <f ca="1"/>
        <v>30.880158999999999</v>
      </c>
      <c r="H279" s="69">
        <f ca="1"/>
        <v>54697900</v>
      </c>
      <c r="I279" s="23" t="str">
        <f t="shared" ca="1" si="9"/>
        <v/>
      </c>
    </row>
    <row r="280" spans="1:9" ht="13.8">
      <c r="A280" s="20">
        <f t="shared" ca="1" si="8"/>
        <v>41675</v>
      </c>
      <c r="B280" s="21" t="str">
        <f ca="1"/>
        <v>2014-02-05</v>
      </c>
      <c r="C280" s="22">
        <f ca="1"/>
        <v>36.290000999999997</v>
      </c>
      <c r="D280" s="22">
        <f ca="1"/>
        <v>36.470001000000003</v>
      </c>
      <c r="E280" s="22">
        <f ca="1"/>
        <v>35.799999</v>
      </c>
      <c r="F280" s="22">
        <f ca="1"/>
        <v>35.82</v>
      </c>
      <c r="G280" s="22">
        <f ca="1"/>
        <v>30.429912999999999</v>
      </c>
      <c r="H280" s="69">
        <f ca="1"/>
        <v>55814400</v>
      </c>
      <c r="I280" s="23" t="str">
        <f t="shared" ca="1" si="9"/>
        <v/>
      </c>
    </row>
    <row r="281" spans="1:9" ht="13.8">
      <c r="A281" s="20">
        <f t="shared" ca="1" si="8"/>
        <v>41676</v>
      </c>
      <c r="B281" s="21" t="str">
        <f ca="1"/>
        <v>2014-02-06</v>
      </c>
      <c r="C281" s="22">
        <f ca="1"/>
        <v>35.799999</v>
      </c>
      <c r="D281" s="22">
        <f ca="1"/>
        <v>36.25</v>
      </c>
      <c r="E281" s="22">
        <f ca="1"/>
        <v>35.689999</v>
      </c>
      <c r="F281" s="22">
        <f ca="1"/>
        <v>36.18</v>
      </c>
      <c r="G281" s="22">
        <f ca="1"/>
        <v>30.735744</v>
      </c>
      <c r="H281" s="69">
        <f ca="1"/>
        <v>35351800</v>
      </c>
      <c r="I281" s="23" t="str">
        <f t="shared" ca="1" si="9"/>
        <v/>
      </c>
    </row>
    <row r="282" spans="1:9" ht="13.8">
      <c r="A282" s="20">
        <f t="shared" ca="1" si="8"/>
        <v>41677</v>
      </c>
      <c r="B282" s="21" t="str">
        <f ca="1"/>
        <v>2014-02-07</v>
      </c>
      <c r="C282" s="22">
        <f ca="1"/>
        <v>36.32</v>
      </c>
      <c r="D282" s="22">
        <f ca="1"/>
        <v>36.590000000000003</v>
      </c>
      <c r="E282" s="22">
        <f ca="1"/>
        <v>36.009998000000003</v>
      </c>
      <c r="F282" s="22">
        <f ca="1"/>
        <v>36.560001</v>
      </c>
      <c r="G282" s="22">
        <f ca="1"/>
        <v>31.058565000000002</v>
      </c>
      <c r="H282" s="69">
        <f ca="1"/>
        <v>33260500</v>
      </c>
      <c r="I282" s="23" t="str">
        <f t="shared" ca="1" si="9"/>
        <v/>
      </c>
    </row>
    <row r="283" spans="1:9" ht="13.8">
      <c r="A283" s="20">
        <f t="shared" ca="1" si="8"/>
        <v>41680</v>
      </c>
      <c r="B283" s="21" t="str">
        <f ca="1"/>
        <v>2014-02-10</v>
      </c>
      <c r="C283" s="22">
        <f ca="1"/>
        <v>36.630001</v>
      </c>
      <c r="D283" s="22">
        <f ca="1"/>
        <v>36.799999</v>
      </c>
      <c r="E283" s="22">
        <f ca="1"/>
        <v>36.290000999999997</v>
      </c>
      <c r="F283" s="22">
        <f ca="1"/>
        <v>36.799999</v>
      </c>
      <c r="G283" s="22">
        <f ca="1"/>
        <v>31.262450999999999</v>
      </c>
      <c r="H283" s="69">
        <f ca="1"/>
        <v>26767000</v>
      </c>
      <c r="I283" s="23" t="str">
        <f t="shared" ca="1" si="9"/>
        <v/>
      </c>
    </row>
    <row r="284" spans="1:9" ht="13.8">
      <c r="A284" s="20">
        <f t="shared" ca="1" si="8"/>
        <v>41681</v>
      </c>
      <c r="B284" s="21" t="str">
        <f ca="1"/>
        <v>2014-02-11</v>
      </c>
      <c r="C284" s="22">
        <f ca="1"/>
        <v>36.880001</v>
      </c>
      <c r="D284" s="22">
        <f ca="1"/>
        <v>37.259998000000003</v>
      </c>
      <c r="E284" s="22">
        <f ca="1"/>
        <v>36.860000999999997</v>
      </c>
      <c r="F284" s="22">
        <f ca="1"/>
        <v>37.169998</v>
      </c>
      <c r="G284" s="22">
        <f ca="1"/>
        <v>31.576761000000001</v>
      </c>
      <c r="H284" s="69">
        <f ca="1"/>
        <v>32141400</v>
      </c>
      <c r="I284" s="23" t="str">
        <f t="shared" ca="1" si="9"/>
        <v/>
      </c>
    </row>
    <row r="285" spans="1:9" ht="13.8">
      <c r="A285" s="20">
        <f t="shared" ca="1" si="8"/>
        <v>41682</v>
      </c>
      <c r="B285" s="21" t="str">
        <f ca="1"/>
        <v>2014-02-12</v>
      </c>
      <c r="C285" s="22">
        <f ca="1"/>
        <v>37.349997999999999</v>
      </c>
      <c r="D285" s="22">
        <f ca="1"/>
        <v>37.599997999999999</v>
      </c>
      <c r="E285" s="22">
        <f ca="1"/>
        <v>37.299999</v>
      </c>
      <c r="F285" s="22">
        <f ca="1"/>
        <v>37.470001000000003</v>
      </c>
      <c r="G285" s="22">
        <f ca="1"/>
        <v>31.831624999999999</v>
      </c>
      <c r="H285" s="69">
        <f ca="1"/>
        <v>27051800</v>
      </c>
      <c r="I285" s="23" t="str">
        <f t="shared" ca="1" si="9"/>
        <v/>
      </c>
    </row>
    <row r="286" spans="1:9" ht="13.8">
      <c r="A286" s="20">
        <f t="shared" ca="1" si="8"/>
        <v>41683</v>
      </c>
      <c r="B286" s="21" t="str">
        <f ca="1"/>
        <v>2014-02-13</v>
      </c>
      <c r="C286" s="22">
        <f ca="1"/>
        <v>37.330002</v>
      </c>
      <c r="D286" s="22">
        <f ca="1"/>
        <v>37.860000999999997</v>
      </c>
      <c r="E286" s="22">
        <f ca="1"/>
        <v>37.330002</v>
      </c>
      <c r="F286" s="22">
        <f ca="1"/>
        <v>37.610000999999997</v>
      </c>
      <c r="G286" s="22">
        <f ca="1"/>
        <v>31.950551999999998</v>
      </c>
      <c r="H286" s="69">
        <f ca="1"/>
        <v>37635500</v>
      </c>
      <c r="I286" s="23" t="str">
        <f t="shared" ca="1" si="9"/>
        <v/>
      </c>
    </row>
    <row r="287" spans="1:9" ht="13.8">
      <c r="A287" s="20">
        <f t="shared" ca="1" si="8"/>
        <v>41684</v>
      </c>
      <c r="B287" s="21" t="str">
        <f ca="1"/>
        <v>2014-02-14</v>
      </c>
      <c r="C287" s="22">
        <f ca="1"/>
        <v>37.389999000000003</v>
      </c>
      <c r="D287" s="22">
        <f ca="1"/>
        <v>37.779998999999997</v>
      </c>
      <c r="E287" s="22">
        <f ca="1"/>
        <v>37.330002</v>
      </c>
      <c r="F287" s="22">
        <f ca="1"/>
        <v>37.619999</v>
      </c>
      <c r="G287" s="22">
        <f ca="1"/>
        <v>31.959043999999999</v>
      </c>
      <c r="H287" s="69">
        <f ca="1"/>
        <v>31407500</v>
      </c>
      <c r="I287" s="23" t="str">
        <f t="shared" ca="1" si="9"/>
        <v/>
      </c>
    </row>
    <row r="288" spans="1:9" ht="13.8">
      <c r="A288" s="20">
        <f t="shared" ca="1" si="8"/>
        <v>41688</v>
      </c>
      <c r="B288" s="21" t="str">
        <f ca="1"/>
        <v>2014-02-18</v>
      </c>
      <c r="C288" s="22">
        <f ca="1"/>
        <v>37.630001</v>
      </c>
      <c r="D288" s="22">
        <f ca="1"/>
        <v>37.779998999999997</v>
      </c>
      <c r="E288" s="22">
        <f ca="1"/>
        <v>37.409999999999997</v>
      </c>
      <c r="F288" s="22">
        <f ca="1"/>
        <v>37.419998</v>
      </c>
      <c r="G288" s="22">
        <f ca="1"/>
        <v>32.027515000000001</v>
      </c>
      <c r="H288" s="69">
        <f ca="1"/>
        <v>32834000</v>
      </c>
      <c r="I288" s="23">
        <f t="shared" ca="1" si="9"/>
        <v>0.28000000000000003</v>
      </c>
    </row>
    <row r="289" spans="1:9" ht="13.8">
      <c r="A289" s="20">
        <f t="shared" ca="1" si="8"/>
        <v>41689</v>
      </c>
      <c r="B289" s="21" t="str">
        <f ca="1"/>
        <v>2014-02-19</v>
      </c>
      <c r="C289" s="22">
        <f ca="1"/>
        <v>37.220001000000003</v>
      </c>
      <c r="D289" s="22">
        <f ca="1"/>
        <v>37.75</v>
      </c>
      <c r="E289" s="22">
        <f ca="1"/>
        <v>37.209999000000003</v>
      </c>
      <c r="F289" s="22">
        <f ca="1"/>
        <v>37.509998000000003</v>
      </c>
      <c r="G289" s="22">
        <f ca="1"/>
        <v>32.104553000000003</v>
      </c>
      <c r="H289" s="69">
        <f ca="1"/>
        <v>29750400</v>
      </c>
      <c r="I289" s="23" t="str">
        <f t="shared" ca="1" si="9"/>
        <v/>
      </c>
    </row>
    <row r="290" spans="1:9" ht="13.8">
      <c r="A290" s="20">
        <f t="shared" ca="1" si="8"/>
        <v>41690</v>
      </c>
      <c r="B290" s="21" t="str">
        <f ca="1"/>
        <v>2014-02-20</v>
      </c>
      <c r="C290" s="22">
        <f ca="1"/>
        <v>37.57</v>
      </c>
      <c r="D290" s="22">
        <f ca="1"/>
        <v>37.869999</v>
      </c>
      <c r="E290" s="22">
        <f ca="1"/>
        <v>37.400002000000001</v>
      </c>
      <c r="F290" s="22">
        <f ca="1"/>
        <v>37.75</v>
      </c>
      <c r="G290" s="22">
        <f ca="1"/>
        <v>32.309963000000003</v>
      </c>
      <c r="H290" s="69">
        <f ca="1"/>
        <v>27526100</v>
      </c>
      <c r="I290" s="23" t="str">
        <f t="shared" ca="1" si="9"/>
        <v/>
      </c>
    </row>
    <row r="291" spans="1:9" ht="13.8">
      <c r="A291" s="20">
        <f t="shared" ca="1" si="8"/>
        <v>41691</v>
      </c>
      <c r="B291" s="21" t="str">
        <f ca="1"/>
        <v>2014-02-21</v>
      </c>
      <c r="C291" s="22">
        <f ca="1"/>
        <v>37.939999</v>
      </c>
      <c r="D291" s="22">
        <f ca="1"/>
        <v>38.349997999999999</v>
      </c>
      <c r="E291" s="22">
        <f ca="1"/>
        <v>37.860000999999997</v>
      </c>
      <c r="F291" s="22">
        <f ca="1"/>
        <v>37.979999999999997</v>
      </c>
      <c r="G291" s="22">
        <f ca="1"/>
        <v>32.506821000000002</v>
      </c>
      <c r="H291" s="69">
        <f ca="1"/>
        <v>38021300</v>
      </c>
      <c r="I291" s="23" t="str">
        <f t="shared" ca="1" si="9"/>
        <v/>
      </c>
    </row>
    <row r="292" spans="1:9" ht="13.8">
      <c r="A292" s="20">
        <f t="shared" ca="1" si="8"/>
        <v>41694</v>
      </c>
      <c r="B292" s="21" t="str">
        <f ca="1"/>
        <v>2014-02-24</v>
      </c>
      <c r="C292" s="22">
        <f ca="1"/>
        <v>37.689999</v>
      </c>
      <c r="D292" s="22">
        <f ca="1"/>
        <v>37.979999999999997</v>
      </c>
      <c r="E292" s="22">
        <f ca="1"/>
        <v>37.540000999999997</v>
      </c>
      <c r="F292" s="22">
        <f ca="1"/>
        <v>37.689999</v>
      </c>
      <c r="G292" s="22">
        <f ca="1"/>
        <v>32.258606</v>
      </c>
      <c r="H292" s="69">
        <f ca="1"/>
        <v>32085100</v>
      </c>
      <c r="I292" s="23" t="str">
        <f t="shared" ca="1" si="9"/>
        <v/>
      </c>
    </row>
    <row r="293" spans="1:9" ht="13.8">
      <c r="A293" s="20">
        <f t="shared" ca="1" si="8"/>
        <v>41695</v>
      </c>
      <c r="B293" s="21" t="str">
        <f ca="1"/>
        <v>2014-02-25</v>
      </c>
      <c r="C293" s="22">
        <f ca="1"/>
        <v>37.610000999999997</v>
      </c>
      <c r="D293" s="22">
        <f ca="1"/>
        <v>37.849997999999999</v>
      </c>
      <c r="E293" s="22">
        <f ca="1"/>
        <v>37.349997999999999</v>
      </c>
      <c r="F293" s="22">
        <f ca="1"/>
        <v>37.540000999999997</v>
      </c>
      <c r="G293" s="22">
        <f ca="1"/>
        <v>32.130234000000002</v>
      </c>
      <c r="H293" s="69">
        <f ca="1"/>
        <v>30736500</v>
      </c>
      <c r="I293" s="23" t="str">
        <f t="shared" ca="1" si="9"/>
        <v/>
      </c>
    </row>
    <row r="294" spans="1:9" ht="13.8">
      <c r="A294" s="20">
        <f t="shared" ca="1" si="8"/>
        <v>41696</v>
      </c>
      <c r="B294" s="21" t="str">
        <f ca="1"/>
        <v>2014-02-26</v>
      </c>
      <c r="C294" s="22">
        <f ca="1"/>
        <v>37.580002</v>
      </c>
      <c r="D294" s="22">
        <f ca="1"/>
        <v>37.740001999999997</v>
      </c>
      <c r="E294" s="22">
        <f ca="1"/>
        <v>37.189999</v>
      </c>
      <c r="F294" s="22">
        <f ca="1"/>
        <v>37.470001000000003</v>
      </c>
      <c r="G294" s="22">
        <f ca="1"/>
        <v>32.070320000000002</v>
      </c>
      <c r="H294" s="69">
        <f ca="1"/>
        <v>41041800</v>
      </c>
      <c r="I294" s="23" t="str">
        <f t="shared" ca="1" si="9"/>
        <v/>
      </c>
    </row>
    <row r="295" spans="1:9" ht="13.8">
      <c r="A295" s="20">
        <f t="shared" ca="1" si="8"/>
        <v>41697</v>
      </c>
      <c r="B295" s="21" t="str">
        <f ca="1"/>
        <v>2014-02-27</v>
      </c>
      <c r="C295" s="22">
        <f ca="1"/>
        <v>37.450001</v>
      </c>
      <c r="D295" s="22">
        <f ca="1"/>
        <v>37.889999000000003</v>
      </c>
      <c r="E295" s="22">
        <f ca="1"/>
        <v>37.229999999999997</v>
      </c>
      <c r="F295" s="22">
        <f ca="1"/>
        <v>37.860000999999997</v>
      </c>
      <c r="G295" s="22">
        <f ca="1"/>
        <v>32.404114</v>
      </c>
      <c r="H295" s="69">
        <f ca="1"/>
        <v>33903400</v>
      </c>
      <c r="I295" s="23" t="str">
        <f t="shared" ca="1" si="9"/>
        <v/>
      </c>
    </row>
    <row r="296" spans="1:9" ht="13.8">
      <c r="A296" s="20">
        <f t="shared" ca="1" si="8"/>
        <v>41698</v>
      </c>
      <c r="B296" s="21" t="str">
        <f ca="1"/>
        <v>2014-02-28</v>
      </c>
      <c r="C296" s="22">
        <f ca="1"/>
        <v>37.979999999999997</v>
      </c>
      <c r="D296" s="22">
        <f ca="1"/>
        <v>38.459999000000003</v>
      </c>
      <c r="E296" s="22">
        <f ca="1"/>
        <v>37.82</v>
      </c>
      <c r="F296" s="22">
        <f ca="1"/>
        <v>38.310001</v>
      </c>
      <c r="G296" s="22">
        <f ca="1"/>
        <v>32.789265</v>
      </c>
      <c r="H296" s="69">
        <f ca="1"/>
        <v>41215000</v>
      </c>
      <c r="I296" s="23" t="str">
        <f t="shared" ca="1" si="9"/>
        <v/>
      </c>
    </row>
    <row r="297" spans="1:9" ht="13.8">
      <c r="A297" s="20">
        <f t="shared" ca="1" si="8"/>
        <v>41701</v>
      </c>
      <c r="B297" s="21" t="str">
        <f ca="1"/>
        <v>2014-03-03</v>
      </c>
      <c r="C297" s="22">
        <f ca="1"/>
        <v>37.919998</v>
      </c>
      <c r="D297" s="22">
        <f ca="1"/>
        <v>38.130001</v>
      </c>
      <c r="E297" s="22">
        <f ca="1"/>
        <v>37.490001999999997</v>
      </c>
      <c r="F297" s="22">
        <f ca="1"/>
        <v>37.779998999999997</v>
      </c>
      <c r="G297" s="22">
        <f ca="1"/>
        <v>32.335650999999999</v>
      </c>
      <c r="H297" s="69">
        <f ca="1"/>
        <v>29717500</v>
      </c>
      <c r="I297" s="23" t="str">
        <f t="shared" ca="1" si="9"/>
        <v/>
      </c>
    </row>
    <row r="298" spans="1:9" ht="13.8">
      <c r="A298" s="20">
        <f t="shared" ca="1" si="8"/>
        <v>41702</v>
      </c>
      <c r="B298" s="21" t="str">
        <f ca="1"/>
        <v>2014-03-04</v>
      </c>
      <c r="C298" s="22">
        <f ca="1"/>
        <v>38.200001</v>
      </c>
      <c r="D298" s="22">
        <f ca="1"/>
        <v>38.479999999999997</v>
      </c>
      <c r="E298" s="22">
        <f ca="1"/>
        <v>38.07</v>
      </c>
      <c r="F298" s="22">
        <f ca="1"/>
        <v>38.409999999999997</v>
      </c>
      <c r="G298" s="22">
        <f ca="1"/>
        <v>32.874854999999997</v>
      </c>
      <c r="H298" s="69">
        <f ca="1"/>
        <v>26802400</v>
      </c>
      <c r="I298" s="23" t="str">
        <f t="shared" ca="1" si="9"/>
        <v/>
      </c>
    </row>
    <row r="299" spans="1:9" ht="13.8">
      <c r="A299" s="20">
        <f t="shared" ca="1" si="8"/>
        <v>41703</v>
      </c>
      <c r="B299" s="21" t="str">
        <f ca="1"/>
        <v>2014-03-05</v>
      </c>
      <c r="C299" s="22">
        <f ca="1"/>
        <v>38.25</v>
      </c>
      <c r="D299" s="22">
        <f ca="1"/>
        <v>38.270000000000003</v>
      </c>
      <c r="E299" s="22">
        <f ca="1"/>
        <v>37.93</v>
      </c>
      <c r="F299" s="22">
        <f ca="1"/>
        <v>38.110000999999997</v>
      </c>
      <c r="G299" s="22">
        <f ca="1"/>
        <v>32.618073000000003</v>
      </c>
      <c r="H299" s="69">
        <f ca="1"/>
        <v>20520100</v>
      </c>
      <c r="I299" s="23" t="str">
        <f t="shared" ca="1" si="9"/>
        <v/>
      </c>
    </row>
    <row r="300" spans="1:9" ht="13.8">
      <c r="A300" s="20">
        <f t="shared" ca="1" si="8"/>
        <v>41704</v>
      </c>
      <c r="B300" s="21" t="str">
        <f ca="1"/>
        <v>2014-03-06</v>
      </c>
      <c r="C300" s="22">
        <f ca="1"/>
        <v>38.139999000000003</v>
      </c>
      <c r="D300" s="22">
        <f ca="1"/>
        <v>38.240001999999997</v>
      </c>
      <c r="E300" s="22">
        <f ca="1"/>
        <v>37.889999000000003</v>
      </c>
      <c r="F300" s="22">
        <f ca="1"/>
        <v>38.150002000000001</v>
      </c>
      <c r="G300" s="22">
        <f ca="1"/>
        <v>32.652327999999997</v>
      </c>
      <c r="H300" s="69">
        <f ca="1"/>
        <v>23582200</v>
      </c>
      <c r="I300" s="23" t="str">
        <f t="shared" ca="1" si="9"/>
        <v/>
      </c>
    </row>
    <row r="301" spans="1:9" ht="13.8">
      <c r="A301" s="20">
        <f t="shared" ca="1" si="8"/>
        <v>41705</v>
      </c>
      <c r="B301" s="21" t="str">
        <f ca="1"/>
        <v>2014-03-07</v>
      </c>
      <c r="C301" s="22">
        <f ca="1"/>
        <v>38.279998999999997</v>
      </c>
      <c r="D301" s="22">
        <f ca="1"/>
        <v>38.360000999999997</v>
      </c>
      <c r="E301" s="22">
        <f ca="1"/>
        <v>37.689999</v>
      </c>
      <c r="F301" s="22">
        <f ca="1"/>
        <v>37.900002000000001</v>
      </c>
      <c r="G301" s="22">
        <f ca="1"/>
        <v>32.438358000000001</v>
      </c>
      <c r="H301" s="69">
        <f ca="1"/>
        <v>26591600</v>
      </c>
      <c r="I301" s="23" t="str">
        <f t="shared" ca="1" si="9"/>
        <v/>
      </c>
    </row>
    <row r="302" spans="1:9" ht="13.8">
      <c r="A302" s="20">
        <f t="shared" ca="1" si="8"/>
        <v>41708</v>
      </c>
      <c r="B302" s="21" t="str">
        <f ca="1"/>
        <v>2014-03-10</v>
      </c>
      <c r="C302" s="22">
        <f ca="1"/>
        <v>37.990001999999997</v>
      </c>
      <c r="D302" s="22">
        <f ca="1"/>
        <v>38.009998000000003</v>
      </c>
      <c r="E302" s="22">
        <f ca="1"/>
        <v>37.720001000000003</v>
      </c>
      <c r="F302" s="22">
        <f ca="1"/>
        <v>37.82</v>
      </c>
      <c r="G302" s="22">
        <f ca="1"/>
        <v>32.369877000000002</v>
      </c>
      <c r="H302" s="69">
        <f ca="1"/>
        <v>19006600</v>
      </c>
      <c r="I302" s="23" t="str">
        <f t="shared" ca="1" si="9"/>
        <v/>
      </c>
    </row>
    <row r="303" spans="1:9" ht="13.8">
      <c r="A303" s="20">
        <f t="shared" ca="1" si="8"/>
        <v>41709</v>
      </c>
      <c r="B303" s="21" t="str">
        <f ca="1"/>
        <v>2014-03-11</v>
      </c>
      <c r="C303" s="22">
        <f ca="1"/>
        <v>37.869999</v>
      </c>
      <c r="D303" s="22">
        <f ca="1"/>
        <v>38.229999999999997</v>
      </c>
      <c r="E303" s="22">
        <f ca="1"/>
        <v>37.720001000000003</v>
      </c>
      <c r="F303" s="22">
        <f ca="1"/>
        <v>38.020000000000003</v>
      </c>
      <c r="G303" s="22">
        <f ca="1"/>
        <v>32.541058</v>
      </c>
      <c r="H303" s="69">
        <f ca="1"/>
        <v>25216400</v>
      </c>
      <c r="I303" s="23" t="str">
        <f t="shared" ca="1" si="9"/>
        <v/>
      </c>
    </row>
    <row r="304" spans="1:9" ht="13.8">
      <c r="A304" s="20">
        <f t="shared" ca="1" si="8"/>
        <v>41710</v>
      </c>
      <c r="B304" s="21" t="str">
        <f ca="1"/>
        <v>2014-03-12</v>
      </c>
      <c r="C304" s="22">
        <f ca="1"/>
        <v>37.799999</v>
      </c>
      <c r="D304" s="22">
        <f ca="1"/>
        <v>38.43</v>
      </c>
      <c r="E304" s="22">
        <f ca="1"/>
        <v>37.790000999999997</v>
      </c>
      <c r="F304" s="22">
        <f ca="1"/>
        <v>38.270000000000003</v>
      </c>
      <c r="G304" s="22">
        <f ca="1"/>
        <v>32.755028000000003</v>
      </c>
      <c r="H304" s="69">
        <f ca="1"/>
        <v>30494100</v>
      </c>
      <c r="I304" s="23" t="str">
        <f t="shared" ca="1" si="9"/>
        <v/>
      </c>
    </row>
    <row r="305" spans="1:9" ht="13.8">
      <c r="A305" s="20">
        <f t="shared" ca="1" si="8"/>
        <v>41711</v>
      </c>
      <c r="B305" s="21" t="str">
        <f ca="1"/>
        <v>2014-03-13</v>
      </c>
      <c r="C305" s="22">
        <f ca="1"/>
        <v>38.419998</v>
      </c>
      <c r="D305" s="22">
        <f ca="1"/>
        <v>38.450001</v>
      </c>
      <c r="E305" s="22">
        <f ca="1"/>
        <v>37.639999000000003</v>
      </c>
      <c r="F305" s="22">
        <f ca="1"/>
        <v>37.889999000000003</v>
      </c>
      <c r="G305" s="22">
        <f ca="1"/>
        <v>32.429797999999998</v>
      </c>
      <c r="H305" s="69">
        <f ca="1"/>
        <v>32169700</v>
      </c>
      <c r="I305" s="23" t="str">
        <f t="shared" ca="1" si="9"/>
        <v/>
      </c>
    </row>
    <row r="306" spans="1:9" ht="13.8">
      <c r="A306" s="20">
        <f t="shared" ca="1" si="8"/>
        <v>41712</v>
      </c>
      <c r="B306" s="21" t="str">
        <f ca="1"/>
        <v>2014-03-14</v>
      </c>
      <c r="C306" s="22">
        <f ca="1"/>
        <v>37.650002000000001</v>
      </c>
      <c r="D306" s="22">
        <f ca="1"/>
        <v>38.139999000000003</v>
      </c>
      <c r="E306" s="22">
        <f ca="1"/>
        <v>37.509998000000003</v>
      </c>
      <c r="F306" s="22">
        <f ca="1"/>
        <v>37.700001</v>
      </c>
      <c r="G306" s="22">
        <f ca="1"/>
        <v>32.267173999999997</v>
      </c>
      <c r="H306" s="69">
        <f ca="1"/>
        <v>27195600</v>
      </c>
      <c r="I306" s="23" t="str">
        <f t="shared" ca="1" si="9"/>
        <v/>
      </c>
    </row>
    <row r="307" spans="1:9" ht="13.8">
      <c r="A307" s="20">
        <f t="shared" ca="1" si="8"/>
        <v>41715</v>
      </c>
      <c r="B307" s="21" t="str">
        <f ca="1"/>
        <v>2014-03-17</v>
      </c>
      <c r="C307" s="22">
        <f ca="1"/>
        <v>37.900002000000001</v>
      </c>
      <c r="D307" s="22">
        <f ca="1"/>
        <v>38.409999999999997</v>
      </c>
      <c r="E307" s="22">
        <f ca="1"/>
        <v>37.790000999999997</v>
      </c>
      <c r="F307" s="22">
        <f ca="1"/>
        <v>38.049999</v>
      </c>
      <c r="G307" s="22">
        <f ca="1"/>
        <v>32.566733999999997</v>
      </c>
      <c r="H307" s="69">
        <f ca="1"/>
        <v>20479600</v>
      </c>
      <c r="I307" s="23" t="str">
        <f t="shared" ca="1" si="9"/>
        <v/>
      </c>
    </row>
    <row r="308" spans="1:9" ht="13.8">
      <c r="A308" s="20">
        <f t="shared" ca="1" si="8"/>
        <v>41716</v>
      </c>
      <c r="B308" s="21" t="str">
        <f ca="1"/>
        <v>2014-03-18</v>
      </c>
      <c r="C308" s="22">
        <f ca="1"/>
        <v>38.259998000000003</v>
      </c>
      <c r="D308" s="22">
        <f ca="1"/>
        <v>39.900002000000001</v>
      </c>
      <c r="E308" s="22">
        <f ca="1"/>
        <v>38.220001000000003</v>
      </c>
      <c r="F308" s="22">
        <f ca="1"/>
        <v>39.549999</v>
      </c>
      <c r="G308" s="22">
        <f ca="1"/>
        <v>33.850566999999998</v>
      </c>
      <c r="H308" s="69">
        <f ca="1"/>
        <v>64063900</v>
      </c>
      <c r="I308" s="23" t="str">
        <f t="shared" ca="1" si="9"/>
        <v/>
      </c>
    </row>
    <row r="309" spans="1:9" ht="13.8">
      <c r="A309" s="20">
        <f t="shared" ca="1" si="8"/>
        <v>41717</v>
      </c>
      <c r="B309" s="21" t="str">
        <f ca="1"/>
        <v>2014-03-19</v>
      </c>
      <c r="C309" s="22">
        <f ca="1"/>
        <v>39.470001000000003</v>
      </c>
      <c r="D309" s="22">
        <f ca="1"/>
        <v>39.549999</v>
      </c>
      <c r="E309" s="22">
        <f ca="1"/>
        <v>38.909999999999997</v>
      </c>
      <c r="F309" s="22">
        <f ca="1"/>
        <v>39.270000000000003</v>
      </c>
      <c r="G309" s="22">
        <f ca="1"/>
        <v>33.610923999999997</v>
      </c>
      <c r="H309" s="69">
        <f ca="1"/>
        <v>35597200</v>
      </c>
      <c r="I309" s="23" t="str">
        <f t="shared" ca="1" si="9"/>
        <v/>
      </c>
    </row>
    <row r="310" spans="1:9" ht="13.8">
      <c r="A310" s="20">
        <f t="shared" ca="1" si="8"/>
        <v>41718</v>
      </c>
      <c r="B310" s="21" t="str">
        <f ca="1"/>
        <v>2014-03-20</v>
      </c>
      <c r="C310" s="22">
        <f ca="1"/>
        <v>39.25</v>
      </c>
      <c r="D310" s="22">
        <f ca="1"/>
        <v>40.650002000000001</v>
      </c>
      <c r="E310" s="22">
        <f ca="1"/>
        <v>39.240001999999997</v>
      </c>
      <c r="F310" s="22">
        <f ca="1"/>
        <v>40.330002</v>
      </c>
      <c r="G310" s="22">
        <f ca="1"/>
        <v>34.518177000000001</v>
      </c>
      <c r="H310" s="69">
        <f ca="1"/>
        <v>59269800</v>
      </c>
      <c r="I310" s="23" t="str">
        <f t="shared" ca="1" si="9"/>
        <v/>
      </c>
    </row>
    <row r="311" spans="1:9" ht="13.8">
      <c r="A311" s="20">
        <f t="shared" ca="1" si="8"/>
        <v>41719</v>
      </c>
      <c r="B311" s="21" t="str">
        <f ca="1"/>
        <v>2014-03-21</v>
      </c>
      <c r="C311" s="22">
        <f ca="1"/>
        <v>40.720001000000003</v>
      </c>
      <c r="D311" s="22">
        <f ca="1"/>
        <v>40.939999</v>
      </c>
      <c r="E311" s="22">
        <f ca="1"/>
        <v>40.009998000000003</v>
      </c>
      <c r="F311" s="22">
        <f ca="1"/>
        <v>40.159999999999997</v>
      </c>
      <c r="G311" s="22">
        <f ca="1"/>
        <v>34.372672999999999</v>
      </c>
      <c r="H311" s="69">
        <f ca="1"/>
        <v>80721800</v>
      </c>
      <c r="I311" s="23" t="str">
        <f t="shared" ca="1" si="9"/>
        <v/>
      </c>
    </row>
    <row r="312" spans="1:9" ht="13.8">
      <c r="A312" s="20">
        <f t="shared" ca="1" si="8"/>
        <v>41722</v>
      </c>
      <c r="B312" s="21" t="str">
        <f ca="1"/>
        <v>2014-03-24</v>
      </c>
      <c r="C312" s="22">
        <f ca="1"/>
        <v>40.340000000000003</v>
      </c>
      <c r="D312" s="22">
        <f ca="1"/>
        <v>40.639999000000003</v>
      </c>
      <c r="E312" s="22">
        <f ca="1"/>
        <v>39.860000999999997</v>
      </c>
      <c r="F312" s="22">
        <f ca="1"/>
        <v>40.5</v>
      </c>
      <c r="G312" s="22">
        <f ca="1"/>
        <v>34.663673000000003</v>
      </c>
      <c r="H312" s="69">
        <f ca="1"/>
        <v>46098400</v>
      </c>
      <c r="I312" s="23" t="str">
        <f t="shared" ca="1" si="9"/>
        <v/>
      </c>
    </row>
    <row r="313" spans="1:9" ht="13.8">
      <c r="A313" s="20">
        <f t="shared" ca="1" si="8"/>
        <v>41723</v>
      </c>
      <c r="B313" s="21" t="str">
        <f ca="1"/>
        <v>2014-03-25</v>
      </c>
      <c r="C313" s="22">
        <f ca="1"/>
        <v>40.659999999999997</v>
      </c>
      <c r="D313" s="22">
        <f ca="1"/>
        <v>40.990001999999997</v>
      </c>
      <c r="E313" s="22">
        <f ca="1"/>
        <v>39.959999000000003</v>
      </c>
      <c r="F313" s="22">
        <f ca="1"/>
        <v>40.340000000000003</v>
      </c>
      <c r="G313" s="22">
        <f ca="1"/>
        <v>34.526736999999997</v>
      </c>
      <c r="H313" s="69">
        <f ca="1"/>
        <v>43193100</v>
      </c>
      <c r="I313" s="23" t="str">
        <f t="shared" ca="1" si="9"/>
        <v/>
      </c>
    </row>
    <row r="314" spans="1:9" ht="13.8">
      <c r="A314" s="20">
        <f t="shared" ca="1" si="8"/>
        <v>41724</v>
      </c>
      <c r="B314" s="21" t="str">
        <f ca="1"/>
        <v>2014-03-26</v>
      </c>
      <c r="C314" s="22">
        <f ca="1"/>
        <v>40.479999999999997</v>
      </c>
      <c r="D314" s="22">
        <f ca="1"/>
        <v>40.709999000000003</v>
      </c>
      <c r="E314" s="22">
        <f ca="1"/>
        <v>39.599997999999999</v>
      </c>
      <c r="F314" s="22">
        <f ca="1"/>
        <v>39.790000999999997</v>
      </c>
      <c r="G314" s="22">
        <f ca="1"/>
        <v>34.055992000000003</v>
      </c>
      <c r="H314" s="69">
        <f ca="1"/>
        <v>41977500</v>
      </c>
      <c r="I314" s="23" t="str">
        <f t="shared" ca="1" si="9"/>
        <v/>
      </c>
    </row>
    <row r="315" spans="1:9" ht="13.8">
      <c r="A315" s="20">
        <f t="shared" ca="1" si="8"/>
        <v>41725</v>
      </c>
      <c r="B315" s="21" t="str">
        <f ca="1"/>
        <v>2014-03-27</v>
      </c>
      <c r="C315" s="22">
        <f ca="1"/>
        <v>39.740001999999997</v>
      </c>
      <c r="D315" s="22">
        <f ca="1"/>
        <v>39.970001000000003</v>
      </c>
      <c r="E315" s="22">
        <f ca="1"/>
        <v>39.340000000000003</v>
      </c>
      <c r="F315" s="22">
        <f ca="1"/>
        <v>39.360000999999997</v>
      </c>
      <c r="G315" s="22">
        <f ca="1"/>
        <v>33.687950000000001</v>
      </c>
      <c r="H315" s="69">
        <f ca="1"/>
        <v>35369200</v>
      </c>
      <c r="I315" s="23" t="str">
        <f t="shared" ca="1" si="9"/>
        <v/>
      </c>
    </row>
    <row r="316" spans="1:9" ht="13.8">
      <c r="A316" s="20">
        <f t="shared" ca="1" si="8"/>
        <v>41726</v>
      </c>
      <c r="B316" s="21" t="str">
        <f ca="1"/>
        <v>2014-03-28</v>
      </c>
      <c r="C316" s="22">
        <f ca="1"/>
        <v>39.790000999999997</v>
      </c>
      <c r="D316" s="22">
        <f ca="1"/>
        <v>40.639999000000003</v>
      </c>
      <c r="E316" s="22">
        <f ca="1"/>
        <v>39.68</v>
      </c>
      <c r="F316" s="22">
        <f ca="1"/>
        <v>40.299999</v>
      </c>
      <c r="G316" s="22">
        <f ca="1"/>
        <v>34.492496000000003</v>
      </c>
      <c r="H316" s="69">
        <f ca="1"/>
        <v>43472700</v>
      </c>
      <c r="I316" s="23" t="str">
        <f t="shared" ca="1" si="9"/>
        <v/>
      </c>
    </row>
    <row r="317" spans="1:9" ht="13.8">
      <c r="A317" s="20">
        <f t="shared" ca="1" si="8"/>
        <v>41729</v>
      </c>
      <c r="B317" s="21" t="str">
        <f ca="1"/>
        <v>2014-03-31</v>
      </c>
      <c r="C317" s="22">
        <f ca="1"/>
        <v>40.43</v>
      </c>
      <c r="D317" s="22">
        <f ca="1"/>
        <v>41.5</v>
      </c>
      <c r="E317" s="22">
        <f ca="1"/>
        <v>40.400002000000001</v>
      </c>
      <c r="F317" s="22">
        <f ca="1"/>
        <v>40.990001999999997</v>
      </c>
      <c r="G317" s="22">
        <f ca="1"/>
        <v>35.083069000000002</v>
      </c>
      <c r="H317" s="69">
        <f ca="1"/>
        <v>46886300</v>
      </c>
      <c r="I317" s="23" t="str">
        <f t="shared" ca="1" si="9"/>
        <v/>
      </c>
    </row>
    <row r="318" spans="1:9" ht="13.8">
      <c r="A318" s="20">
        <f t="shared" ca="1" si="8"/>
        <v>41730</v>
      </c>
      <c r="B318" s="21" t="str">
        <f ca="1"/>
        <v>2014-04-01</v>
      </c>
      <c r="C318" s="22">
        <f ca="1"/>
        <v>41.150002000000001</v>
      </c>
      <c r="D318" s="22">
        <f ca="1"/>
        <v>41.59</v>
      </c>
      <c r="E318" s="22">
        <f ca="1"/>
        <v>41.07</v>
      </c>
      <c r="F318" s="22">
        <f ca="1"/>
        <v>41.419998</v>
      </c>
      <c r="G318" s="22">
        <f ca="1"/>
        <v>35.451098999999999</v>
      </c>
      <c r="H318" s="69">
        <f ca="1"/>
        <v>32605000</v>
      </c>
      <c r="I318" s="23" t="str">
        <f t="shared" ca="1" si="9"/>
        <v/>
      </c>
    </row>
    <row r="319" spans="1:9" ht="13.8">
      <c r="A319" s="20">
        <f t="shared" ca="1" si="8"/>
        <v>41731</v>
      </c>
      <c r="B319" s="21" t="str">
        <f ca="1"/>
        <v>2014-04-02</v>
      </c>
      <c r="C319" s="22">
        <f ca="1"/>
        <v>41.439999</v>
      </c>
      <c r="D319" s="22">
        <f ca="1"/>
        <v>41.66</v>
      </c>
      <c r="E319" s="22">
        <f ca="1"/>
        <v>41.169998</v>
      </c>
      <c r="F319" s="22">
        <f ca="1"/>
        <v>41.349997999999999</v>
      </c>
      <c r="G319" s="22">
        <f ca="1"/>
        <v>35.391185999999998</v>
      </c>
      <c r="H319" s="69">
        <f ca="1"/>
        <v>28666700</v>
      </c>
      <c r="I319" s="23" t="str">
        <f t="shared" ca="1" si="9"/>
        <v/>
      </c>
    </row>
    <row r="320" spans="1:9" ht="13.8">
      <c r="A320" s="20">
        <f t="shared" ca="1" si="8"/>
        <v>41732</v>
      </c>
      <c r="B320" s="21" t="str">
        <f ca="1"/>
        <v>2014-04-03</v>
      </c>
      <c r="C320" s="22">
        <f ca="1"/>
        <v>41.290000999999997</v>
      </c>
      <c r="D320" s="22">
        <f ca="1"/>
        <v>41.290000999999997</v>
      </c>
      <c r="E320" s="22">
        <f ca="1"/>
        <v>40.709999000000003</v>
      </c>
      <c r="F320" s="22">
        <f ca="1"/>
        <v>41.009998000000003</v>
      </c>
      <c r="G320" s="22">
        <f ca="1"/>
        <v>35.100174000000003</v>
      </c>
      <c r="H320" s="69">
        <f ca="1"/>
        <v>30139600</v>
      </c>
      <c r="I320" s="23" t="str">
        <f t="shared" ca="1" si="9"/>
        <v/>
      </c>
    </row>
    <row r="321" spans="1:9" ht="13.8">
      <c r="A321" s="20">
        <f t="shared" ca="1" si="8"/>
        <v>41733</v>
      </c>
      <c r="B321" s="21" t="str">
        <f ca="1"/>
        <v>2014-04-04</v>
      </c>
      <c r="C321" s="22">
        <f ca="1"/>
        <v>41.25</v>
      </c>
      <c r="D321" s="22">
        <f ca="1"/>
        <v>41.389999000000003</v>
      </c>
      <c r="E321" s="22">
        <f ca="1"/>
        <v>39.639999000000003</v>
      </c>
      <c r="F321" s="22">
        <f ca="1"/>
        <v>39.869999</v>
      </c>
      <c r="G321" s="22">
        <f ca="1"/>
        <v>34.124473999999999</v>
      </c>
      <c r="H321" s="69">
        <f ca="1"/>
        <v>51409600</v>
      </c>
      <c r="I321" s="23" t="str">
        <f t="shared" ca="1" si="9"/>
        <v/>
      </c>
    </row>
    <row r="322" spans="1:9" ht="13.8">
      <c r="A322" s="20">
        <f t="shared" ca="1" si="8"/>
        <v>41736</v>
      </c>
      <c r="B322" s="21" t="str">
        <f ca="1"/>
        <v>2014-04-07</v>
      </c>
      <c r="C322" s="22">
        <f ca="1"/>
        <v>39.959999000000003</v>
      </c>
      <c r="D322" s="22">
        <f ca="1"/>
        <v>40.270000000000003</v>
      </c>
      <c r="E322" s="22">
        <f ca="1"/>
        <v>39.740001999999997</v>
      </c>
      <c r="F322" s="22">
        <f ca="1"/>
        <v>39.799999</v>
      </c>
      <c r="G322" s="22">
        <f ca="1"/>
        <v>34.064548000000002</v>
      </c>
      <c r="H322" s="69">
        <f ca="1"/>
        <v>37559600</v>
      </c>
      <c r="I322" s="23" t="str">
        <f t="shared" ca="1" si="9"/>
        <v/>
      </c>
    </row>
    <row r="323" spans="1:9" ht="13.8">
      <c r="A323" s="20">
        <f t="shared" ca="1" si="8"/>
        <v>41737</v>
      </c>
      <c r="B323" s="21" t="str">
        <f ca="1"/>
        <v>2014-04-08</v>
      </c>
      <c r="C323" s="22">
        <f ca="1"/>
        <v>39.75</v>
      </c>
      <c r="D323" s="22">
        <f ca="1"/>
        <v>39.93</v>
      </c>
      <c r="E323" s="22">
        <f ca="1"/>
        <v>39.200001</v>
      </c>
      <c r="F323" s="22">
        <f ca="1"/>
        <v>39.82</v>
      </c>
      <c r="G323" s="22">
        <f ca="1"/>
        <v>34.081676000000002</v>
      </c>
      <c r="H323" s="69">
        <f ca="1"/>
        <v>35918600</v>
      </c>
      <c r="I323" s="23" t="str">
        <f t="shared" ca="1" si="9"/>
        <v/>
      </c>
    </row>
    <row r="324" spans="1:9" ht="13.8">
      <c r="A324" s="20">
        <f t="shared" ca="1" si="8"/>
        <v>41738</v>
      </c>
      <c r="B324" s="21" t="str">
        <f ca="1"/>
        <v>2014-04-09</v>
      </c>
      <c r="C324" s="22">
        <f ca="1"/>
        <v>39.93</v>
      </c>
      <c r="D324" s="22">
        <f ca="1"/>
        <v>40.549999</v>
      </c>
      <c r="E324" s="22">
        <f ca="1"/>
        <v>39.880001</v>
      </c>
      <c r="F324" s="22">
        <f ca="1"/>
        <v>40.470001000000003</v>
      </c>
      <c r="G324" s="22">
        <f ca="1"/>
        <v>34.638012000000003</v>
      </c>
      <c r="H324" s="69">
        <f ca="1"/>
        <v>27398700</v>
      </c>
      <c r="I324" s="23" t="str">
        <f t="shared" ca="1" si="9"/>
        <v/>
      </c>
    </row>
    <row r="325" spans="1:9" ht="13.8">
      <c r="A325" s="20">
        <f t="shared" ca="1" si="8"/>
        <v>41739</v>
      </c>
      <c r="B325" s="21" t="str">
        <f ca="1"/>
        <v>2014-04-10</v>
      </c>
      <c r="C325" s="22">
        <f ca="1"/>
        <v>40.439999</v>
      </c>
      <c r="D325" s="22">
        <f ca="1"/>
        <v>40.689999</v>
      </c>
      <c r="E325" s="22">
        <f ca="1"/>
        <v>39.090000000000003</v>
      </c>
      <c r="F325" s="22">
        <f ca="1"/>
        <v>39.360000999999997</v>
      </c>
      <c r="G325" s="22">
        <f ca="1"/>
        <v>33.687950000000001</v>
      </c>
      <c r="H325" s="69">
        <f ca="1"/>
        <v>45960800</v>
      </c>
      <c r="I325" s="23" t="str">
        <f t="shared" ca="1" si="9"/>
        <v/>
      </c>
    </row>
    <row r="326" spans="1:9" ht="13.8">
      <c r="A326" s="20">
        <f t="shared" ref="A326:A389" ca="1" si="10">IFERROR(DATEVALUE($B326),"--")</f>
        <v>41740</v>
      </c>
      <c r="B326" s="21" t="str">
        <f ca="1"/>
        <v>2014-04-11</v>
      </c>
      <c r="C326" s="22">
        <f ca="1"/>
        <v>39</v>
      </c>
      <c r="D326" s="22">
        <f ca="1"/>
        <v>39.790000999999997</v>
      </c>
      <c r="E326" s="22">
        <f ca="1"/>
        <v>39</v>
      </c>
      <c r="F326" s="22">
        <f ca="1"/>
        <v>39.209999000000003</v>
      </c>
      <c r="G326" s="22">
        <f ca="1"/>
        <v>33.559578000000002</v>
      </c>
      <c r="H326" s="69">
        <f ca="1"/>
        <v>34330200</v>
      </c>
      <c r="I326" s="23" t="str">
        <f t="shared" ref="I326:I389" ca="1" si="11">IFERROR(IF(Ticker&lt;&gt;$Q$2,"",INDEX($P:$P,MATCH($A326,$O:$O,0))),"")</f>
        <v/>
      </c>
    </row>
    <row r="327" spans="1:9" ht="13.8">
      <c r="A327" s="20">
        <f t="shared" ca="1" si="10"/>
        <v>41743</v>
      </c>
      <c r="B327" s="21" t="str">
        <f ca="1"/>
        <v>2014-04-14</v>
      </c>
      <c r="C327" s="22">
        <f ca="1"/>
        <v>39.110000999999997</v>
      </c>
      <c r="D327" s="22">
        <f ca="1"/>
        <v>39.409999999999997</v>
      </c>
      <c r="E327" s="22">
        <f ca="1"/>
        <v>38.900002000000001</v>
      </c>
      <c r="F327" s="22">
        <f ca="1"/>
        <v>39.18</v>
      </c>
      <c r="G327" s="22">
        <f ca="1"/>
        <v>33.533909000000001</v>
      </c>
      <c r="H327" s="69">
        <f ca="1"/>
        <v>32006600</v>
      </c>
      <c r="I327" s="23" t="str">
        <f t="shared" ca="1" si="11"/>
        <v/>
      </c>
    </row>
    <row r="328" spans="1:9" ht="13.8">
      <c r="A328" s="20">
        <f t="shared" ca="1" si="10"/>
        <v>41744</v>
      </c>
      <c r="B328" s="21" t="str">
        <f ca="1"/>
        <v>2014-04-15</v>
      </c>
      <c r="C328" s="22">
        <f ca="1"/>
        <v>39.340000000000003</v>
      </c>
      <c r="D328" s="22">
        <f ca="1"/>
        <v>39.959999000000003</v>
      </c>
      <c r="E328" s="22">
        <f ca="1"/>
        <v>39.049999</v>
      </c>
      <c r="F328" s="22">
        <f ca="1"/>
        <v>39.75</v>
      </c>
      <c r="G328" s="22">
        <f ca="1"/>
        <v>34.021751000000002</v>
      </c>
      <c r="H328" s="69">
        <f ca="1"/>
        <v>33968700</v>
      </c>
      <c r="I328" s="23" t="str">
        <f t="shared" ca="1" si="11"/>
        <v/>
      </c>
    </row>
    <row r="329" spans="1:9" ht="13.8">
      <c r="A329" s="20">
        <f t="shared" ca="1" si="10"/>
        <v>41745</v>
      </c>
      <c r="B329" s="21" t="str">
        <f ca="1"/>
        <v>2014-04-16</v>
      </c>
      <c r="C329" s="22">
        <f ca="1"/>
        <v>40.060001</v>
      </c>
      <c r="D329" s="22">
        <f ca="1"/>
        <v>40.419998</v>
      </c>
      <c r="E329" s="22">
        <f ca="1"/>
        <v>39.909999999999997</v>
      </c>
      <c r="F329" s="22">
        <f ca="1"/>
        <v>40.400002000000001</v>
      </c>
      <c r="G329" s="22">
        <f ca="1"/>
        <v>34.578086999999996</v>
      </c>
      <c r="H329" s="69">
        <f ca="1"/>
        <v>30615800</v>
      </c>
      <c r="I329" s="23" t="str">
        <f t="shared" ca="1" si="11"/>
        <v/>
      </c>
    </row>
    <row r="330" spans="1:9" ht="13.8">
      <c r="A330" s="20">
        <f t="shared" ca="1" si="10"/>
        <v>41746</v>
      </c>
      <c r="B330" s="21" t="str">
        <f ca="1"/>
        <v>2014-04-17</v>
      </c>
      <c r="C330" s="22">
        <f ca="1"/>
        <v>40.009998000000003</v>
      </c>
      <c r="D330" s="22">
        <f ca="1"/>
        <v>40.200001</v>
      </c>
      <c r="E330" s="22">
        <f ca="1"/>
        <v>39.509998000000003</v>
      </c>
      <c r="F330" s="22">
        <f ca="1"/>
        <v>40.009998000000003</v>
      </c>
      <c r="G330" s="22">
        <f ca="1"/>
        <v>34.244281999999998</v>
      </c>
      <c r="H330" s="69">
        <f ca="1"/>
        <v>36688400</v>
      </c>
      <c r="I330" s="23" t="str">
        <f t="shared" ca="1" si="11"/>
        <v/>
      </c>
    </row>
    <row r="331" spans="1:9" ht="13.8">
      <c r="A331" s="20">
        <f t="shared" ca="1" si="10"/>
        <v>41750</v>
      </c>
      <c r="B331" s="21" t="str">
        <f ca="1"/>
        <v>2014-04-21</v>
      </c>
      <c r="C331" s="22">
        <f ca="1"/>
        <v>40.130001</v>
      </c>
      <c r="D331" s="22">
        <f ca="1"/>
        <v>40.150002000000001</v>
      </c>
      <c r="E331" s="22">
        <f ca="1"/>
        <v>39.790000999999997</v>
      </c>
      <c r="F331" s="22">
        <f ca="1"/>
        <v>39.939999</v>
      </c>
      <c r="G331" s="22">
        <f ca="1"/>
        <v>34.184376</v>
      </c>
      <c r="H331" s="69">
        <f ca="1"/>
        <v>22221200</v>
      </c>
      <c r="I331" s="23" t="str">
        <f t="shared" ca="1" si="11"/>
        <v/>
      </c>
    </row>
    <row r="332" spans="1:9" ht="13.8">
      <c r="A332" s="20">
        <f t="shared" ca="1" si="10"/>
        <v>41751</v>
      </c>
      <c r="B332" s="21" t="str">
        <f ca="1"/>
        <v>2014-04-22</v>
      </c>
      <c r="C332" s="22">
        <f ca="1"/>
        <v>39.959999000000003</v>
      </c>
      <c r="D332" s="22">
        <f ca="1"/>
        <v>40.139999000000003</v>
      </c>
      <c r="E332" s="22">
        <f ca="1"/>
        <v>39.830002</v>
      </c>
      <c r="F332" s="22">
        <f ca="1"/>
        <v>39.990001999999997</v>
      </c>
      <c r="G332" s="22">
        <f ca="1"/>
        <v>34.227161000000002</v>
      </c>
      <c r="H332" s="69">
        <f ca="1"/>
        <v>27056700</v>
      </c>
      <c r="I332" s="23" t="str">
        <f t="shared" ca="1" si="11"/>
        <v/>
      </c>
    </row>
    <row r="333" spans="1:9" ht="13.8">
      <c r="A333" s="20">
        <f t="shared" ca="1" si="10"/>
        <v>41752</v>
      </c>
      <c r="B333" s="21" t="str">
        <f ca="1"/>
        <v>2014-04-23</v>
      </c>
      <c r="C333" s="22">
        <f ca="1"/>
        <v>39.990001999999997</v>
      </c>
      <c r="D333" s="22">
        <f ca="1"/>
        <v>39.990001999999997</v>
      </c>
      <c r="E333" s="22">
        <f ca="1"/>
        <v>39.470001000000003</v>
      </c>
      <c r="F333" s="22">
        <f ca="1"/>
        <v>39.689999</v>
      </c>
      <c r="G333" s="22">
        <f ca="1"/>
        <v>33.970402</v>
      </c>
      <c r="H333" s="69">
        <f ca="1"/>
        <v>24602800</v>
      </c>
      <c r="I333" s="23" t="str">
        <f t="shared" ca="1" si="11"/>
        <v/>
      </c>
    </row>
    <row r="334" spans="1:9" ht="13.8">
      <c r="A334" s="20">
        <f t="shared" ca="1" si="10"/>
        <v>41753</v>
      </c>
      <c r="B334" s="21" t="str">
        <f ca="1"/>
        <v>2014-04-24</v>
      </c>
      <c r="C334" s="22">
        <f ca="1"/>
        <v>39.740001999999997</v>
      </c>
      <c r="D334" s="22">
        <f ca="1"/>
        <v>39.970001000000003</v>
      </c>
      <c r="E334" s="22">
        <f ca="1"/>
        <v>39.299999</v>
      </c>
      <c r="F334" s="22">
        <f ca="1"/>
        <v>39.860000999999997</v>
      </c>
      <c r="G334" s="22">
        <f ca="1"/>
        <v>34.11591</v>
      </c>
      <c r="H334" s="69">
        <f ca="1"/>
        <v>42381600</v>
      </c>
      <c r="I334" s="23" t="str">
        <f t="shared" ca="1" si="11"/>
        <v/>
      </c>
    </row>
    <row r="335" spans="1:9" ht="13.8">
      <c r="A335" s="20">
        <f t="shared" ca="1" si="10"/>
        <v>41754</v>
      </c>
      <c r="B335" s="21" t="str">
        <f ca="1"/>
        <v>2014-04-25</v>
      </c>
      <c r="C335" s="22">
        <f ca="1"/>
        <v>40.290000999999997</v>
      </c>
      <c r="D335" s="22">
        <f ca="1"/>
        <v>40.68</v>
      </c>
      <c r="E335" s="22">
        <f ca="1"/>
        <v>39.75</v>
      </c>
      <c r="F335" s="22">
        <f ca="1"/>
        <v>39.909999999999997</v>
      </c>
      <c r="G335" s="22">
        <f ca="1"/>
        <v>34.158707</v>
      </c>
      <c r="H335" s="69">
        <f ca="1"/>
        <v>56876800</v>
      </c>
      <c r="I335" s="23" t="str">
        <f t="shared" ca="1" si="11"/>
        <v/>
      </c>
    </row>
    <row r="336" spans="1:9" ht="13.8">
      <c r="A336" s="20">
        <f t="shared" ca="1" si="10"/>
        <v>41757</v>
      </c>
      <c r="B336" s="21" t="str">
        <f ca="1"/>
        <v>2014-04-28</v>
      </c>
      <c r="C336" s="22">
        <f ca="1"/>
        <v>40.139999000000003</v>
      </c>
      <c r="D336" s="22">
        <f ca="1"/>
        <v>41.290000999999997</v>
      </c>
      <c r="E336" s="22">
        <f ca="1"/>
        <v>40.090000000000003</v>
      </c>
      <c r="F336" s="22">
        <f ca="1"/>
        <v>40.869999</v>
      </c>
      <c r="G336" s="22">
        <f ca="1"/>
        <v>34.980350000000001</v>
      </c>
      <c r="H336" s="69">
        <f ca="1"/>
        <v>50610200</v>
      </c>
      <c r="I336" s="23" t="str">
        <f t="shared" ca="1" si="11"/>
        <v/>
      </c>
    </row>
    <row r="337" spans="1:9" ht="13.8">
      <c r="A337" s="20">
        <f t="shared" ca="1" si="10"/>
        <v>41758</v>
      </c>
      <c r="B337" s="21" t="str">
        <f ca="1"/>
        <v>2014-04-29</v>
      </c>
      <c r="C337" s="22">
        <f ca="1"/>
        <v>41.099997999999999</v>
      </c>
      <c r="D337" s="22">
        <f ca="1"/>
        <v>41.189999</v>
      </c>
      <c r="E337" s="22">
        <f ca="1"/>
        <v>40.389999000000003</v>
      </c>
      <c r="F337" s="22">
        <f ca="1"/>
        <v>40.509998000000003</v>
      </c>
      <c r="G337" s="22">
        <f ca="1"/>
        <v>34.672237000000003</v>
      </c>
      <c r="H337" s="69">
        <f ca="1"/>
        <v>29636200</v>
      </c>
      <c r="I337" s="23" t="str">
        <f t="shared" ca="1" si="11"/>
        <v/>
      </c>
    </row>
    <row r="338" spans="1:9" ht="13.8">
      <c r="A338" s="20">
        <f t="shared" ca="1" si="10"/>
        <v>41759</v>
      </c>
      <c r="B338" s="21" t="str">
        <f ca="1"/>
        <v>2014-04-30</v>
      </c>
      <c r="C338" s="22">
        <f ca="1"/>
        <v>40.400002000000001</v>
      </c>
      <c r="D338" s="22">
        <f ca="1"/>
        <v>40.5</v>
      </c>
      <c r="E338" s="22">
        <f ca="1"/>
        <v>40.169998</v>
      </c>
      <c r="F338" s="22">
        <f ca="1"/>
        <v>40.400002000000001</v>
      </c>
      <c r="G338" s="22">
        <f ca="1"/>
        <v>34.578086999999996</v>
      </c>
      <c r="H338" s="69">
        <f ca="1"/>
        <v>35458700</v>
      </c>
      <c r="I338" s="23" t="str">
        <f t="shared" ca="1" si="11"/>
        <v/>
      </c>
    </row>
    <row r="339" spans="1:9" ht="13.8">
      <c r="A339" s="20">
        <f t="shared" ca="1" si="10"/>
        <v>41760</v>
      </c>
      <c r="B339" s="21" t="str">
        <f ca="1"/>
        <v>2014-05-01</v>
      </c>
      <c r="C339" s="22">
        <f ca="1"/>
        <v>40.240001999999997</v>
      </c>
      <c r="D339" s="22">
        <f ca="1"/>
        <v>40.360000999999997</v>
      </c>
      <c r="E339" s="22">
        <f ca="1"/>
        <v>39.950001</v>
      </c>
      <c r="F339" s="22">
        <f ca="1"/>
        <v>40</v>
      </c>
      <c r="G339" s="22">
        <f ca="1"/>
        <v>34.235733000000003</v>
      </c>
      <c r="H339" s="69">
        <f ca="1"/>
        <v>28787400</v>
      </c>
      <c r="I339" s="23" t="str">
        <f t="shared" ca="1" si="11"/>
        <v/>
      </c>
    </row>
    <row r="340" spans="1:9" ht="13.8">
      <c r="A340" s="20">
        <f t="shared" ca="1" si="10"/>
        <v>41761</v>
      </c>
      <c r="B340" s="21" t="str">
        <f ca="1"/>
        <v>2014-05-02</v>
      </c>
      <c r="C340" s="22">
        <f ca="1"/>
        <v>40.310001</v>
      </c>
      <c r="D340" s="22">
        <f ca="1"/>
        <v>40.340000000000003</v>
      </c>
      <c r="E340" s="22">
        <f ca="1"/>
        <v>39.659999999999997</v>
      </c>
      <c r="F340" s="22">
        <f ca="1"/>
        <v>39.689999</v>
      </c>
      <c r="G340" s="22">
        <f ca="1"/>
        <v>33.970402</v>
      </c>
      <c r="H340" s="69">
        <f ca="1"/>
        <v>43416600</v>
      </c>
      <c r="I340" s="23" t="str">
        <f t="shared" ca="1" si="11"/>
        <v/>
      </c>
    </row>
    <row r="341" spans="1:9" ht="13.8">
      <c r="A341" s="20">
        <f t="shared" ca="1" si="10"/>
        <v>41764</v>
      </c>
      <c r="B341" s="21" t="str">
        <f ca="1"/>
        <v>2014-05-05</v>
      </c>
      <c r="C341" s="22">
        <f ca="1"/>
        <v>39.520000000000003</v>
      </c>
      <c r="D341" s="22">
        <f ca="1"/>
        <v>39.639999000000003</v>
      </c>
      <c r="E341" s="22">
        <f ca="1"/>
        <v>39.299999</v>
      </c>
      <c r="F341" s="22">
        <f ca="1"/>
        <v>39.43</v>
      </c>
      <c r="G341" s="22">
        <f ca="1"/>
        <v>33.747875000000001</v>
      </c>
      <c r="H341" s="69">
        <f ca="1"/>
        <v>22460900</v>
      </c>
      <c r="I341" s="23" t="str">
        <f t="shared" ca="1" si="11"/>
        <v/>
      </c>
    </row>
    <row r="342" spans="1:9" ht="13.8">
      <c r="A342" s="20">
        <f t="shared" ca="1" si="10"/>
        <v>41765</v>
      </c>
      <c r="B342" s="21" t="str">
        <f ca="1"/>
        <v>2014-05-06</v>
      </c>
      <c r="C342" s="22">
        <f ca="1"/>
        <v>39.290000999999997</v>
      </c>
      <c r="D342" s="22">
        <f ca="1"/>
        <v>39.349997999999999</v>
      </c>
      <c r="E342" s="22">
        <f ca="1"/>
        <v>38.950001</v>
      </c>
      <c r="F342" s="22">
        <f ca="1"/>
        <v>39.060001</v>
      </c>
      <c r="G342" s="22">
        <f ca="1"/>
        <v>33.431187000000001</v>
      </c>
      <c r="H342" s="69">
        <f ca="1"/>
        <v>27112400</v>
      </c>
      <c r="I342" s="23" t="str">
        <f t="shared" ca="1" si="11"/>
        <v/>
      </c>
    </row>
    <row r="343" spans="1:9" ht="13.8">
      <c r="A343" s="20">
        <f t="shared" ca="1" si="10"/>
        <v>41766</v>
      </c>
      <c r="B343" s="21" t="str">
        <f ca="1"/>
        <v>2014-05-07</v>
      </c>
      <c r="C343" s="22">
        <f ca="1"/>
        <v>39.220001000000003</v>
      </c>
      <c r="D343" s="22">
        <f ca="1"/>
        <v>39.509998000000003</v>
      </c>
      <c r="E343" s="22">
        <f ca="1"/>
        <v>38.509998000000003</v>
      </c>
      <c r="F343" s="22">
        <f ca="1"/>
        <v>39.419998</v>
      </c>
      <c r="G343" s="22">
        <f ca="1"/>
        <v>33.739303999999997</v>
      </c>
      <c r="H343" s="69">
        <f ca="1"/>
        <v>41744500</v>
      </c>
      <c r="I343" s="23" t="str">
        <f t="shared" ca="1" si="11"/>
        <v/>
      </c>
    </row>
    <row r="344" spans="1:9" ht="13.8">
      <c r="A344" s="20">
        <f t="shared" ca="1" si="10"/>
        <v>41767</v>
      </c>
      <c r="B344" s="21" t="str">
        <f ca="1"/>
        <v>2014-05-08</v>
      </c>
      <c r="C344" s="22">
        <f ca="1"/>
        <v>39.340000000000003</v>
      </c>
      <c r="D344" s="22">
        <f ca="1"/>
        <v>39.900002000000001</v>
      </c>
      <c r="E344" s="22">
        <f ca="1"/>
        <v>38.970001000000003</v>
      </c>
      <c r="F344" s="22">
        <f ca="1"/>
        <v>39.639999000000003</v>
      </c>
      <c r="G344" s="22">
        <f ca="1"/>
        <v>33.927601000000003</v>
      </c>
      <c r="H344" s="69">
        <f ca="1"/>
        <v>32120400</v>
      </c>
      <c r="I344" s="23" t="str">
        <f t="shared" ca="1" si="11"/>
        <v/>
      </c>
    </row>
    <row r="345" spans="1:9" ht="13.8">
      <c r="A345" s="20">
        <f t="shared" ca="1" si="10"/>
        <v>41768</v>
      </c>
      <c r="B345" s="21" t="str">
        <f ca="1"/>
        <v>2014-05-09</v>
      </c>
      <c r="C345" s="22">
        <f ca="1"/>
        <v>39.540000999999997</v>
      </c>
      <c r="D345" s="22">
        <f ca="1"/>
        <v>39.849997999999999</v>
      </c>
      <c r="E345" s="22">
        <f ca="1"/>
        <v>39.369999</v>
      </c>
      <c r="F345" s="22">
        <f ca="1"/>
        <v>39.540000999999997</v>
      </c>
      <c r="G345" s="22">
        <f ca="1"/>
        <v>33.842018000000003</v>
      </c>
      <c r="H345" s="69">
        <f ca="1"/>
        <v>29647600</v>
      </c>
      <c r="I345" s="23" t="str">
        <f t="shared" ca="1" si="11"/>
        <v/>
      </c>
    </row>
    <row r="346" spans="1:9" ht="13.8">
      <c r="A346" s="20">
        <f t="shared" ca="1" si="10"/>
        <v>41771</v>
      </c>
      <c r="B346" s="21" t="str">
        <f ca="1"/>
        <v>2014-05-12</v>
      </c>
      <c r="C346" s="22">
        <f ca="1"/>
        <v>39.740001999999997</v>
      </c>
      <c r="D346" s="22">
        <f ca="1"/>
        <v>40.020000000000003</v>
      </c>
      <c r="E346" s="22">
        <f ca="1"/>
        <v>39.650002000000001</v>
      </c>
      <c r="F346" s="22">
        <f ca="1"/>
        <v>39.970001000000003</v>
      </c>
      <c r="G346" s="22">
        <f ca="1"/>
        <v>34.210056000000002</v>
      </c>
      <c r="H346" s="69">
        <f ca="1"/>
        <v>22782600</v>
      </c>
      <c r="I346" s="23" t="str">
        <f t="shared" ca="1" si="11"/>
        <v/>
      </c>
    </row>
    <row r="347" spans="1:9" ht="13.8">
      <c r="A347" s="20">
        <f t="shared" ca="1" si="10"/>
        <v>41772</v>
      </c>
      <c r="B347" s="21" t="str">
        <f ca="1"/>
        <v>2014-05-13</v>
      </c>
      <c r="C347" s="22">
        <f ca="1"/>
        <v>39.919998</v>
      </c>
      <c r="D347" s="22">
        <f ca="1"/>
        <v>40.5</v>
      </c>
      <c r="E347" s="22">
        <f ca="1"/>
        <v>39.849997999999999</v>
      </c>
      <c r="F347" s="22">
        <f ca="1"/>
        <v>40.419998</v>
      </c>
      <c r="G347" s="22">
        <f ca="1"/>
        <v>34.839255999999999</v>
      </c>
      <c r="H347" s="69">
        <f ca="1"/>
        <v>27004800</v>
      </c>
      <c r="I347" s="23">
        <f t="shared" ca="1" si="11"/>
        <v>0.28000000000000003</v>
      </c>
    </row>
    <row r="348" spans="1:9" ht="13.8">
      <c r="A348" s="20">
        <f t="shared" ca="1" si="10"/>
        <v>41773</v>
      </c>
      <c r="B348" s="21" t="str">
        <f ca="1"/>
        <v>2014-05-14</v>
      </c>
      <c r="C348" s="22">
        <f ca="1"/>
        <v>40.299999</v>
      </c>
      <c r="D348" s="22">
        <f ca="1"/>
        <v>40.450001</v>
      </c>
      <c r="E348" s="22">
        <f ca="1"/>
        <v>40.049999</v>
      </c>
      <c r="F348" s="22">
        <f ca="1"/>
        <v>40.240001999999997</v>
      </c>
      <c r="G348" s="22">
        <f ca="1"/>
        <v>34.684108999999999</v>
      </c>
      <c r="H348" s="69">
        <f ca="1"/>
        <v>18818700</v>
      </c>
      <c r="I348" s="23" t="str">
        <f t="shared" ca="1" si="11"/>
        <v/>
      </c>
    </row>
    <row r="349" spans="1:9" ht="13.8">
      <c r="A349" s="20">
        <f t="shared" ca="1" si="10"/>
        <v>41774</v>
      </c>
      <c r="B349" s="21" t="str">
        <f ca="1"/>
        <v>2014-05-15</v>
      </c>
      <c r="C349" s="22">
        <f ca="1"/>
        <v>40.090000000000003</v>
      </c>
      <c r="D349" s="22">
        <f ca="1"/>
        <v>40.400002000000001</v>
      </c>
      <c r="E349" s="22">
        <f ca="1"/>
        <v>39.509998000000003</v>
      </c>
      <c r="F349" s="22">
        <f ca="1"/>
        <v>39.599997999999999</v>
      </c>
      <c r="G349" s="22">
        <f ca="1"/>
        <v>34.132465000000003</v>
      </c>
      <c r="H349" s="69">
        <f ca="1"/>
        <v>37793200</v>
      </c>
      <c r="I349" s="23" t="str">
        <f t="shared" ca="1" si="11"/>
        <v/>
      </c>
    </row>
    <row r="350" spans="1:9" ht="13.8">
      <c r="A350" s="20">
        <f t="shared" ca="1" si="10"/>
        <v>41775</v>
      </c>
      <c r="B350" s="21" t="str">
        <f ca="1"/>
        <v>2014-05-16</v>
      </c>
      <c r="C350" s="22">
        <f ca="1"/>
        <v>39.669998</v>
      </c>
      <c r="D350" s="22">
        <f ca="1"/>
        <v>39.840000000000003</v>
      </c>
      <c r="E350" s="22">
        <f ca="1"/>
        <v>39.270000000000003</v>
      </c>
      <c r="F350" s="22">
        <f ca="1"/>
        <v>39.830002</v>
      </c>
      <c r="G350" s="22">
        <f ca="1"/>
        <v>34.330722999999999</v>
      </c>
      <c r="H350" s="69">
        <f ca="1"/>
        <v>29867100</v>
      </c>
      <c r="I350" s="23" t="str">
        <f t="shared" ca="1" si="11"/>
        <v/>
      </c>
    </row>
    <row r="351" spans="1:9" ht="13.8">
      <c r="A351" s="20">
        <f t="shared" ca="1" si="10"/>
        <v>41778</v>
      </c>
      <c r="B351" s="21" t="str">
        <f ca="1"/>
        <v>2014-05-19</v>
      </c>
      <c r="C351" s="22">
        <f ca="1"/>
        <v>39.610000999999997</v>
      </c>
      <c r="D351" s="22">
        <f ca="1"/>
        <v>39.82</v>
      </c>
      <c r="E351" s="22">
        <f ca="1"/>
        <v>39.459999000000003</v>
      </c>
      <c r="F351" s="22">
        <f ca="1"/>
        <v>39.75</v>
      </c>
      <c r="G351" s="22">
        <f ca="1"/>
        <v>34.261764999999997</v>
      </c>
      <c r="H351" s="69">
        <f ca="1"/>
        <v>24537400</v>
      </c>
      <c r="I351" s="23" t="str">
        <f t="shared" ca="1" si="11"/>
        <v/>
      </c>
    </row>
    <row r="352" spans="1:9" ht="13.8">
      <c r="A352" s="20">
        <f t="shared" ca="1" si="10"/>
        <v>41779</v>
      </c>
      <c r="B352" s="21" t="str">
        <f ca="1"/>
        <v>2014-05-20</v>
      </c>
      <c r="C352" s="22">
        <f ca="1"/>
        <v>39.68</v>
      </c>
      <c r="D352" s="22">
        <f ca="1"/>
        <v>39.939999</v>
      </c>
      <c r="E352" s="22">
        <f ca="1"/>
        <v>39.459999000000003</v>
      </c>
      <c r="F352" s="22">
        <f ca="1"/>
        <v>39.68</v>
      </c>
      <c r="G352" s="22">
        <f ca="1"/>
        <v>34.201434999999996</v>
      </c>
      <c r="H352" s="69">
        <f ca="1"/>
        <v>21320900</v>
      </c>
      <c r="I352" s="23" t="str">
        <f t="shared" ca="1" si="11"/>
        <v/>
      </c>
    </row>
    <row r="353" spans="1:9" ht="13.8">
      <c r="A353" s="20">
        <f t="shared" ca="1" si="10"/>
        <v>41780</v>
      </c>
      <c r="B353" s="21" t="str">
        <f ca="1"/>
        <v>2014-05-21</v>
      </c>
      <c r="C353" s="22">
        <f ca="1"/>
        <v>39.799999</v>
      </c>
      <c r="D353" s="22">
        <f ca="1"/>
        <v>40.349997999999999</v>
      </c>
      <c r="E353" s="22">
        <f ca="1"/>
        <v>39.740001999999997</v>
      </c>
      <c r="F353" s="22">
        <f ca="1"/>
        <v>40.349997999999999</v>
      </c>
      <c r="G353" s="22">
        <f ca="1"/>
        <v>34.778919000000002</v>
      </c>
      <c r="H353" s="69">
        <f ca="1"/>
        <v>22398700</v>
      </c>
      <c r="I353" s="23" t="str">
        <f t="shared" ca="1" si="11"/>
        <v/>
      </c>
    </row>
    <row r="354" spans="1:9" ht="13.8">
      <c r="A354" s="20">
        <f t="shared" ca="1" si="10"/>
        <v>41781</v>
      </c>
      <c r="B354" s="21" t="str">
        <f ca="1"/>
        <v>2014-05-22</v>
      </c>
      <c r="C354" s="22">
        <f ca="1"/>
        <v>40.290000999999997</v>
      </c>
      <c r="D354" s="22">
        <f ca="1"/>
        <v>40.349997999999999</v>
      </c>
      <c r="E354" s="22">
        <f ca="1"/>
        <v>39.849997999999999</v>
      </c>
      <c r="F354" s="22">
        <f ca="1"/>
        <v>40.099997999999999</v>
      </c>
      <c r="G354" s="22">
        <f ca="1"/>
        <v>34.563450000000003</v>
      </c>
      <c r="H354" s="69">
        <f ca="1"/>
        <v>20201800</v>
      </c>
      <c r="I354" s="23" t="str">
        <f t="shared" ca="1" si="11"/>
        <v/>
      </c>
    </row>
    <row r="355" spans="1:9" ht="13.8">
      <c r="A355" s="20">
        <f t="shared" ca="1" si="10"/>
        <v>41782</v>
      </c>
      <c r="B355" s="21" t="str">
        <f ca="1"/>
        <v>2014-05-23</v>
      </c>
      <c r="C355" s="22">
        <f ca="1"/>
        <v>40.369999</v>
      </c>
      <c r="D355" s="22">
        <f ca="1"/>
        <v>40.369999</v>
      </c>
      <c r="E355" s="22">
        <f ca="1"/>
        <v>40</v>
      </c>
      <c r="F355" s="22">
        <f ca="1"/>
        <v>40.119999</v>
      </c>
      <c r="G355" s="22">
        <f ca="1"/>
        <v>34.580672999999997</v>
      </c>
      <c r="H355" s="69">
        <f ca="1"/>
        <v>18020000</v>
      </c>
      <c r="I355" s="23" t="str">
        <f t="shared" ca="1" si="11"/>
        <v/>
      </c>
    </row>
    <row r="356" spans="1:9" ht="13.8">
      <c r="A356" s="20">
        <f t="shared" ca="1" si="10"/>
        <v>41786</v>
      </c>
      <c r="B356" s="21" t="str">
        <f ca="1"/>
        <v>2014-05-27</v>
      </c>
      <c r="C356" s="22">
        <f ca="1"/>
        <v>40.259998000000003</v>
      </c>
      <c r="D356" s="22">
        <f ca="1"/>
        <v>40.259998000000003</v>
      </c>
      <c r="E356" s="22">
        <f ca="1"/>
        <v>39.810001</v>
      </c>
      <c r="F356" s="22">
        <f ca="1"/>
        <v>40.189999</v>
      </c>
      <c r="G356" s="22">
        <f ca="1"/>
        <v>34.641010000000001</v>
      </c>
      <c r="H356" s="69">
        <f ca="1"/>
        <v>26160600</v>
      </c>
      <c r="I356" s="23" t="str">
        <f t="shared" ca="1" si="11"/>
        <v/>
      </c>
    </row>
    <row r="357" spans="1:9" ht="13.8">
      <c r="A357" s="20">
        <f t="shared" ca="1" si="10"/>
        <v>41787</v>
      </c>
      <c r="B357" s="21" t="str">
        <f ca="1"/>
        <v>2014-05-28</v>
      </c>
      <c r="C357" s="22">
        <f ca="1"/>
        <v>40.139999000000003</v>
      </c>
      <c r="D357" s="22">
        <f ca="1"/>
        <v>40.189999</v>
      </c>
      <c r="E357" s="22">
        <f ca="1"/>
        <v>39.82</v>
      </c>
      <c r="F357" s="22">
        <f ca="1"/>
        <v>40.009998000000003</v>
      </c>
      <c r="G357" s="22">
        <f ca="1"/>
        <v>34.485866999999999</v>
      </c>
      <c r="H357" s="69">
        <f ca="1"/>
        <v>25711500</v>
      </c>
      <c r="I357" s="23" t="str">
        <f t="shared" ca="1" si="11"/>
        <v/>
      </c>
    </row>
    <row r="358" spans="1:9" ht="13.8">
      <c r="A358" s="20">
        <f t="shared" ca="1" si="10"/>
        <v>41788</v>
      </c>
      <c r="B358" s="21" t="str">
        <f ca="1"/>
        <v>2014-05-29</v>
      </c>
      <c r="C358" s="22">
        <f ca="1"/>
        <v>40.150002000000001</v>
      </c>
      <c r="D358" s="22">
        <f ca="1"/>
        <v>40.349997999999999</v>
      </c>
      <c r="E358" s="22">
        <f ca="1"/>
        <v>39.909999999999997</v>
      </c>
      <c r="F358" s="22">
        <f ca="1"/>
        <v>40.340000000000003</v>
      </c>
      <c r="G358" s="22">
        <f ca="1"/>
        <v>34.770313000000002</v>
      </c>
      <c r="H358" s="69">
        <f ca="1"/>
        <v>19888200</v>
      </c>
      <c r="I358" s="23" t="str">
        <f t="shared" ca="1" si="11"/>
        <v/>
      </c>
    </row>
    <row r="359" spans="1:9" ht="13.8">
      <c r="A359" s="20">
        <f t="shared" ca="1" si="10"/>
        <v>41789</v>
      </c>
      <c r="B359" s="21" t="str">
        <f ca="1"/>
        <v>2014-05-30</v>
      </c>
      <c r="C359" s="22">
        <f ca="1"/>
        <v>40.450001</v>
      </c>
      <c r="D359" s="22">
        <f ca="1"/>
        <v>40.970001000000003</v>
      </c>
      <c r="E359" s="22">
        <f ca="1"/>
        <v>40.25</v>
      </c>
      <c r="F359" s="22">
        <f ca="1"/>
        <v>40.939999</v>
      </c>
      <c r="G359" s="22">
        <f ca="1"/>
        <v>35.287472000000001</v>
      </c>
      <c r="H359" s="69">
        <f ca="1"/>
        <v>34567600</v>
      </c>
      <c r="I359" s="23" t="str">
        <f t="shared" ca="1" si="11"/>
        <v/>
      </c>
    </row>
    <row r="360" spans="1:9" ht="13.8">
      <c r="A360" s="20">
        <f t="shared" ca="1" si="10"/>
        <v>41792</v>
      </c>
      <c r="B360" s="21" t="str">
        <f ca="1"/>
        <v>2014-06-02</v>
      </c>
      <c r="C360" s="22">
        <f ca="1"/>
        <v>40.950001</v>
      </c>
      <c r="D360" s="22">
        <f ca="1"/>
        <v>41.09</v>
      </c>
      <c r="E360" s="22">
        <f ca="1"/>
        <v>40.68</v>
      </c>
      <c r="F360" s="22">
        <f ca="1"/>
        <v>40.790000999999997</v>
      </c>
      <c r="G360" s="22">
        <f ca="1"/>
        <v>35.158172999999998</v>
      </c>
      <c r="H360" s="69">
        <f ca="1"/>
        <v>18504300</v>
      </c>
      <c r="I360" s="23" t="str">
        <f t="shared" ca="1" si="11"/>
        <v/>
      </c>
    </row>
    <row r="361" spans="1:9" ht="13.8">
      <c r="A361" s="20">
        <f t="shared" ca="1" si="10"/>
        <v>41793</v>
      </c>
      <c r="B361" s="21" t="str">
        <f ca="1"/>
        <v>2014-06-03</v>
      </c>
      <c r="C361" s="22">
        <f ca="1"/>
        <v>40.599997999999999</v>
      </c>
      <c r="D361" s="22">
        <f ca="1"/>
        <v>40.68</v>
      </c>
      <c r="E361" s="22">
        <f ca="1"/>
        <v>40.25</v>
      </c>
      <c r="F361" s="22">
        <f ca="1"/>
        <v>40.290000999999997</v>
      </c>
      <c r="G361" s="22">
        <f ca="1"/>
        <v>34.727200000000003</v>
      </c>
      <c r="H361" s="69">
        <f ca="1"/>
        <v>18068900</v>
      </c>
      <c r="I361" s="23" t="str">
        <f t="shared" ca="1" si="11"/>
        <v/>
      </c>
    </row>
    <row r="362" spans="1:9" ht="13.8">
      <c r="A362" s="20">
        <f t="shared" ca="1" si="10"/>
        <v>41794</v>
      </c>
      <c r="B362" s="21" t="str">
        <f ca="1"/>
        <v>2014-06-04</v>
      </c>
      <c r="C362" s="22">
        <f ca="1"/>
        <v>40.209999000000003</v>
      </c>
      <c r="D362" s="22">
        <f ca="1"/>
        <v>40.369999</v>
      </c>
      <c r="E362" s="22">
        <f ca="1"/>
        <v>39.860000999999997</v>
      </c>
      <c r="F362" s="22">
        <f ca="1"/>
        <v>40.32</v>
      </c>
      <c r="G362" s="22">
        <f ca="1"/>
        <v>34.753067000000001</v>
      </c>
      <c r="H362" s="69">
        <f ca="1"/>
        <v>23209000</v>
      </c>
      <c r="I362" s="23" t="str">
        <f t="shared" ca="1" si="11"/>
        <v/>
      </c>
    </row>
    <row r="363" spans="1:9" ht="13.8">
      <c r="A363" s="20">
        <f t="shared" ca="1" si="10"/>
        <v>41795</v>
      </c>
      <c r="B363" s="21" t="str">
        <f ca="1"/>
        <v>2014-06-05</v>
      </c>
      <c r="C363" s="22">
        <f ca="1"/>
        <v>40.590000000000003</v>
      </c>
      <c r="D363" s="22">
        <f ca="1"/>
        <v>41.25</v>
      </c>
      <c r="E363" s="22">
        <f ca="1"/>
        <v>40.400002000000001</v>
      </c>
      <c r="F363" s="22">
        <f ca="1"/>
        <v>41.209999000000003</v>
      </c>
      <c r="G363" s="22">
        <f ca="1"/>
        <v>35.520190999999997</v>
      </c>
      <c r="H363" s="69">
        <f ca="1"/>
        <v>31865200</v>
      </c>
      <c r="I363" s="23" t="str">
        <f t="shared" ca="1" si="11"/>
        <v/>
      </c>
    </row>
    <row r="364" spans="1:9" ht="13.8">
      <c r="A364" s="20">
        <f t="shared" ca="1" si="10"/>
        <v>41796</v>
      </c>
      <c r="B364" s="21" t="str">
        <f ca="1"/>
        <v>2014-06-06</v>
      </c>
      <c r="C364" s="22">
        <f ca="1"/>
        <v>41.48</v>
      </c>
      <c r="D364" s="22">
        <f ca="1"/>
        <v>41.66</v>
      </c>
      <c r="E364" s="22">
        <f ca="1"/>
        <v>41.240001999999997</v>
      </c>
      <c r="F364" s="22">
        <f ca="1"/>
        <v>41.48</v>
      </c>
      <c r="G364" s="22">
        <f ca="1"/>
        <v>35.752907</v>
      </c>
      <c r="H364" s="69">
        <f ca="1"/>
        <v>24060500</v>
      </c>
      <c r="I364" s="23" t="str">
        <f t="shared" ca="1" si="11"/>
        <v/>
      </c>
    </row>
    <row r="365" spans="1:9" ht="13.8">
      <c r="A365" s="20">
        <f t="shared" ca="1" si="10"/>
        <v>41799</v>
      </c>
      <c r="B365" s="21" t="str">
        <f ca="1"/>
        <v>2014-06-09</v>
      </c>
      <c r="C365" s="22">
        <f ca="1"/>
        <v>41.389999000000003</v>
      </c>
      <c r="D365" s="22">
        <f ca="1"/>
        <v>41.48</v>
      </c>
      <c r="E365" s="22">
        <f ca="1"/>
        <v>41.02</v>
      </c>
      <c r="F365" s="22">
        <f ca="1"/>
        <v>41.27</v>
      </c>
      <c r="G365" s="22">
        <f ca="1"/>
        <v>35.571891999999998</v>
      </c>
      <c r="H365" s="69">
        <f ca="1"/>
        <v>15019200</v>
      </c>
      <c r="I365" s="23" t="str">
        <f t="shared" ca="1" si="11"/>
        <v/>
      </c>
    </row>
    <row r="366" spans="1:9" ht="13.8">
      <c r="A366" s="20">
        <f t="shared" ca="1" si="10"/>
        <v>41800</v>
      </c>
      <c r="B366" s="21" t="str">
        <f ca="1"/>
        <v>2014-06-10</v>
      </c>
      <c r="C366" s="22">
        <f ca="1"/>
        <v>41.029998999999997</v>
      </c>
      <c r="D366" s="22">
        <f ca="1"/>
        <v>41.16</v>
      </c>
      <c r="E366" s="22">
        <f ca="1"/>
        <v>40.860000999999997</v>
      </c>
      <c r="F366" s="22">
        <f ca="1"/>
        <v>41.110000999999997</v>
      </c>
      <c r="G366" s="22">
        <f ca="1"/>
        <v>35.433990000000001</v>
      </c>
      <c r="H366" s="69">
        <f ca="1"/>
        <v>15117700</v>
      </c>
      <c r="I366" s="23" t="str">
        <f t="shared" ca="1" si="11"/>
        <v/>
      </c>
    </row>
    <row r="367" spans="1:9" ht="13.8">
      <c r="A367" s="20">
        <f t="shared" ca="1" si="10"/>
        <v>41801</v>
      </c>
      <c r="B367" s="21" t="str">
        <f ca="1"/>
        <v>2014-06-11</v>
      </c>
      <c r="C367" s="22">
        <f ca="1"/>
        <v>40.93</v>
      </c>
      <c r="D367" s="22">
        <f ca="1"/>
        <v>41.07</v>
      </c>
      <c r="E367" s="22">
        <f ca="1"/>
        <v>40.770000000000003</v>
      </c>
      <c r="F367" s="22">
        <f ca="1"/>
        <v>40.860000999999997</v>
      </c>
      <c r="G367" s="22">
        <f ca="1"/>
        <v>35.218513000000002</v>
      </c>
      <c r="H367" s="69">
        <f ca="1"/>
        <v>18040000</v>
      </c>
      <c r="I367" s="23" t="str">
        <f t="shared" ca="1" si="11"/>
        <v/>
      </c>
    </row>
    <row r="368" spans="1:9" ht="13.8">
      <c r="A368" s="20">
        <f t="shared" ca="1" si="10"/>
        <v>41802</v>
      </c>
      <c r="B368" s="21" t="str">
        <f ca="1"/>
        <v>2014-06-12</v>
      </c>
      <c r="C368" s="22">
        <f ca="1"/>
        <v>40.810001</v>
      </c>
      <c r="D368" s="22">
        <f ca="1"/>
        <v>40.880001</v>
      </c>
      <c r="E368" s="22">
        <f ca="1"/>
        <v>40.290000999999997</v>
      </c>
      <c r="F368" s="22">
        <f ca="1"/>
        <v>40.580002</v>
      </c>
      <c r="G368" s="22">
        <f ca="1"/>
        <v>34.977176999999998</v>
      </c>
      <c r="H368" s="69">
        <f ca="1"/>
        <v>29818900</v>
      </c>
      <c r="I368" s="23" t="str">
        <f t="shared" ca="1" si="11"/>
        <v/>
      </c>
    </row>
    <row r="369" spans="1:9" ht="13.8">
      <c r="A369" s="20">
        <f t="shared" ca="1" si="10"/>
        <v>41803</v>
      </c>
      <c r="B369" s="21" t="str">
        <f ca="1"/>
        <v>2014-06-13</v>
      </c>
      <c r="C369" s="22">
        <f ca="1"/>
        <v>41.099997999999999</v>
      </c>
      <c r="D369" s="22">
        <f ca="1"/>
        <v>41.57</v>
      </c>
      <c r="E369" s="22">
        <f ca="1"/>
        <v>40.860000999999997</v>
      </c>
      <c r="F369" s="22">
        <f ca="1"/>
        <v>41.23</v>
      </c>
      <c r="G369" s="22">
        <f ca="1"/>
        <v>35.537433999999998</v>
      </c>
      <c r="H369" s="69">
        <f ca="1"/>
        <v>26310000</v>
      </c>
      <c r="I369" s="23" t="str">
        <f t="shared" ca="1" si="11"/>
        <v/>
      </c>
    </row>
    <row r="370" spans="1:9" ht="13.8">
      <c r="A370" s="20">
        <f t="shared" ca="1" si="10"/>
        <v>41806</v>
      </c>
      <c r="B370" s="21" t="str">
        <f ca="1"/>
        <v>2014-06-16</v>
      </c>
      <c r="C370" s="22">
        <f ca="1"/>
        <v>41.040000999999997</v>
      </c>
      <c r="D370" s="22">
        <f ca="1"/>
        <v>41.610000999999997</v>
      </c>
      <c r="E370" s="22">
        <f ca="1"/>
        <v>41.040000999999997</v>
      </c>
      <c r="F370" s="22">
        <f ca="1"/>
        <v>41.5</v>
      </c>
      <c r="G370" s="22">
        <f ca="1"/>
        <v>35.770153000000001</v>
      </c>
      <c r="H370" s="69">
        <f ca="1"/>
        <v>24205300</v>
      </c>
      <c r="I370" s="23" t="str">
        <f t="shared" ca="1" si="11"/>
        <v/>
      </c>
    </row>
    <row r="371" spans="1:9" ht="13.8">
      <c r="A371" s="20">
        <f t="shared" ca="1" si="10"/>
        <v>41807</v>
      </c>
      <c r="B371" s="21" t="str">
        <f ca="1"/>
        <v>2014-06-17</v>
      </c>
      <c r="C371" s="22">
        <f ca="1"/>
        <v>41.290000999999997</v>
      </c>
      <c r="D371" s="22">
        <f ca="1"/>
        <v>41.91</v>
      </c>
      <c r="E371" s="22">
        <f ca="1"/>
        <v>40.340000000000003</v>
      </c>
      <c r="F371" s="22">
        <f ca="1"/>
        <v>41.68</v>
      </c>
      <c r="G371" s="22">
        <f ca="1"/>
        <v>35.925300999999997</v>
      </c>
      <c r="H371" s="69">
        <f ca="1"/>
        <v>22518600</v>
      </c>
      <c r="I371" s="23" t="str">
        <f t="shared" ca="1" si="11"/>
        <v/>
      </c>
    </row>
    <row r="372" spans="1:9" ht="13.8">
      <c r="A372" s="20">
        <f t="shared" ca="1" si="10"/>
        <v>41808</v>
      </c>
      <c r="B372" s="21" t="str">
        <f ca="1"/>
        <v>2014-06-18</v>
      </c>
      <c r="C372" s="22">
        <f ca="1"/>
        <v>41.610000999999997</v>
      </c>
      <c r="D372" s="22">
        <f ca="1"/>
        <v>41.740001999999997</v>
      </c>
      <c r="E372" s="22">
        <f ca="1"/>
        <v>41.18</v>
      </c>
      <c r="F372" s="22">
        <f ca="1"/>
        <v>41.650002000000001</v>
      </c>
      <c r="G372" s="22">
        <f ca="1"/>
        <v>35.899445</v>
      </c>
      <c r="H372" s="69">
        <f ca="1"/>
        <v>27097000</v>
      </c>
      <c r="I372" s="23" t="str">
        <f t="shared" ca="1" si="11"/>
        <v/>
      </c>
    </row>
    <row r="373" spans="1:9" ht="13.8">
      <c r="A373" s="20">
        <f t="shared" ca="1" si="10"/>
        <v>41809</v>
      </c>
      <c r="B373" s="21" t="str">
        <f ca="1"/>
        <v>2014-06-19</v>
      </c>
      <c r="C373" s="22">
        <f ca="1"/>
        <v>41.57</v>
      </c>
      <c r="D373" s="22">
        <f ca="1"/>
        <v>41.77</v>
      </c>
      <c r="E373" s="22">
        <f ca="1"/>
        <v>41.330002</v>
      </c>
      <c r="F373" s="22">
        <f ca="1"/>
        <v>41.509998000000003</v>
      </c>
      <c r="G373" s="22">
        <f ca="1"/>
        <v>35.778759000000001</v>
      </c>
      <c r="H373" s="69">
        <f ca="1"/>
        <v>19828200</v>
      </c>
      <c r="I373" s="23" t="str">
        <f t="shared" ca="1" si="11"/>
        <v/>
      </c>
    </row>
    <row r="374" spans="1:9" ht="13.8">
      <c r="A374" s="20">
        <f t="shared" ca="1" si="10"/>
        <v>41810</v>
      </c>
      <c r="B374" s="21" t="str">
        <f ca="1"/>
        <v>2014-06-20</v>
      </c>
      <c r="C374" s="22">
        <f ca="1"/>
        <v>41.450001</v>
      </c>
      <c r="D374" s="22">
        <f ca="1"/>
        <v>41.830002</v>
      </c>
      <c r="E374" s="22">
        <f ca="1"/>
        <v>41.380001</v>
      </c>
      <c r="F374" s="22">
        <f ca="1"/>
        <v>41.68</v>
      </c>
      <c r="G374" s="22">
        <f ca="1"/>
        <v>35.925300999999997</v>
      </c>
      <c r="H374" s="69">
        <f ca="1"/>
        <v>47764900</v>
      </c>
      <c r="I374" s="23" t="str">
        <f t="shared" ca="1" si="11"/>
        <v/>
      </c>
    </row>
    <row r="375" spans="1:9" ht="13.8">
      <c r="A375" s="20">
        <f t="shared" ca="1" si="10"/>
        <v>41813</v>
      </c>
      <c r="B375" s="21" t="str">
        <f ca="1"/>
        <v>2014-06-23</v>
      </c>
      <c r="C375" s="22">
        <f ca="1"/>
        <v>41.73</v>
      </c>
      <c r="D375" s="22">
        <f ca="1"/>
        <v>42</v>
      </c>
      <c r="E375" s="22">
        <f ca="1"/>
        <v>41.689999</v>
      </c>
      <c r="F375" s="22">
        <f ca="1"/>
        <v>41.990001999999997</v>
      </c>
      <c r="G375" s="22">
        <f ca="1"/>
        <v>36.192492999999999</v>
      </c>
      <c r="H375" s="69">
        <f ca="1"/>
        <v>18743900</v>
      </c>
      <c r="I375" s="23" t="str">
        <f t="shared" ca="1" si="11"/>
        <v/>
      </c>
    </row>
    <row r="376" spans="1:9" ht="13.8">
      <c r="A376" s="20">
        <f t="shared" ca="1" si="10"/>
        <v>41814</v>
      </c>
      <c r="B376" s="21" t="str">
        <f ca="1"/>
        <v>2014-06-24</v>
      </c>
      <c r="C376" s="22">
        <f ca="1"/>
        <v>41.830002</v>
      </c>
      <c r="D376" s="22">
        <f ca="1"/>
        <v>41.939999</v>
      </c>
      <c r="E376" s="22">
        <f ca="1"/>
        <v>41.560001</v>
      </c>
      <c r="F376" s="22">
        <f ca="1"/>
        <v>41.75</v>
      </c>
      <c r="G376" s="22">
        <f ca="1"/>
        <v>35.98563</v>
      </c>
      <c r="H376" s="69">
        <f ca="1"/>
        <v>26509100</v>
      </c>
      <c r="I376" s="23" t="str">
        <f t="shared" ca="1" si="11"/>
        <v/>
      </c>
    </row>
    <row r="377" spans="1:9" ht="13.8">
      <c r="A377" s="20">
        <f t="shared" ca="1" si="10"/>
        <v>41815</v>
      </c>
      <c r="B377" s="21" t="str">
        <f ca="1"/>
        <v>2014-06-25</v>
      </c>
      <c r="C377" s="22">
        <f ca="1"/>
        <v>41.700001</v>
      </c>
      <c r="D377" s="22">
        <f ca="1"/>
        <v>42.049999</v>
      </c>
      <c r="E377" s="22">
        <f ca="1"/>
        <v>41.459999000000003</v>
      </c>
      <c r="F377" s="22">
        <f ca="1"/>
        <v>42.029998999999997</v>
      </c>
      <c r="G377" s="22">
        <f ca="1"/>
        <v>36.226970999999999</v>
      </c>
      <c r="H377" s="69">
        <f ca="1"/>
        <v>20049100</v>
      </c>
      <c r="I377" s="23" t="str">
        <f t="shared" ca="1" si="11"/>
        <v/>
      </c>
    </row>
    <row r="378" spans="1:9" ht="13.8">
      <c r="A378" s="20">
        <f t="shared" ca="1" si="10"/>
        <v>41816</v>
      </c>
      <c r="B378" s="21" t="str">
        <f ca="1"/>
        <v>2014-06-26</v>
      </c>
      <c r="C378" s="22">
        <f ca="1"/>
        <v>41.93</v>
      </c>
      <c r="D378" s="22">
        <f ca="1"/>
        <v>41.939999</v>
      </c>
      <c r="E378" s="22">
        <f ca="1"/>
        <v>41.43</v>
      </c>
      <c r="F378" s="22">
        <f ca="1"/>
        <v>41.720001000000003</v>
      </c>
      <c r="G378" s="22">
        <f ca="1"/>
        <v>35.959774000000003</v>
      </c>
      <c r="H378" s="69">
        <f ca="1"/>
        <v>23604400</v>
      </c>
      <c r="I378" s="23" t="str">
        <f t="shared" ca="1" si="11"/>
        <v/>
      </c>
    </row>
    <row r="379" spans="1:9" ht="13.8">
      <c r="A379" s="20">
        <f t="shared" ca="1" si="10"/>
        <v>41817</v>
      </c>
      <c r="B379" s="21" t="str">
        <f ca="1"/>
        <v>2014-06-27</v>
      </c>
      <c r="C379" s="22">
        <f ca="1"/>
        <v>41.610000999999997</v>
      </c>
      <c r="D379" s="22">
        <f ca="1"/>
        <v>42.290000999999997</v>
      </c>
      <c r="E379" s="22">
        <f ca="1"/>
        <v>41.509998000000003</v>
      </c>
      <c r="F379" s="22">
        <f ca="1"/>
        <v>42.25</v>
      </c>
      <c r="G379" s="22">
        <f ca="1"/>
        <v>36.416598999999998</v>
      </c>
      <c r="H379" s="69">
        <f ca="1"/>
        <v>74640000</v>
      </c>
      <c r="I379" s="23" t="str">
        <f t="shared" ca="1" si="11"/>
        <v/>
      </c>
    </row>
    <row r="380" spans="1:9" ht="13.8">
      <c r="A380" s="20">
        <f t="shared" ca="1" si="10"/>
        <v>41820</v>
      </c>
      <c r="B380" s="21" t="str">
        <f ca="1"/>
        <v>2014-06-30</v>
      </c>
      <c r="C380" s="22">
        <f ca="1"/>
        <v>42.169998</v>
      </c>
      <c r="D380" s="22">
        <f ca="1"/>
        <v>42.209999000000003</v>
      </c>
      <c r="E380" s="22">
        <f ca="1"/>
        <v>41.700001</v>
      </c>
      <c r="F380" s="22">
        <f ca="1"/>
        <v>41.700001</v>
      </c>
      <c r="G380" s="22">
        <f ca="1"/>
        <v>35.942543000000001</v>
      </c>
      <c r="H380" s="69">
        <f ca="1"/>
        <v>30793100</v>
      </c>
      <c r="I380" s="23" t="str">
        <f t="shared" ca="1" si="11"/>
        <v/>
      </c>
    </row>
    <row r="381" spans="1:9" ht="13.8">
      <c r="A381" s="20">
        <f t="shared" ca="1" si="10"/>
        <v>41821</v>
      </c>
      <c r="B381" s="21" t="str">
        <f ca="1"/>
        <v>2014-07-01</v>
      </c>
      <c r="C381" s="22">
        <f ca="1"/>
        <v>41.860000999999997</v>
      </c>
      <c r="D381" s="22">
        <f ca="1"/>
        <v>42.150002000000001</v>
      </c>
      <c r="E381" s="22">
        <f ca="1"/>
        <v>41.689999</v>
      </c>
      <c r="F381" s="22">
        <f ca="1"/>
        <v>41.869999</v>
      </c>
      <c r="G381" s="22">
        <f ca="1"/>
        <v>36.089058000000001</v>
      </c>
      <c r="H381" s="69">
        <f ca="1"/>
        <v>26917000</v>
      </c>
      <c r="I381" s="23" t="str">
        <f t="shared" ca="1" si="11"/>
        <v/>
      </c>
    </row>
    <row r="382" spans="1:9" ht="13.8">
      <c r="A382" s="20">
        <f t="shared" ca="1" si="10"/>
        <v>41822</v>
      </c>
      <c r="B382" s="21" t="str">
        <f ca="1"/>
        <v>2014-07-02</v>
      </c>
      <c r="C382" s="22">
        <f ca="1"/>
        <v>41.73</v>
      </c>
      <c r="D382" s="22">
        <f ca="1"/>
        <v>41.900002000000001</v>
      </c>
      <c r="E382" s="22">
        <f ca="1"/>
        <v>41.529998999999997</v>
      </c>
      <c r="F382" s="22">
        <f ca="1"/>
        <v>41.900002000000001</v>
      </c>
      <c r="G382" s="22">
        <f ca="1"/>
        <v>36.114918000000003</v>
      </c>
      <c r="H382" s="69">
        <f ca="1"/>
        <v>20208100</v>
      </c>
      <c r="I382" s="23" t="str">
        <f t="shared" ca="1" si="11"/>
        <v/>
      </c>
    </row>
    <row r="383" spans="1:9" ht="13.8">
      <c r="A383" s="20">
        <f t="shared" ca="1" si="10"/>
        <v>41823</v>
      </c>
      <c r="B383" s="21" t="str">
        <f ca="1"/>
        <v>2014-07-03</v>
      </c>
      <c r="C383" s="22">
        <f ca="1"/>
        <v>41.91</v>
      </c>
      <c r="D383" s="22">
        <f ca="1"/>
        <v>41.990001999999997</v>
      </c>
      <c r="E383" s="22">
        <f ca="1"/>
        <v>41.560001</v>
      </c>
      <c r="F383" s="22">
        <f ca="1"/>
        <v>41.799999</v>
      </c>
      <c r="G383" s="22">
        <f ca="1"/>
        <v>36.028731999999998</v>
      </c>
      <c r="H383" s="69">
        <f ca="1"/>
        <v>15969300</v>
      </c>
      <c r="I383" s="23" t="str">
        <f t="shared" ca="1" si="11"/>
        <v/>
      </c>
    </row>
    <row r="384" spans="1:9" ht="13.8">
      <c r="A384" s="20">
        <f t="shared" ca="1" si="10"/>
        <v>41827</v>
      </c>
      <c r="B384" s="21" t="str">
        <f ca="1"/>
        <v>2014-07-07</v>
      </c>
      <c r="C384" s="22">
        <f ca="1"/>
        <v>41.75</v>
      </c>
      <c r="D384" s="22">
        <f ca="1"/>
        <v>42.119999</v>
      </c>
      <c r="E384" s="22">
        <f ca="1"/>
        <v>41.709999000000003</v>
      </c>
      <c r="F384" s="22">
        <f ca="1"/>
        <v>41.990001999999997</v>
      </c>
      <c r="G384" s="22">
        <f ca="1"/>
        <v>36.192492999999999</v>
      </c>
      <c r="H384" s="69">
        <f ca="1"/>
        <v>21952400</v>
      </c>
      <c r="I384" s="23" t="str">
        <f t="shared" ca="1" si="11"/>
        <v/>
      </c>
    </row>
    <row r="385" spans="1:9" ht="13.8">
      <c r="A385" s="20">
        <f t="shared" ca="1" si="10"/>
        <v>41828</v>
      </c>
      <c r="B385" s="21" t="str">
        <f ca="1"/>
        <v>2014-07-08</v>
      </c>
      <c r="C385" s="22">
        <f ca="1"/>
        <v>41.869999</v>
      </c>
      <c r="D385" s="22">
        <f ca="1"/>
        <v>42</v>
      </c>
      <c r="E385" s="22">
        <f ca="1"/>
        <v>41.610000999999997</v>
      </c>
      <c r="F385" s="22">
        <f ca="1"/>
        <v>41.779998999999997</v>
      </c>
      <c r="G385" s="22">
        <f ca="1"/>
        <v>36.011490000000002</v>
      </c>
      <c r="H385" s="69">
        <f ca="1"/>
        <v>31218200</v>
      </c>
      <c r="I385" s="23" t="str">
        <f t="shared" ca="1" si="11"/>
        <v/>
      </c>
    </row>
    <row r="386" spans="1:9" ht="13.8">
      <c r="A386" s="20">
        <f t="shared" ca="1" si="10"/>
        <v>41829</v>
      </c>
      <c r="B386" s="21" t="str">
        <f ca="1"/>
        <v>2014-07-09</v>
      </c>
      <c r="C386" s="22">
        <f ca="1"/>
        <v>41.98</v>
      </c>
      <c r="D386" s="22">
        <f ca="1"/>
        <v>41.990001999999997</v>
      </c>
      <c r="E386" s="22">
        <f ca="1"/>
        <v>41.529998999999997</v>
      </c>
      <c r="F386" s="22">
        <f ca="1"/>
        <v>41.669998</v>
      </c>
      <c r="G386" s="22">
        <f ca="1"/>
        <v>35.916679000000002</v>
      </c>
      <c r="H386" s="69">
        <f ca="1"/>
        <v>18445900</v>
      </c>
      <c r="I386" s="23" t="str">
        <f t="shared" ca="1" si="11"/>
        <v/>
      </c>
    </row>
    <row r="387" spans="1:9" ht="13.8">
      <c r="A387" s="20">
        <f t="shared" ca="1" si="10"/>
        <v>41830</v>
      </c>
      <c r="B387" s="21" t="str">
        <f ca="1"/>
        <v>2014-07-10</v>
      </c>
      <c r="C387" s="22">
        <f ca="1"/>
        <v>41.369999</v>
      </c>
      <c r="D387" s="22">
        <f ca="1"/>
        <v>42</v>
      </c>
      <c r="E387" s="22">
        <f ca="1"/>
        <v>41.049999</v>
      </c>
      <c r="F387" s="22">
        <f ca="1"/>
        <v>41.689999</v>
      </c>
      <c r="G387" s="22">
        <f ca="1"/>
        <v>35.933903000000001</v>
      </c>
      <c r="H387" s="69">
        <f ca="1"/>
        <v>21854700</v>
      </c>
      <c r="I387" s="23" t="str">
        <f t="shared" ca="1" si="11"/>
        <v/>
      </c>
    </row>
    <row r="388" spans="1:9" ht="13.8">
      <c r="A388" s="20">
        <f t="shared" ca="1" si="10"/>
        <v>41831</v>
      </c>
      <c r="B388" s="21" t="str">
        <f ca="1"/>
        <v>2014-07-11</v>
      </c>
      <c r="C388" s="22">
        <f ca="1"/>
        <v>41.700001</v>
      </c>
      <c r="D388" s="22">
        <f ca="1"/>
        <v>42.09</v>
      </c>
      <c r="E388" s="22">
        <f ca="1"/>
        <v>41.48</v>
      </c>
      <c r="F388" s="22">
        <f ca="1"/>
        <v>42.09</v>
      </c>
      <c r="G388" s="22">
        <f ca="1"/>
        <v>36.278689999999997</v>
      </c>
      <c r="H388" s="69">
        <f ca="1"/>
        <v>24083000</v>
      </c>
      <c r="I388" s="23" t="str">
        <f t="shared" ca="1" si="11"/>
        <v/>
      </c>
    </row>
    <row r="389" spans="1:9" ht="13.8">
      <c r="A389" s="20">
        <f t="shared" ca="1" si="10"/>
        <v>41834</v>
      </c>
      <c r="B389" s="21" t="str">
        <f ca="1"/>
        <v>2014-07-14</v>
      </c>
      <c r="C389" s="22">
        <f ca="1"/>
        <v>42.220001000000003</v>
      </c>
      <c r="D389" s="22">
        <f ca="1"/>
        <v>42.450001</v>
      </c>
      <c r="E389" s="22">
        <f ca="1"/>
        <v>42.040000999999997</v>
      </c>
      <c r="F389" s="22">
        <f ca="1"/>
        <v>42.139999000000003</v>
      </c>
      <c r="G389" s="22">
        <f ca="1"/>
        <v>36.321789000000003</v>
      </c>
      <c r="H389" s="69">
        <f ca="1"/>
        <v>21881100</v>
      </c>
      <c r="I389" s="23" t="str">
        <f t="shared" ca="1" si="11"/>
        <v/>
      </c>
    </row>
    <row r="390" spans="1:9" ht="13.8">
      <c r="A390" s="20">
        <f t="shared" ref="A390:A453" ca="1" si="12">IFERROR(DATEVALUE($B390),"--")</f>
        <v>41835</v>
      </c>
      <c r="B390" s="21" t="str">
        <f ca="1"/>
        <v>2014-07-15</v>
      </c>
      <c r="C390" s="22">
        <f ca="1"/>
        <v>42.330002</v>
      </c>
      <c r="D390" s="22">
        <f ca="1"/>
        <v>42.470001000000003</v>
      </c>
      <c r="E390" s="22">
        <f ca="1"/>
        <v>42.029998999999997</v>
      </c>
      <c r="F390" s="22">
        <f ca="1"/>
        <v>42.450001</v>
      </c>
      <c r="G390" s="22">
        <f ca="1"/>
        <v>36.588970000000003</v>
      </c>
      <c r="H390" s="69">
        <f ca="1"/>
        <v>28748700</v>
      </c>
      <c r="I390" s="23" t="str">
        <f t="shared" ref="I390:I453" ca="1" si="13">IFERROR(IF(Ticker&lt;&gt;$Q$2,"",INDEX($P:$P,MATCH($A390,$O:$O,0))),"")</f>
        <v/>
      </c>
    </row>
    <row r="391" spans="1:9" ht="13.8">
      <c r="A391" s="20">
        <f t="shared" ca="1" si="12"/>
        <v>41836</v>
      </c>
      <c r="B391" s="21" t="str">
        <f ca="1"/>
        <v>2014-07-16</v>
      </c>
      <c r="C391" s="22">
        <f ca="1"/>
        <v>42.509998000000003</v>
      </c>
      <c r="D391" s="22">
        <f ca="1"/>
        <v>44.310001</v>
      </c>
      <c r="E391" s="22">
        <f ca="1"/>
        <v>42.48</v>
      </c>
      <c r="F391" s="22">
        <f ca="1"/>
        <v>44.080002</v>
      </c>
      <c r="G391" s="22">
        <f ca="1"/>
        <v>37.993931000000003</v>
      </c>
      <c r="H391" s="69">
        <f ca="1"/>
        <v>63318000</v>
      </c>
      <c r="I391" s="23" t="str">
        <f t="shared" ca="1" si="13"/>
        <v/>
      </c>
    </row>
    <row r="392" spans="1:9" ht="13.8">
      <c r="A392" s="20">
        <f t="shared" ca="1" si="12"/>
        <v>41837</v>
      </c>
      <c r="B392" s="21" t="str">
        <f ca="1"/>
        <v>2014-07-17</v>
      </c>
      <c r="C392" s="22">
        <f ca="1"/>
        <v>45.450001</v>
      </c>
      <c r="D392" s="22">
        <f ca="1"/>
        <v>45.709999000000003</v>
      </c>
      <c r="E392" s="22">
        <f ca="1"/>
        <v>44.25</v>
      </c>
      <c r="F392" s="22">
        <f ca="1"/>
        <v>44.529998999999997</v>
      </c>
      <c r="G392" s="22">
        <f ca="1"/>
        <v>38.381805</v>
      </c>
      <c r="H392" s="69">
        <f ca="1"/>
        <v>82180300</v>
      </c>
      <c r="I392" s="23" t="str">
        <f t="shared" ca="1" si="13"/>
        <v/>
      </c>
    </row>
    <row r="393" spans="1:9" ht="13.8">
      <c r="A393" s="20">
        <f t="shared" ca="1" si="12"/>
        <v>41838</v>
      </c>
      <c r="B393" s="21" t="str">
        <f ca="1"/>
        <v>2014-07-18</v>
      </c>
      <c r="C393" s="22">
        <f ca="1"/>
        <v>44.650002000000001</v>
      </c>
      <c r="D393" s="22">
        <f ca="1"/>
        <v>44.84</v>
      </c>
      <c r="E393" s="22">
        <f ca="1"/>
        <v>44.25</v>
      </c>
      <c r="F393" s="22">
        <f ca="1"/>
        <v>44.689999</v>
      </c>
      <c r="G393" s="22">
        <f ca="1"/>
        <v>38.519699000000003</v>
      </c>
      <c r="H393" s="69">
        <f ca="1"/>
        <v>43407500</v>
      </c>
      <c r="I393" s="23" t="str">
        <f t="shared" ca="1" si="13"/>
        <v/>
      </c>
    </row>
    <row r="394" spans="1:9" ht="13.8">
      <c r="A394" s="20">
        <f t="shared" ca="1" si="12"/>
        <v>41841</v>
      </c>
      <c r="B394" s="21" t="str">
        <f ca="1"/>
        <v>2014-07-21</v>
      </c>
      <c r="C394" s="22">
        <f ca="1"/>
        <v>44.560001</v>
      </c>
      <c r="D394" s="22">
        <f ca="1"/>
        <v>45.16</v>
      </c>
      <c r="E394" s="22">
        <f ca="1"/>
        <v>44.220001000000003</v>
      </c>
      <c r="F394" s="22">
        <f ca="1"/>
        <v>44.84</v>
      </c>
      <c r="G394" s="22">
        <f ca="1"/>
        <v>38.649002000000003</v>
      </c>
      <c r="H394" s="69">
        <f ca="1"/>
        <v>37604400</v>
      </c>
      <c r="I394" s="23" t="str">
        <f t="shared" ca="1" si="13"/>
        <v/>
      </c>
    </row>
    <row r="395" spans="1:9" ht="13.8">
      <c r="A395" s="20">
        <f t="shared" ca="1" si="12"/>
        <v>41842</v>
      </c>
      <c r="B395" s="21" t="str">
        <f ca="1"/>
        <v>2014-07-22</v>
      </c>
      <c r="C395" s="22">
        <f ca="1"/>
        <v>45</v>
      </c>
      <c r="D395" s="22">
        <f ca="1"/>
        <v>45.150002000000001</v>
      </c>
      <c r="E395" s="22">
        <f ca="1"/>
        <v>44.59</v>
      </c>
      <c r="F395" s="22">
        <f ca="1"/>
        <v>44.830002</v>
      </c>
      <c r="G395" s="22">
        <f ca="1"/>
        <v>38.640377000000001</v>
      </c>
      <c r="H395" s="69">
        <f ca="1"/>
        <v>43095800</v>
      </c>
      <c r="I395" s="23" t="str">
        <f t="shared" ca="1" si="13"/>
        <v/>
      </c>
    </row>
    <row r="396" spans="1:9" ht="13.8">
      <c r="A396" s="20">
        <f t="shared" ca="1" si="12"/>
        <v>41843</v>
      </c>
      <c r="B396" s="21" t="str">
        <f ca="1"/>
        <v>2014-07-23</v>
      </c>
      <c r="C396" s="22">
        <f ca="1"/>
        <v>45.450001</v>
      </c>
      <c r="D396" s="22">
        <f ca="1"/>
        <v>45.450001</v>
      </c>
      <c r="E396" s="22">
        <f ca="1"/>
        <v>44.619999</v>
      </c>
      <c r="F396" s="22">
        <f ca="1"/>
        <v>44.869999</v>
      </c>
      <c r="G396" s="22">
        <f ca="1"/>
        <v>38.674849999999999</v>
      </c>
      <c r="H396" s="69">
        <f ca="1"/>
        <v>52362900</v>
      </c>
      <c r="I396" s="23" t="str">
        <f t="shared" ca="1" si="13"/>
        <v/>
      </c>
    </row>
    <row r="397" spans="1:9" ht="13.8">
      <c r="A397" s="20">
        <f t="shared" ca="1" si="12"/>
        <v>41844</v>
      </c>
      <c r="B397" s="21" t="str">
        <f ca="1"/>
        <v>2014-07-24</v>
      </c>
      <c r="C397" s="22">
        <f ca="1"/>
        <v>44.93</v>
      </c>
      <c r="D397" s="22">
        <f ca="1"/>
        <v>45</v>
      </c>
      <c r="E397" s="22">
        <f ca="1"/>
        <v>44.32</v>
      </c>
      <c r="F397" s="22">
        <f ca="1"/>
        <v>44.400002000000001</v>
      </c>
      <c r="G397" s="22">
        <f ca="1"/>
        <v>38.269748999999997</v>
      </c>
      <c r="H397" s="69">
        <f ca="1"/>
        <v>30725300</v>
      </c>
      <c r="I397" s="23" t="str">
        <f t="shared" ca="1" si="13"/>
        <v/>
      </c>
    </row>
    <row r="398" spans="1:9" ht="13.8">
      <c r="A398" s="20">
        <f t="shared" ca="1" si="12"/>
        <v>41845</v>
      </c>
      <c r="B398" s="21" t="str">
        <f ca="1"/>
        <v>2014-07-25</v>
      </c>
      <c r="C398" s="22">
        <f ca="1"/>
        <v>44.299999</v>
      </c>
      <c r="D398" s="22">
        <f ca="1"/>
        <v>44.66</v>
      </c>
      <c r="E398" s="22">
        <f ca="1"/>
        <v>44.299999</v>
      </c>
      <c r="F398" s="22">
        <f ca="1"/>
        <v>44.5</v>
      </c>
      <c r="G398" s="22">
        <f ca="1"/>
        <v>38.355938000000002</v>
      </c>
      <c r="H398" s="69">
        <f ca="1"/>
        <v>26737700</v>
      </c>
      <c r="I398" s="23" t="str">
        <f t="shared" ca="1" si="13"/>
        <v/>
      </c>
    </row>
    <row r="399" spans="1:9" ht="13.8">
      <c r="A399" s="20">
        <f t="shared" ca="1" si="12"/>
        <v>41848</v>
      </c>
      <c r="B399" s="21" t="str">
        <f ca="1"/>
        <v>2014-07-28</v>
      </c>
      <c r="C399" s="22">
        <f ca="1"/>
        <v>44.360000999999997</v>
      </c>
      <c r="D399" s="22">
        <f ca="1"/>
        <v>44.509998000000003</v>
      </c>
      <c r="E399" s="22">
        <f ca="1"/>
        <v>43.93</v>
      </c>
      <c r="F399" s="22">
        <f ca="1"/>
        <v>43.970001000000003</v>
      </c>
      <c r="G399" s="22">
        <f ca="1"/>
        <v>37.899120000000003</v>
      </c>
      <c r="H399" s="69">
        <f ca="1"/>
        <v>29684200</v>
      </c>
      <c r="I399" s="23" t="str">
        <f t="shared" ca="1" si="13"/>
        <v/>
      </c>
    </row>
    <row r="400" spans="1:9" ht="13.8">
      <c r="A400" s="20">
        <f t="shared" ca="1" si="12"/>
        <v>41849</v>
      </c>
      <c r="B400" s="21" t="str">
        <f ca="1"/>
        <v>2014-07-29</v>
      </c>
      <c r="C400" s="22">
        <f ca="1"/>
        <v>43.91</v>
      </c>
      <c r="D400" s="22">
        <f ca="1"/>
        <v>44.09</v>
      </c>
      <c r="E400" s="22">
        <f ca="1"/>
        <v>43.639999000000003</v>
      </c>
      <c r="F400" s="22">
        <f ca="1"/>
        <v>43.889999000000003</v>
      </c>
      <c r="G400" s="22">
        <f ca="1"/>
        <v>37.830157999999997</v>
      </c>
      <c r="H400" s="69">
        <f ca="1"/>
        <v>27763100</v>
      </c>
      <c r="I400" s="23" t="str">
        <f t="shared" ca="1" si="13"/>
        <v/>
      </c>
    </row>
    <row r="401" spans="1:9" ht="13.8">
      <c r="A401" s="20">
        <f t="shared" ca="1" si="12"/>
        <v>41850</v>
      </c>
      <c r="B401" s="21" t="str">
        <f ca="1"/>
        <v>2014-07-30</v>
      </c>
      <c r="C401" s="22">
        <f ca="1"/>
        <v>44.07</v>
      </c>
      <c r="D401" s="22">
        <f ca="1"/>
        <v>44.099997999999999</v>
      </c>
      <c r="E401" s="22">
        <f ca="1"/>
        <v>43.290000999999997</v>
      </c>
      <c r="F401" s="22">
        <f ca="1"/>
        <v>43.580002</v>
      </c>
      <c r="G401" s="22">
        <f ca="1"/>
        <v>37.562973</v>
      </c>
      <c r="H401" s="69">
        <f ca="1"/>
        <v>31921400</v>
      </c>
      <c r="I401" s="23" t="str">
        <f t="shared" ca="1" si="13"/>
        <v/>
      </c>
    </row>
    <row r="402" spans="1:9" ht="13.8">
      <c r="A402" s="20">
        <f t="shared" ca="1" si="12"/>
        <v>41851</v>
      </c>
      <c r="B402" s="21" t="str">
        <f ca="1"/>
        <v>2014-07-31</v>
      </c>
      <c r="C402" s="22">
        <f ca="1"/>
        <v>43.380001</v>
      </c>
      <c r="D402" s="22">
        <f ca="1"/>
        <v>43.689999</v>
      </c>
      <c r="E402" s="22">
        <f ca="1"/>
        <v>43.080002</v>
      </c>
      <c r="F402" s="22">
        <f ca="1"/>
        <v>43.16</v>
      </c>
      <c r="G402" s="22">
        <f ca="1"/>
        <v>37.200961999999997</v>
      </c>
      <c r="H402" s="69">
        <f ca="1"/>
        <v>31537500</v>
      </c>
      <c r="I402" s="23" t="str">
        <f t="shared" ca="1" si="13"/>
        <v/>
      </c>
    </row>
    <row r="403" spans="1:9" ht="13.8">
      <c r="A403" s="20">
        <f t="shared" ca="1" si="12"/>
        <v>41852</v>
      </c>
      <c r="B403" s="21" t="str">
        <f ca="1"/>
        <v>2014-08-01</v>
      </c>
      <c r="C403" s="22">
        <f ca="1"/>
        <v>43.209999000000003</v>
      </c>
      <c r="D403" s="22">
        <f ca="1"/>
        <v>43.25</v>
      </c>
      <c r="E403" s="22">
        <f ca="1"/>
        <v>42.599997999999999</v>
      </c>
      <c r="F403" s="22">
        <f ca="1"/>
        <v>42.860000999999997</v>
      </c>
      <c r="G403" s="22">
        <f ca="1"/>
        <v>36.942374999999998</v>
      </c>
      <c r="H403" s="69">
        <f ca="1"/>
        <v>31170300</v>
      </c>
      <c r="I403" s="23" t="str">
        <f t="shared" ca="1" si="13"/>
        <v/>
      </c>
    </row>
    <row r="404" spans="1:9" ht="13.8">
      <c r="A404" s="20">
        <f t="shared" ca="1" si="12"/>
        <v>41855</v>
      </c>
      <c r="B404" s="21" t="str">
        <f ca="1"/>
        <v>2014-08-04</v>
      </c>
      <c r="C404" s="22">
        <f ca="1"/>
        <v>42.970001000000003</v>
      </c>
      <c r="D404" s="22">
        <f ca="1"/>
        <v>43.470001000000003</v>
      </c>
      <c r="E404" s="22">
        <f ca="1"/>
        <v>42.810001</v>
      </c>
      <c r="F404" s="22">
        <f ca="1"/>
        <v>43.369999</v>
      </c>
      <c r="G404" s="22">
        <f ca="1"/>
        <v>37.381954</v>
      </c>
      <c r="H404" s="69">
        <f ca="1"/>
        <v>34277400</v>
      </c>
      <c r="I404" s="23" t="str">
        <f t="shared" ca="1" si="13"/>
        <v/>
      </c>
    </row>
    <row r="405" spans="1:9" ht="13.8">
      <c r="A405" s="20">
        <f t="shared" ca="1" si="12"/>
        <v>41856</v>
      </c>
      <c r="B405" s="21" t="str">
        <f ca="1"/>
        <v>2014-08-05</v>
      </c>
      <c r="C405" s="22">
        <f ca="1"/>
        <v>43.310001</v>
      </c>
      <c r="D405" s="22">
        <f ca="1"/>
        <v>43.459999000000003</v>
      </c>
      <c r="E405" s="22">
        <f ca="1"/>
        <v>42.830002</v>
      </c>
      <c r="F405" s="22">
        <f ca="1"/>
        <v>43.080002</v>
      </c>
      <c r="G405" s="22">
        <f ca="1"/>
        <v>37.131996000000001</v>
      </c>
      <c r="H405" s="69">
        <f ca="1"/>
        <v>26266400</v>
      </c>
      <c r="I405" s="23" t="str">
        <f t="shared" ca="1" si="13"/>
        <v/>
      </c>
    </row>
    <row r="406" spans="1:9" ht="13.8">
      <c r="A406" s="20">
        <f t="shared" ca="1" si="12"/>
        <v>41857</v>
      </c>
      <c r="B406" s="21" t="str">
        <f ca="1"/>
        <v>2014-08-06</v>
      </c>
      <c r="C406" s="22">
        <f ca="1"/>
        <v>42.740001999999997</v>
      </c>
      <c r="D406" s="22">
        <f ca="1"/>
        <v>43.169998</v>
      </c>
      <c r="E406" s="22">
        <f ca="1"/>
        <v>42.209999000000003</v>
      </c>
      <c r="F406" s="22">
        <f ca="1"/>
        <v>42.740001999999997</v>
      </c>
      <c r="G406" s="22">
        <f ca="1"/>
        <v>36.838943</v>
      </c>
      <c r="H406" s="69">
        <f ca="1"/>
        <v>24634000</v>
      </c>
      <c r="I406" s="23" t="str">
        <f t="shared" ca="1" si="13"/>
        <v/>
      </c>
    </row>
    <row r="407" spans="1:9" ht="13.8">
      <c r="A407" s="20">
        <f t="shared" ca="1" si="12"/>
        <v>41858</v>
      </c>
      <c r="B407" s="21" t="str">
        <f ca="1"/>
        <v>2014-08-07</v>
      </c>
      <c r="C407" s="22">
        <f ca="1"/>
        <v>42.84</v>
      </c>
      <c r="D407" s="22">
        <f ca="1"/>
        <v>43.450001</v>
      </c>
      <c r="E407" s="22">
        <f ca="1"/>
        <v>42.650002000000001</v>
      </c>
      <c r="F407" s="22">
        <f ca="1"/>
        <v>43.23</v>
      </c>
      <c r="G407" s="22">
        <f ca="1"/>
        <v>37.261294999999997</v>
      </c>
      <c r="H407" s="69">
        <f ca="1"/>
        <v>30314900</v>
      </c>
      <c r="I407" s="23" t="str">
        <f t="shared" ca="1" si="13"/>
        <v/>
      </c>
    </row>
    <row r="408" spans="1:9" ht="13.8">
      <c r="A408" s="20">
        <f t="shared" ca="1" si="12"/>
        <v>41859</v>
      </c>
      <c r="B408" s="21" t="str">
        <f ca="1"/>
        <v>2014-08-08</v>
      </c>
      <c r="C408" s="22">
        <f ca="1"/>
        <v>43.23</v>
      </c>
      <c r="D408" s="22">
        <f ca="1"/>
        <v>43.32</v>
      </c>
      <c r="E408" s="22">
        <f ca="1"/>
        <v>42.91</v>
      </c>
      <c r="F408" s="22">
        <f ca="1"/>
        <v>43.200001</v>
      </c>
      <c r="G408" s="22">
        <f ca="1"/>
        <v>37.235424000000002</v>
      </c>
      <c r="H408" s="69">
        <f ca="1"/>
        <v>28942700</v>
      </c>
      <c r="I408" s="23" t="str">
        <f t="shared" ca="1" si="13"/>
        <v/>
      </c>
    </row>
    <row r="409" spans="1:9" ht="13.8">
      <c r="A409" s="20">
        <f t="shared" ca="1" si="12"/>
        <v>41862</v>
      </c>
      <c r="B409" s="21" t="str">
        <f ca="1"/>
        <v>2014-08-11</v>
      </c>
      <c r="C409" s="22">
        <f ca="1"/>
        <v>43.259998000000003</v>
      </c>
      <c r="D409" s="22">
        <f ca="1"/>
        <v>43.450001</v>
      </c>
      <c r="E409" s="22">
        <f ca="1"/>
        <v>43.02</v>
      </c>
      <c r="F409" s="22">
        <f ca="1"/>
        <v>43.200001</v>
      </c>
      <c r="G409" s="22">
        <f ca="1"/>
        <v>37.235424000000002</v>
      </c>
      <c r="H409" s="69">
        <f ca="1"/>
        <v>20351600</v>
      </c>
      <c r="I409" s="23" t="str">
        <f t="shared" ca="1" si="13"/>
        <v/>
      </c>
    </row>
    <row r="410" spans="1:9" ht="13.8">
      <c r="A410" s="20">
        <f t="shared" ca="1" si="12"/>
        <v>41863</v>
      </c>
      <c r="B410" s="21" t="str">
        <f ca="1"/>
        <v>2014-08-12</v>
      </c>
      <c r="C410" s="22">
        <f ca="1"/>
        <v>43.040000999999997</v>
      </c>
      <c r="D410" s="22">
        <f ca="1"/>
        <v>43.59</v>
      </c>
      <c r="E410" s="22">
        <f ca="1"/>
        <v>43</v>
      </c>
      <c r="F410" s="22">
        <f ca="1"/>
        <v>43.52</v>
      </c>
      <c r="G410" s="22">
        <f ca="1"/>
        <v>37.511249999999997</v>
      </c>
      <c r="H410" s="69">
        <f ca="1"/>
        <v>21431100</v>
      </c>
      <c r="I410" s="23" t="str">
        <f t="shared" ca="1" si="13"/>
        <v/>
      </c>
    </row>
    <row r="411" spans="1:9" ht="13.8">
      <c r="A411" s="20">
        <f t="shared" ca="1" si="12"/>
        <v>41864</v>
      </c>
      <c r="B411" s="21" t="str">
        <f ca="1"/>
        <v>2014-08-13</v>
      </c>
      <c r="C411" s="22">
        <f ca="1"/>
        <v>43.68</v>
      </c>
      <c r="D411" s="22">
        <f ca="1"/>
        <v>44.18</v>
      </c>
      <c r="E411" s="22">
        <f ca="1"/>
        <v>43.52</v>
      </c>
      <c r="F411" s="22">
        <f ca="1"/>
        <v>44.080002</v>
      </c>
      <c r="G411" s="22">
        <f ca="1"/>
        <v>37.993931000000003</v>
      </c>
      <c r="H411" s="69">
        <f ca="1"/>
        <v>22889500</v>
      </c>
      <c r="I411" s="23" t="str">
        <f t="shared" ca="1" si="13"/>
        <v/>
      </c>
    </row>
    <row r="412" spans="1:9" ht="13.8">
      <c r="A412" s="20">
        <f t="shared" ca="1" si="12"/>
        <v>41865</v>
      </c>
      <c r="B412" s="21" t="str">
        <f ca="1"/>
        <v>2014-08-14</v>
      </c>
      <c r="C412" s="22">
        <f ca="1"/>
        <v>44.080002</v>
      </c>
      <c r="D412" s="22">
        <f ca="1"/>
        <v>44.419998</v>
      </c>
      <c r="E412" s="22">
        <f ca="1"/>
        <v>44.009998000000003</v>
      </c>
      <c r="F412" s="22">
        <f ca="1"/>
        <v>44.27</v>
      </c>
      <c r="G412" s="22">
        <f ca="1"/>
        <v>38.157684000000003</v>
      </c>
      <c r="H412" s="69">
        <f ca="1"/>
        <v>19313200</v>
      </c>
      <c r="I412" s="23" t="str">
        <f t="shared" ca="1" si="13"/>
        <v/>
      </c>
    </row>
    <row r="413" spans="1:9" ht="13.8">
      <c r="A413" s="20">
        <f t="shared" ca="1" si="12"/>
        <v>41866</v>
      </c>
      <c r="B413" s="21" t="str">
        <f ca="1"/>
        <v>2014-08-15</v>
      </c>
      <c r="C413" s="22">
        <f ca="1"/>
        <v>44.580002</v>
      </c>
      <c r="D413" s="22">
        <f ca="1"/>
        <v>44.900002000000001</v>
      </c>
      <c r="E413" s="22">
        <f ca="1"/>
        <v>44.400002000000001</v>
      </c>
      <c r="F413" s="22">
        <f ca="1"/>
        <v>44.790000999999997</v>
      </c>
      <c r="G413" s="22">
        <f ca="1"/>
        <v>38.605910999999999</v>
      </c>
      <c r="H413" s="69">
        <f ca="1"/>
        <v>41611300</v>
      </c>
      <c r="I413" s="23" t="str">
        <f t="shared" ca="1" si="13"/>
        <v/>
      </c>
    </row>
    <row r="414" spans="1:9" ht="13.8">
      <c r="A414" s="20">
        <f t="shared" ca="1" si="12"/>
        <v>41869</v>
      </c>
      <c r="B414" s="21" t="str">
        <f ca="1"/>
        <v>2014-08-18</v>
      </c>
      <c r="C414" s="22">
        <f ca="1"/>
        <v>44.939999</v>
      </c>
      <c r="D414" s="22">
        <f ca="1"/>
        <v>45.110000999999997</v>
      </c>
      <c r="E414" s="22">
        <f ca="1"/>
        <v>44.68</v>
      </c>
      <c r="F414" s="22">
        <f ca="1"/>
        <v>45.110000999999997</v>
      </c>
      <c r="G414" s="22">
        <f ca="1"/>
        <v>38.881720999999999</v>
      </c>
      <c r="H414" s="69">
        <f ca="1"/>
        <v>26891100</v>
      </c>
      <c r="I414" s="23" t="str">
        <f t="shared" ca="1" si="13"/>
        <v/>
      </c>
    </row>
    <row r="415" spans="1:9" ht="13.8">
      <c r="A415" s="20">
        <f t="shared" ca="1" si="12"/>
        <v>41870</v>
      </c>
      <c r="B415" s="21" t="str">
        <f ca="1"/>
        <v>2014-08-19</v>
      </c>
      <c r="C415" s="22">
        <f ca="1"/>
        <v>44.970001000000003</v>
      </c>
      <c r="D415" s="22">
        <f ca="1"/>
        <v>45.34</v>
      </c>
      <c r="E415" s="22">
        <f ca="1"/>
        <v>44.830002</v>
      </c>
      <c r="F415" s="22">
        <f ca="1"/>
        <v>45.330002</v>
      </c>
      <c r="G415" s="22">
        <f ca="1"/>
        <v>39.315376000000001</v>
      </c>
      <c r="H415" s="69">
        <f ca="1"/>
        <v>28139500</v>
      </c>
      <c r="I415" s="23">
        <f t="shared" ca="1" si="13"/>
        <v>0.28000000000000003</v>
      </c>
    </row>
    <row r="416" spans="1:9" ht="13.8">
      <c r="A416" s="20">
        <f t="shared" ca="1" si="12"/>
        <v>41871</v>
      </c>
      <c r="B416" s="21" t="str">
        <f ca="1"/>
        <v>2014-08-20</v>
      </c>
      <c r="C416" s="22">
        <f ca="1"/>
        <v>45.34</v>
      </c>
      <c r="D416" s="22">
        <f ca="1"/>
        <v>45.400002000000001</v>
      </c>
      <c r="E416" s="22">
        <f ca="1"/>
        <v>44.900002000000001</v>
      </c>
      <c r="F416" s="22">
        <f ca="1"/>
        <v>44.950001</v>
      </c>
      <c r="G416" s="22">
        <f ca="1"/>
        <v>38.985798000000003</v>
      </c>
      <c r="H416" s="69">
        <f ca="1"/>
        <v>24770500</v>
      </c>
      <c r="I416" s="23" t="str">
        <f t="shared" ca="1" si="13"/>
        <v/>
      </c>
    </row>
    <row r="417" spans="1:9" ht="13.8">
      <c r="A417" s="20">
        <f t="shared" ca="1" si="12"/>
        <v>41872</v>
      </c>
      <c r="B417" s="21" t="str">
        <f ca="1"/>
        <v>2014-08-21</v>
      </c>
      <c r="C417" s="22">
        <f ca="1"/>
        <v>44.84</v>
      </c>
      <c r="D417" s="22">
        <f ca="1"/>
        <v>45.25</v>
      </c>
      <c r="E417" s="22">
        <f ca="1"/>
        <v>44.830002</v>
      </c>
      <c r="F417" s="22">
        <f ca="1"/>
        <v>45.220001000000003</v>
      </c>
      <c r="G417" s="22">
        <f ca="1"/>
        <v>39.219974999999998</v>
      </c>
      <c r="H417" s="69">
        <f ca="1"/>
        <v>22285500</v>
      </c>
      <c r="I417" s="23" t="str">
        <f t="shared" ca="1" si="13"/>
        <v/>
      </c>
    </row>
    <row r="418" spans="1:9" ht="13.8">
      <c r="A418" s="20">
        <f t="shared" ca="1" si="12"/>
        <v>41873</v>
      </c>
      <c r="B418" s="21" t="str">
        <f ca="1"/>
        <v>2014-08-22</v>
      </c>
      <c r="C418" s="22">
        <f ca="1"/>
        <v>45.349997999999999</v>
      </c>
      <c r="D418" s="22">
        <f ca="1"/>
        <v>45.470001000000003</v>
      </c>
      <c r="E418" s="22">
        <f ca="1"/>
        <v>45.07</v>
      </c>
      <c r="F418" s="22">
        <f ca="1"/>
        <v>45.150002000000001</v>
      </c>
      <c r="G418" s="22">
        <f ca="1"/>
        <v>39.159264</v>
      </c>
      <c r="H418" s="69">
        <f ca="1"/>
        <v>18294500</v>
      </c>
      <c r="I418" s="23" t="str">
        <f t="shared" ca="1" si="13"/>
        <v/>
      </c>
    </row>
    <row r="419" spans="1:9" ht="13.8">
      <c r="A419" s="20">
        <f t="shared" ca="1" si="12"/>
        <v>41876</v>
      </c>
      <c r="B419" s="21" t="str">
        <f ca="1"/>
        <v>2014-08-25</v>
      </c>
      <c r="C419" s="22">
        <f ca="1"/>
        <v>45.400002000000001</v>
      </c>
      <c r="D419" s="22">
        <f ca="1"/>
        <v>45.439999</v>
      </c>
      <c r="E419" s="22">
        <f ca="1"/>
        <v>45.040000999999997</v>
      </c>
      <c r="F419" s="22">
        <f ca="1"/>
        <v>45.169998</v>
      </c>
      <c r="G419" s="22">
        <f ca="1"/>
        <v>39.176613000000003</v>
      </c>
      <c r="H419" s="69">
        <f ca="1"/>
        <v>16910000</v>
      </c>
      <c r="I419" s="23" t="str">
        <f t="shared" ca="1" si="13"/>
        <v/>
      </c>
    </row>
    <row r="420" spans="1:9" ht="13.8">
      <c r="A420" s="20">
        <f t="shared" ca="1" si="12"/>
        <v>41877</v>
      </c>
      <c r="B420" s="21" t="str">
        <f ca="1"/>
        <v>2014-08-26</v>
      </c>
      <c r="C420" s="22">
        <f ca="1"/>
        <v>45.310001</v>
      </c>
      <c r="D420" s="22">
        <f ca="1"/>
        <v>45.400002000000001</v>
      </c>
      <c r="E420" s="22">
        <f ca="1"/>
        <v>44.939999</v>
      </c>
      <c r="F420" s="22">
        <f ca="1"/>
        <v>45.009998000000003</v>
      </c>
      <c r="G420" s="22">
        <f ca="1"/>
        <v>39.037846000000002</v>
      </c>
      <c r="H420" s="69">
        <f ca="1"/>
        <v>14873100</v>
      </c>
      <c r="I420" s="23" t="str">
        <f t="shared" ca="1" si="13"/>
        <v/>
      </c>
    </row>
    <row r="421" spans="1:9" ht="13.8">
      <c r="A421" s="20">
        <f t="shared" ca="1" si="12"/>
        <v>41878</v>
      </c>
      <c r="B421" s="21" t="str">
        <f ca="1"/>
        <v>2014-08-27</v>
      </c>
      <c r="C421" s="22">
        <f ca="1"/>
        <v>44.900002000000001</v>
      </c>
      <c r="D421" s="22">
        <f ca="1"/>
        <v>45</v>
      </c>
      <c r="E421" s="22">
        <f ca="1"/>
        <v>44.759998000000003</v>
      </c>
      <c r="F421" s="22">
        <f ca="1"/>
        <v>44.869999</v>
      </c>
      <c r="G421" s="22">
        <f ca="1"/>
        <v>38.916404999999997</v>
      </c>
      <c r="H421" s="69">
        <f ca="1"/>
        <v>21287900</v>
      </c>
      <c r="I421" s="23" t="str">
        <f t="shared" ca="1" si="13"/>
        <v/>
      </c>
    </row>
    <row r="422" spans="1:9" ht="13.8">
      <c r="A422" s="20">
        <f t="shared" ca="1" si="12"/>
        <v>41879</v>
      </c>
      <c r="B422" s="21" t="str">
        <f ca="1"/>
        <v>2014-08-28</v>
      </c>
      <c r="C422" s="22">
        <f ca="1"/>
        <v>44.75</v>
      </c>
      <c r="D422" s="22">
        <f ca="1"/>
        <v>44.98</v>
      </c>
      <c r="E422" s="22">
        <f ca="1"/>
        <v>44.610000999999997</v>
      </c>
      <c r="F422" s="22">
        <f ca="1"/>
        <v>44.880001</v>
      </c>
      <c r="G422" s="22">
        <f ca="1"/>
        <v>38.925078999999997</v>
      </c>
      <c r="H422" s="69">
        <f ca="1"/>
        <v>17657600</v>
      </c>
      <c r="I422" s="23" t="str">
        <f t="shared" ca="1" si="13"/>
        <v/>
      </c>
    </row>
    <row r="423" spans="1:9" ht="13.8">
      <c r="A423" s="20">
        <f t="shared" ca="1" si="12"/>
        <v>41880</v>
      </c>
      <c r="B423" s="21" t="str">
        <f ca="1"/>
        <v>2014-08-29</v>
      </c>
      <c r="C423" s="22">
        <f ca="1"/>
        <v>45.09</v>
      </c>
      <c r="D423" s="22">
        <f ca="1"/>
        <v>45.439999</v>
      </c>
      <c r="E423" s="22">
        <f ca="1"/>
        <v>44.860000999999997</v>
      </c>
      <c r="F423" s="22">
        <f ca="1"/>
        <v>45.43</v>
      </c>
      <c r="G423" s="22">
        <f ca="1"/>
        <v>39.402099999999997</v>
      </c>
      <c r="H423" s="69">
        <f ca="1"/>
        <v>21607600</v>
      </c>
      <c r="I423" s="23" t="str">
        <f t="shared" ca="1" si="13"/>
        <v/>
      </c>
    </row>
    <row r="424" spans="1:9" ht="13.8">
      <c r="A424" s="20">
        <f t="shared" ca="1" si="12"/>
        <v>41884</v>
      </c>
      <c r="B424" s="21" t="str">
        <f ca="1"/>
        <v>2014-09-02</v>
      </c>
      <c r="C424" s="22">
        <f ca="1"/>
        <v>45.43</v>
      </c>
      <c r="D424" s="22">
        <f ca="1"/>
        <v>45.459999000000003</v>
      </c>
      <c r="E424" s="22">
        <f ca="1"/>
        <v>44.849997999999999</v>
      </c>
      <c r="F424" s="22">
        <f ca="1"/>
        <v>45.09</v>
      </c>
      <c r="G424" s="22">
        <f ca="1"/>
        <v>39.107224000000002</v>
      </c>
      <c r="H424" s="69">
        <f ca="1"/>
        <v>22976800</v>
      </c>
      <c r="I424" s="23" t="str">
        <f t="shared" ca="1" si="13"/>
        <v/>
      </c>
    </row>
    <row r="425" spans="1:9" ht="13.8">
      <c r="A425" s="20">
        <f t="shared" ca="1" si="12"/>
        <v>41885</v>
      </c>
      <c r="B425" s="21" t="str">
        <f ca="1"/>
        <v>2014-09-03</v>
      </c>
      <c r="C425" s="22">
        <f ca="1"/>
        <v>44.529998999999997</v>
      </c>
      <c r="D425" s="22">
        <f ca="1"/>
        <v>45.110000999999997</v>
      </c>
      <c r="E425" s="22">
        <f ca="1"/>
        <v>44.529998999999997</v>
      </c>
      <c r="F425" s="22">
        <f ca="1"/>
        <v>44.959999000000003</v>
      </c>
      <c r="G425" s="22">
        <f ca="1"/>
        <v>38.994472999999999</v>
      </c>
      <c r="H425" s="69">
        <f ca="1"/>
        <v>33684500</v>
      </c>
      <c r="I425" s="23" t="str">
        <f t="shared" ca="1" si="13"/>
        <v/>
      </c>
    </row>
    <row r="426" spans="1:9" ht="13.8">
      <c r="A426" s="20">
        <f t="shared" ca="1" si="12"/>
        <v>41886</v>
      </c>
      <c r="B426" s="21" t="str">
        <f ca="1"/>
        <v>2014-09-04</v>
      </c>
      <c r="C426" s="22">
        <f ca="1"/>
        <v>44.740001999999997</v>
      </c>
      <c r="D426" s="22">
        <f ca="1"/>
        <v>45.27</v>
      </c>
      <c r="E426" s="22">
        <f ca="1"/>
        <v>44.720001000000003</v>
      </c>
      <c r="F426" s="22">
        <f ca="1"/>
        <v>45.259998000000003</v>
      </c>
      <c r="G426" s="22">
        <f ca="1"/>
        <v>39.254669</v>
      </c>
      <c r="H426" s="69">
        <f ca="1"/>
        <v>26475500</v>
      </c>
      <c r="I426" s="23" t="str">
        <f t="shared" ca="1" si="13"/>
        <v/>
      </c>
    </row>
    <row r="427" spans="1:9" ht="13.8">
      <c r="A427" s="20">
        <f t="shared" ca="1" si="12"/>
        <v>41887</v>
      </c>
      <c r="B427" s="21" t="str">
        <f ca="1"/>
        <v>2014-09-05</v>
      </c>
      <c r="C427" s="22">
        <f ca="1"/>
        <v>45.110000999999997</v>
      </c>
      <c r="D427" s="22">
        <f ca="1"/>
        <v>45.93</v>
      </c>
      <c r="E427" s="22">
        <f ca="1"/>
        <v>45.110000999999997</v>
      </c>
      <c r="F427" s="22">
        <f ca="1"/>
        <v>45.91</v>
      </c>
      <c r="G427" s="22">
        <f ca="1"/>
        <v>39.818427999999997</v>
      </c>
      <c r="H427" s="69">
        <f ca="1"/>
        <v>36939400</v>
      </c>
      <c r="I427" s="23" t="str">
        <f t="shared" ca="1" si="13"/>
        <v/>
      </c>
    </row>
    <row r="428" spans="1:9" ht="13.8">
      <c r="A428" s="20">
        <f t="shared" ca="1" si="12"/>
        <v>41890</v>
      </c>
      <c r="B428" s="21" t="str">
        <f ca="1"/>
        <v>2014-09-08</v>
      </c>
      <c r="C428" s="22">
        <f ca="1"/>
        <v>46.02</v>
      </c>
      <c r="D428" s="22">
        <f ca="1"/>
        <v>46.799999</v>
      </c>
      <c r="E428" s="22">
        <f ca="1"/>
        <v>45.990001999999997</v>
      </c>
      <c r="F428" s="22">
        <f ca="1"/>
        <v>46.470001000000003</v>
      </c>
      <c r="G428" s="22">
        <f ca="1"/>
        <v>40.304122999999997</v>
      </c>
      <c r="H428" s="69">
        <f ca="1"/>
        <v>45736700</v>
      </c>
      <c r="I428" s="23" t="str">
        <f t="shared" ca="1" si="13"/>
        <v/>
      </c>
    </row>
    <row r="429" spans="1:9" ht="13.8">
      <c r="A429" s="20">
        <f t="shared" ca="1" si="12"/>
        <v>41891</v>
      </c>
      <c r="B429" s="21" t="str">
        <f ca="1"/>
        <v>2014-09-09</v>
      </c>
      <c r="C429" s="22">
        <f ca="1"/>
        <v>46.470001000000003</v>
      </c>
      <c r="D429" s="22">
        <f ca="1"/>
        <v>46.970001000000003</v>
      </c>
      <c r="E429" s="22">
        <f ca="1"/>
        <v>46.419998</v>
      </c>
      <c r="F429" s="22">
        <f ca="1"/>
        <v>46.759998000000003</v>
      </c>
      <c r="G429" s="22">
        <f ca="1"/>
        <v>40.555630000000001</v>
      </c>
      <c r="H429" s="69">
        <f ca="1"/>
        <v>40302400</v>
      </c>
      <c r="I429" s="23" t="str">
        <f t="shared" ca="1" si="13"/>
        <v/>
      </c>
    </row>
    <row r="430" spans="1:9" ht="13.8">
      <c r="A430" s="20">
        <f t="shared" ca="1" si="12"/>
        <v>41892</v>
      </c>
      <c r="B430" s="21" t="str">
        <f ca="1"/>
        <v>2014-09-10</v>
      </c>
      <c r="C430" s="22">
        <f ca="1"/>
        <v>46.82</v>
      </c>
      <c r="D430" s="22">
        <f ca="1"/>
        <v>46.939999</v>
      </c>
      <c r="E430" s="22">
        <f ca="1"/>
        <v>46.279998999999997</v>
      </c>
      <c r="F430" s="22">
        <f ca="1"/>
        <v>46.84</v>
      </c>
      <c r="G430" s="22">
        <f ca="1"/>
        <v>40.625027000000003</v>
      </c>
      <c r="H430" s="69">
        <f ca="1"/>
        <v>27302400</v>
      </c>
      <c r="I430" s="23" t="str">
        <f t="shared" ca="1" si="13"/>
        <v/>
      </c>
    </row>
    <row r="431" spans="1:9" ht="13.8">
      <c r="A431" s="20">
        <f t="shared" ca="1" si="12"/>
        <v>41893</v>
      </c>
      <c r="B431" s="21" t="str">
        <f ca="1"/>
        <v>2014-09-11</v>
      </c>
      <c r="C431" s="22">
        <f ca="1"/>
        <v>46.740001999999997</v>
      </c>
      <c r="D431" s="22">
        <f ca="1"/>
        <v>47</v>
      </c>
      <c r="E431" s="22">
        <f ca="1"/>
        <v>46.470001000000003</v>
      </c>
      <c r="F431" s="22">
        <f ca="1"/>
        <v>47</v>
      </c>
      <c r="G431" s="22">
        <f ca="1"/>
        <v>40.763793999999997</v>
      </c>
      <c r="H431" s="69">
        <f ca="1"/>
        <v>29216400</v>
      </c>
      <c r="I431" s="23" t="str">
        <f t="shared" ca="1" si="13"/>
        <v/>
      </c>
    </row>
    <row r="432" spans="1:9" ht="13.8">
      <c r="A432" s="20">
        <f t="shared" ca="1" si="12"/>
        <v>41894</v>
      </c>
      <c r="B432" s="21" t="str">
        <f ca="1"/>
        <v>2014-09-12</v>
      </c>
      <c r="C432" s="22">
        <f ca="1"/>
        <v>46.91</v>
      </c>
      <c r="D432" s="22">
        <f ca="1"/>
        <v>47.02</v>
      </c>
      <c r="E432" s="22">
        <f ca="1"/>
        <v>46.599997999999999</v>
      </c>
      <c r="F432" s="22">
        <f ca="1"/>
        <v>46.700001</v>
      </c>
      <c r="G432" s="22">
        <f ca="1"/>
        <v>40.503596999999999</v>
      </c>
      <c r="H432" s="69">
        <f ca="1"/>
        <v>38244700</v>
      </c>
      <c r="I432" s="23" t="str">
        <f t="shared" ca="1" si="13"/>
        <v/>
      </c>
    </row>
    <row r="433" spans="1:9" ht="13.8">
      <c r="A433" s="20">
        <f t="shared" ca="1" si="12"/>
        <v>41897</v>
      </c>
      <c r="B433" s="21" t="str">
        <f ca="1"/>
        <v>2014-09-15</v>
      </c>
      <c r="C433" s="22">
        <f ca="1"/>
        <v>46.540000999999997</v>
      </c>
      <c r="D433" s="22">
        <f ca="1"/>
        <v>46.709999000000003</v>
      </c>
      <c r="E433" s="22">
        <f ca="1"/>
        <v>46.099997999999999</v>
      </c>
      <c r="F433" s="22">
        <f ca="1"/>
        <v>46.240001999999997</v>
      </c>
      <c r="G433" s="22">
        <f ca="1"/>
        <v>40.104633</v>
      </c>
      <c r="H433" s="69">
        <f ca="1"/>
        <v>37667600</v>
      </c>
      <c r="I433" s="23" t="str">
        <f t="shared" ca="1" si="13"/>
        <v/>
      </c>
    </row>
    <row r="434" spans="1:9" ht="13.8">
      <c r="A434" s="20">
        <f t="shared" ca="1" si="12"/>
        <v>41898</v>
      </c>
      <c r="B434" s="21" t="str">
        <f ca="1"/>
        <v>2014-09-16</v>
      </c>
      <c r="C434" s="22">
        <f ca="1"/>
        <v>46.389999000000003</v>
      </c>
      <c r="D434" s="22">
        <f ca="1"/>
        <v>46.849997999999999</v>
      </c>
      <c r="E434" s="22">
        <f ca="1"/>
        <v>46.290000999999997</v>
      </c>
      <c r="F434" s="22">
        <f ca="1"/>
        <v>46.759998000000003</v>
      </c>
      <c r="G434" s="22">
        <f ca="1"/>
        <v>40.555630000000001</v>
      </c>
      <c r="H434" s="69">
        <f ca="1"/>
        <v>27910600</v>
      </c>
      <c r="I434" s="23" t="str">
        <f t="shared" ca="1" si="13"/>
        <v/>
      </c>
    </row>
    <row r="435" spans="1:9" ht="13.8">
      <c r="A435" s="20">
        <f t="shared" ca="1" si="12"/>
        <v>41899</v>
      </c>
      <c r="B435" s="21" t="str">
        <f ca="1"/>
        <v>2014-09-17</v>
      </c>
      <c r="C435" s="22">
        <f ca="1"/>
        <v>46.259998000000003</v>
      </c>
      <c r="D435" s="22">
        <f ca="1"/>
        <v>46.689999</v>
      </c>
      <c r="E435" s="22">
        <f ca="1"/>
        <v>46.23</v>
      </c>
      <c r="F435" s="22">
        <f ca="1"/>
        <v>46.52</v>
      </c>
      <c r="G435" s="22">
        <f ca="1"/>
        <v>40.347487999999998</v>
      </c>
      <c r="H435" s="69">
        <f ca="1"/>
        <v>38311900</v>
      </c>
      <c r="I435" s="23" t="str">
        <f t="shared" ca="1" si="13"/>
        <v/>
      </c>
    </row>
    <row r="436" spans="1:9" ht="13.8">
      <c r="A436" s="20">
        <f t="shared" ca="1" si="12"/>
        <v>41900</v>
      </c>
      <c r="B436" s="21" t="str">
        <f ca="1"/>
        <v>2014-09-18</v>
      </c>
      <c r="C436" s="22">
        <f ca="1"/>
        <v>46.59</v>
      </c>
      <c r="D436" s="22">
        <f ca="1"/>
        <v>46.830002</v>
      </c>
      <c r="E436" s="22">
        <f ca="1"/>
        <v>46.459999000000003</v>
      </c>
      <c r="F436" s="22">
        <f ca="1"/>
        <v>46.68</v>
      </c>
      <c r="G436" s="22">
        <f ca="1"/>
        <v>40.486263000000001</v>
      </c>
      <c r="H436" s="69">
        <f ca="1"/>
        <v>35556600</v>
      </c>
      <c r="I436" s="23" t="str">
        <f t="shared" ca="1" si="13"/>
        <v/>
      </c>
    </row>
    <row r="437" spans="1:9" ht="13.8">
      <c r="A437" s="20">
        <f t="shared" ca="1" si="12"/>
        <v>41901</v>
      </c>
      <c r="B437" s="21" t="str">
        <f ca="1"/>
        <v>2014-09-19</v>
      </c>
      <c r="C437" s="22">
        <f ca="1"/>
        <v>46.810001</v>
      </c>
      <c r="D437" s="22">
        <f ca="1"/>
        <v>47.57</v>
      </c>
      <c r="E437" s="22">
        <f ca="1"/>
        <v>46.599997999999999</v>
      </c>
      <c r="F437" s="22">
        <f ca="1"/>
        <v>47.52</v>
      </c>
      <c r="G437" s="22">
        <f ca="1"/>
        <v>41.214806000000003</v>
      </c>
      <c r="H437" s="69">
        <f ca="1"/>
        <v>202522400</v>
      </c>
      <c r="I437" s="23" t="str">
        <f t="shared" ca="1" si="13"/>
        <v/>
      </c>
    </row>
    <row r="438" spans="1:9" ht="13.8">
      <c r="A438" s="20">
        <f t="shared" ca="1" si="12"/>
        <v>41904</v>
      </c>
      <c r="B438" s="21" t="str">
        <f ca="1"/>
        <v>2014-09-22</v>
      </c>
      <c r="C438" s="22">
        <f ca="1"/>
        <v>47.299999</v>
      </c>
      <c r="D438" s="22">
        <f ca="1"/>
        <v>47.380001</v>
      </c>
      <c r="E438" s="22">
        <f ca="1"/>
        <v>46.98</v>
      </c>
      <c r="F438" s="22">
        <f ca="1"/>
        <v>47.060001</v>
      </c>
      <c r="G438" s="22">
        <f ca="1"/>
        <v>40.815829999999998</v>
      </c>
      <c r="H438" s="69">
        <f ca="1"/>
        <v>38686100</v>
      </c>
      <c r="I438" s="23" t="str">
        <f t="shared" ca="1" si="13"/>
        <v/>
      </c>
    </row>
    <row r="439" spans="1:9" ht="13.8">
      <c r="A439" s="20">
        <f t="shared" ca="1" si="12"/>
        <v>41905</v>
      </c>
      <c r="B439" s="21" t="str">
        <f ca="1"/>
        <v>2014-09-23</v>
      </c>
      <c r="C439" s="22">
        <f ca="1"/>
        <v>46.849997999999999</v>
      </c>
      <c r="D439" s="22">
        <f ca="1"/>
        <v>46.98</v>
      </c>
      <c r="E439" s="22">
        <f ca="1"/>
        <v>46.470001000000003</v>
      </c>
      <c r="F439" s="22">
        <f ca="1"/>
        <v>46.560001</v>
      </c>
      <c r="G439" s="22">
        <f ca="1"/>
        <v>40.382171999999997</v>
      </c>
      <c r="H439" s="69">
        <f ca="1"/>
        <v>33430300</v>
      </c>
      <c r="I439" s="23" t="str">
        <f t="shared" ca="1" si="13"/>
        <v/>
      </c>
    </row>
    <row r="440" spans="1:9" ht="13.8">
      <c r="A440" s="20">
        <f t="shared" ca="1" si="12"/>
        <v>41906</v>
      </c>
      <c r="B440" s="21" t="str">
        <f ca="1"/>
        <v>2014-09-24</v>
      </c>
      <c r="C440" s="22">
        <f ca="1"/>
        <v>46.630001</v>
      </c>
      <c r="D440" s="22">
        <f ca="1"/>
        <v>47.110000999999997</v>
      </c>
      <c r="E440" s="22">
        <f ca="1"/>
        <v>46.34</v>
      </c>
      <c r="F440" s="22">
        <f ca="1"/>
        <v>47.080002</v>
      </c>
      <c r="G440" s="22">
        <f ca="1"/>
        <v>40.833179000000001</v>
      </c>
      <c r="H440" s="69">
        <f ca="1"/>
        <v>26582700</v>
      </c>
      <c r="I440" s="23" t="str">
        <f t="shared" ca="1" si="13"/>
        <v/>
      </c>
    </row>
    <row r="441" spans="1:9" ht="13.8">
      <c r="A441" s="20">
        <f t="shared" ca="1" si="12"/>
        <v>41907</v>
      </c>
      <c r="B441" s="21" t="str">
        <f ca="1"/>
        <v>2014-09-25</v>
      </c>
      <c r="C441" s="22">
        <f ca="1"/>
        <v>46.880001</v>
      </c>
      <c r="D441" s="22">
        <f ca="1"/>
        <v>47.09</v>
      </c>
      <c r="E441" s="22">
        <f ca="1"/>
        <v>46.029998999999997</v>
      </c>
      <c r="F441" s="22">
        <f ca="1"/>
        <v>46.040000999999997</v>
      </c>
      <c r="G441" s="22">
        <f ca="1"/>
        <v>39.931170999999999</v>
      </c>
      <c r="H441" s="69">
        <f ca="1"/>
        <v>33077400</v>
      </c>
      <c r="I441" s="23" t="str">
        <f t="shared" ca="1" si="13"/>
        <v/>
      </c>
    </row>
    <row r="442" spans="1:9" ht="13.8">
      <c r="A442" s="20">
        <f t="shared" ca="1" si="12"/>
        <v>41908</v>
      </c>
      <c r="B442" s="21" t="str">
        <f ca="1"/>
        <v>2014-09-26</v>
      </c>
      <c r="C442" s="22">
        <f ca="1"/>
        <v>45.93</v>
      </c>
      <c r="D442" s="22">
        <f ca="1"/>
        <v>46.619999</v>
      </c>
      <c r="E442" s="22">
        <f ca="1"/>
        <v>45.759998000000003</v>
      </c>
      <c r="F442" s="22">
        <f ca="1"/>
        <v>46.41</v>
      </c>
      <c r="G442" s="22">
        <f ca="1"/>
        <v>40.252071000000001</v>
      </c>
      <c r="H442" s="69">
        <f ca="1"/>
        <v>27078800</v>
      </c>
      <c r="I442" s="23" t="str">
        <f t="shared" ca="1" si="13"/>
        <v/>
      </c>
    </row>
    <row r="443" spans="1:9" ht="13.8">
      <c r="A443" s="20">
        <f t="shared" ca="1" si="12"/>
        <v>41911</v>
      </c>
      <c r="B443" s="21" t="str">
        <f ca="1"/>
        <v>2014-09-29</v>
      </c>
      <c r="C443" s="22">
        <f ca="1"/>
        <v>45.98</v>
      </c>
      <c r="D443" s="22">
        <f ca="1"/>
        <v>46.560001</v>
      </c>
      <c r="E443" s="22">
        <f ca="1"/>
        <v>45.759998000000003</v>
      </c>
      <c r="F443" s="22">
        <f ca="1"/>
        <v>46.439999</v>
      </c>
      <c r="G443" s="22">
        <f ca="1"/>
        <v>40.278106999999999</v>
      </c>
      <c r="H443" s="69">
        <f ca="1"/>
        <v>26091000</v>
      </c>
      <c r="I443" s="23" t="str">
        <f t="shared" ca="1" si="13"/>
        <v/>
      </c>
    </row>
    <row r="444" spans="1:9" ht="13.8">
      <c r="A444" s="20">
        <f t="shared" ca="1" si="12"/>
        <v>41912</v>
      </c>
      <c r="B444" s="21" t="str">
        <f ca="1"/>
        <v>2014-09-30</v>
      </c>
      <c r="C444" s="22">
        <f ca="1"/>
        <v>46.369999</v>
      </c>
      <c r="D444" s="22">
        <f ca="1"/>
        <v>46.48</v>
      </c>
      <c r="E444" s="22">
        <f ca="1"/>
        <v>46.009998000000003</v>
      </c>
      <c r="F444" s="22">
        <f ca="1"/>
        <v>46.360000999999997</v>
      </c>
      <c r="G444" s="22">
        <f ca="1"/>
        <v>40.208702000000002</v>
      </c>
      <c r="H444" s="69">
        <f ca="1"/>
        <v>33033100</v>
      </c>
      <c r="I444" s="23" t="str">
        <f t="shared" ca="1" si="13"/>
        <v/>
      </c>
    </row>
    <row r="445" spans="1:9" ht="13.8">
      <c r="A445" s="20">
        <f t="shared" ca="1" si="12"/>
        <v>41913</v>
      </c>
      <c r="B445" s="21" t="str">
        <f ca="1"/>
        <v>2014-10-01</v>
      </c>
      <c r="C445" s="22">
        <f ca="1"/>
        <v>46.27</v>
      </c>
      <c r="D445" s="22">
        <f ca="1"/>
        <v>46.529998999999997</v>
      </c>
      <c r="E445" s="22">
        <f ca="1"/>
        <v>45.849997999999999</v>
      </c>
      <c r="F445" s="22">
        <f ca="1"/>
        <v>45.900002000000001</v>
      </c>
      <c r="G445" s="22">
        <f ca="1"/>
        <v>39.809756999999998</v>
      </c>
      <c r="H445" s="69">
        <f ca="1"/>
        <v>38088400</v>
      </c>
      <c r="I445" s="23" t="str">
        <f t="shared" ca="1" si="13"/>
        <v/>
      </c>
    </row>
    <row r="446" spans="1:9" ht="13.8">
      <c r="A446" s="20">
        <f t="shared" ca="1" si="12"/>
        <v>41914</v>
      </c>
      <c r="B446" s="21" t="str">
        <f ca="1"/>
        <v>2014-10-02</v>
      </c>
      <c r="C446" s="22">
        <f ca="1"/>
        <v>45.830002</v>
      </c>
      <c r="D446" s="22">
        <f ca="1"/>
        <v>46.099997999999999</v>
      </c>
      <c r="E446" s="22">
        <f ca="1"/>
        <v>45.639999000000003</v>
      </c>
      <c r="F446" s="22">
        <f ca="1"/>
        <v>45.759998000000003</v>
      </c>
      <c r="G446" s="22">
        <f ca="1"/>
        <v>39.688319999999997</v>
      </c>
      <c r="H446" s="69">
        <f ca="1"/>
        <v>25119400</v>
      </c>
      <c r="I446" s="23" t="str">
        <f t="shared" ca="1" si="13"/>
        <v/>
      </c>
    </row>
    <row r="447" spans="1:9" ht="13.8">
      <c r="A447" s="20">
        <f t="shared" ca="1" si="12"/>
        <v>41915</v>
      </c>
      <c r="B447" s="21" t="str">
        <f ca="1"/>
        <v>2014-10-03</v>
      </c>
      <c r="C447" s="22">
        <f ca="1"/>
        <v>45.98</v>
      </c>
      <c r="D447" s="22">
        <f ca="1"/>
        <v>46.299999</v>
      </c>
      <c r="E447" s="22">
        <f ca="1"/>
        <v>45.610000999999997</v>
      </c>
      <c r="F447" s="22">
        <f ca="1"/>
        <v>46.09</v>
      </c>
      <c r="G447" s="22">
        <f ca="1"/>
        <v>39.974533000000001</v>
      </c>
      <c r="H447" s="69">
        <f ca="1"/>
        <v>32453200</v>
      </c>
      <c r="I447" s="23" t="str">
        <f t="shared" ca="1" si="13"/>
        <v/>
      </c>
    </row>
    <row r="448" spans="1:9" ht="13.8">
      <c r="A448" s="20">
        <f t="shared" ca="1" si="12"/>
        <v>41918</v>
      </c>
      <c r="B448" s="21" t="str">
        <f ca="1"/>
        <v>2014-10-06</v>
      </c>
      <c r="C448" s="22">
        <f ca="1"/>
        <v>46.119999</v>
      </c>
      <c r="D448" s="22">
        <f ca="1"/>
        <v>46.299999</v>
      </c>
      <c r="E448" s="22">
        <f ca="1"/>
        <v>45.919998</v>
      </c>
      <c r="F448" s="22">
        <f ca="1"/>
        <v>46.09</v>
      </c>
      <c r="G448" s="22">
        <f ca="1"/>
        <v>39.974533000000001</v>
      </c>
      <c r="H448" s="69">
        <f ca="1"/>
        <v>20604000</v>
      </c>
      <c r="I448" s="23" t="str">
        <f t="shared" ca="1" si="13"/>
        <v/>
      </c>
    </row>
    <row r="449" spans="1:9" ht="13.8">
      <c r="A449" s="20">
        <f t="shared" ca="1" si="12"/>
        <v>41919</v>
      </c>
      <c r="B449" s="21" t="str">
        <f ca="1"/>
        <v>2014-10-07</v>
      </c>
      <c r="C449" s="22">
        <f ca="1"/>
        <v>45.860000999999997</v>
      </c>
      <c r="D449" s="22">
        <f ca="1"/>
        <v>45.93</v>
      </c>
      <c r="E449" s="22">
        <f ca="1"/>
        <v>45.419998</v>
      </c>
      <c r="F449" s="22">
        <f ca="1"/>
        <v>45.529998999999997</v>
      </c>
      <c r="G449" s="22">
        <f ca="1"/>
        <v>39.488841999999998</v>
      </c>
      <c r="H449" s="69">
        <f ca="1"/>
        <v>25723700</v>
      </c>
      <c r="I449" s="23" t="str">
        <f t="shared" ca="1" si="13"/>
        <v/>
      </c>
    </row>
    <row r="450" spans="1:9" ht="13.8">
      <c r="A450" s="20">
        <f t="shared" ca="1" si="12"/>
        <v>41920</v>
      </c>
      <c r="B450" s="21" t="str">
        <f ca="1"/>
        <v>2014-10-08</v>
      </c>
      <c r="C450" s="22">
        <f ca="1"/>
        <v>45.48</v>
      </c>
      <c r="D450" s="22">
        <f ca="1"/>
        <v>46.889999000000003</v>
      </c>
      <c r="E450" s="22">
        <f ca="1"/>
        <v>45.34</v>
      </c>
      <c r="F450" s="22">
        <f ca="1"/>
        <v>46.779998999999997</v>
      </c>
      <c r="G450" s="22">
        <f ca="1"/>
        <v>40.572986999999998</v>
      </c>
      <c r="H450" s="69">
        <f ca="1"/>
        <v>33031000</v>
      </c>
      <c r="I450" s="23" t="str">
        <f t="shared" ca="1" si="13"/>
        <v/>
      </c>
    </row>
    <row r="451" spans="1:9" ht="13.8">
      <c r="A451" s="20">
        <f t="shared" ca="1" si="12"/>
        <v>41921</v>
      </c>
      <c r="B451" s="21" t="str">
        <f ca="1"/>
        <v>2014-10-09</v>
      </c>
      <c r="C451" s="22">
        <f ca="1"/>
        <v>46.5</v>
      </c>
      <c r="D451" s="22">
        <f ca="1"/>
        <v>46.799999</v>
      </c>
      <c r="E451" s="22">
        <f ca="1"/>
        <v>45.740001999999997</v>
      </c>
      <c r="F451" s="22">
        <f ca="1"/>
        <v>45.849997999999999</v>
      </c>
      <c r="G451" s="22">
        <f ca="1"/>
        <v>39.766384000000002</v>
      </c>
      <c r="H451" s="69">
        <f ca="1"/>
        <v>34422800</v>
      </c>
      <c r="I451" s="23" t="str">
        <f t="shared" ca="1" si="13"/>
        <v/>
      </c>
    </row>
    <row r="452" spans="1:9" ht="13.8">
      <c r="A452" s="20">
        <f t="shared" ca="1" si="12"/>
        <v>41922</v>
      </c>
      <c r="B452" s="21" t="str">
        <f ca="1"/>
        <v>2014-10-10</v>
      </c>
      <c r="C452" s="22">
        <f ca="1"/>
        <v>45.599997999999999</v>
      </c>
      <c r="D452" s="22">
        <f ca="1"/>
        <v>46.119999</v>
      </c>
      <c r="E452" s="22">
        <f ca="1"/>
        <v>43.950001</v>
      </c>
      <c r="F452" s="22">
        <f ca="1"/>
        <v>44.029998999999997</v>
      </c>
      <c r="G452" s="22">
        <f ca="1"/>
        <v>38.187859000000003</v>
      </c>
      <c r="H452" s="69">
        <f ca="1"/>
        <v>51978100</v>
      </c>
      <c r="I452" s="23" t="str">
        <f t="shared" ca="1" si="13"/>
        <v/>
      </c>
    </row>
    <row r="453" spans="1:9" ht="13.8">
      <c r="A453" s="20">
        <f t="shared" ca="1" si="12"/>
        <v>41925</v>
      </c>
      <c r="B453" s="21" t="str">
        <f ca="1"/>
        <v>2014-10-13</v>
      </c>
      <c r="C453" s="22">
        <f ca="1"/>
        <v>43.82</v>
      </c>
      <c r="D453" s="22">
        <f ca="1"/>
        <v>44.560001</v>
      </c>
      <c r="E453" s="22">
        <f ca="1"/>
        <v>43.490001999999997</v>
      </c>
      <c r="F453" s="22">
        <f ca="1"/>
        <v>43.650002000000001</v>
      </c>
      <c r="G453" s="22">
        <f ca="1"/>
        <v>37.858280000000001</v>
      </c>
      <c r="H453" s="69">
        <f ca="1"/>
        <v>37100200</v>
      </c>
      <c r="I453" s="23" t="str">
        <f t="shared" ca="1" si="13"/>
        <v/>
      </c>
    </row>
    <row r="454" spans="1:9" ht="13.8">
      <c r="A454" s="20">
        <f t="shared" ref="A454:A517" ca="1" si="14">IFERROR(DATEVALUE($B454),"--")</f>
        <v>41926</v>
      </c>
      <c r="B454" s="21" t="str">
        <f ca="1"/>
        <v>2014-10-14</v>
      </c>
      <c r="C454" s="22">
        <f ca="1"/>
        <v>43.869999</v>
      </c>
      <c r="D454" s="22">
        <f ca="1"/>
        <v>44.380001</v>
      </c>
      <c r="E454" s="22">
        <f ca="1"/>
        <v>43.560001</v>
      </c>
      <c r="F454" s="22">
        <f ca="1"/>
        <v>43.73</v>
      </c>
      <c r="G454" s="22">
        <f ca="1"/>
        <v>37.927669999999999</v>
      </c>
      <c r="H454" s="69">
        <f ca="1"/>
        <v>38115700</v>
      </c>
      <c r="I454" s="23" t="str">
        <f t="shared" ref="I454:I517" ca="1" si="15">IFERROR(IF(Ticker&lt;&gt;$Q$2,"",INDEX($P:$P,MATCH($A454,$O:$O,0))),"")</f>
        <v/>
      </c>
    </row>
    <row r="455" spans="1:9" ht="13.8">
      <c r="A455" s="20">
        <f t="shared" ca="1" si="14"/>
        <v>41927</v>
      </c>
      <c r="B455" s="21" t="str">
        <f ca="1"/>
        <v>2014-10-15</v>
      </c>
      <c r="C455" s="22">
        <f ca="1"/>
        <v>43</v>
      </c>
      <c r="D455" s="22">
        <f ca="1"/>
        <v>43.389999000000003</v>
      </c>
      <c r="E455" s="22">
        <f ca="1"/>
        <v>42.099997999999999</v>
      </c>
      <c r="F455" s="22">
        <f ca="1"/>
        <v>43.220001000000003</v>
      </c>
      <c r="G455" s="22">
        <f ca="1"/>
        <v>37.485335999999997</v>
      </c>
      <c r="H455" s="69">
        <f ca="1"/>
        <v>60218700</v>
      </c>
      <c r="I455" s="23" t="str">
        <f t="shared" ca="1" si="15"/>
        <v/>
      </c>
    </row>
    <row r="456" spans="1:9" ht="13.8">
      <c r="A456" s="20">
        <f t="shared" ca="1" si="14"/>
        <v>41928</v>
      </c>
      <c r="B456" s="21" t="str">
        <f ca="1"/>
        <v>2014-10-16</v>
      </c>
      <c r="C456" s="22">
        <f ca="1"/>
        <v>42.529998999999997</v>
      </c>
      <c r="D456" s="22">
        <f ca="1"/>
        <v>43.080002</v>
      </c>
      <c r="E456" s="22">
        <f ca="1"/>
        <v>42.220001000000003</v>
      </c>
      <c r="F456" s="22">
        <f ca="1"/>
        <v>42.740001999999997</v>
      </c>
      <c r="G456" s="22">
        <f ca="1"/>
        <v>37.069037999999999</v>
      </c>
      <c r="H456" s="69">
        <f ca="1"/>
        <v>49040400</v>
      </c>
      <c r="I456" s="23" t="str">
        <f t="shared" ca="1" si="15"/>
        <v/>
      </c>
    </row>
    <row r="457" spans="1:9" ht="13.8">
      <c r="A457" s="20">
        <f t="shared" ca="1" si="14"/>
        <v>41929</v>
      </c>
      <c r="B457" s="21" t="str">
        <f ca="1"/>
        <v>2014-10-17</v>
      </c>
      <c r="C457" s="22">
        <f ca="1"/>
        <v>43.200001</v>
      </c>
      <c r="D457" s="22">
        <f ca="1"/>
        <v>43.939999</v>
      </c>
      <c r="E457" s="22">
        <f ca="1"/>
        <v>42.790000999999997</v>
      </c>
      <c r="F457" s="22">
        <f ca="1"/>
        <v>43.630001</v>
      </c>
      <c r="G457" s="22">
        <f ca="1"/>
        <v>37.840946000000002</v>
      </c>
      <c r="H457" s="69">
        <f ca="1"/>
        <v>40683300</v>
      </c>
      <c r="I457" s="23" t="str">
        <f t="shared" ca="1" si="15"/>
        <v/>
      </c>
    </row>
    <row r="458" spans="1:9" ht="13.8">
      <c r="A458" s="20">
        <f t="shared" ca="1" si="14"/>
        <v>41932</v>
      </c>
      <c r="B458" s="21" t="str">
        <f ca="1"/>
        <v>2014-10-20</v>
      </c>
      <c r="C458" s="22">
        <f ca="1"/>
        <v>43.060001</v>
      </c>
      <c r="D458" s="22">
        <f ca="1"/>
        <v>44.139999000000003</v>
      </c>
      <c r="E458" s="22">
        <f ca="1"/>
        <v>42.810001</v>
      </c>
      <c r="F458" s="22">
        <f ca="1"/>
        <v>44.080002</v>
      </c>
      <c r="G458" s="22">
        <f ca="1"/>
        <v>38.231239000000002</v>
      </c>
      <c r="H458" s="69">
        <f ca="1"/>
        <v>34527900</v>
      </c>
      <c r="I458" s="23" t="str">
        <f t="shared" ca="1" si="15"/>
        <v/>
      </c>
    </row>
    <row r="459" spans="1:9" ht="13.8">
      <c r="A459" s="20">
        <f t="shared" ca="1" si="14"/>
        <v>41933</v>
      </c>
      <c r="B459" s="21" t="str">
        <f ca="1"/>
        <v>2014-10-21</v>
      </c>
      <c r="C459" s="22">
        <f ca="1"/>
        <v>44.360000999999997</v>
      </c>
      <c r="D459" s="22">
        <f ca="1"/>
        <v>44.98</v>
      </c>
      <c r="E459" s="22">
        <f ca="1"/>
        <v>44.189999</v>
      </c>
      <c r="F459" s="22">
        <f ca="1"/>
        <v>44.880001</v>
      </c>
      <c r="G459" s="22">
        <f ca="1"/>
        <v>38.925078999999997</v>
      </c>
      <c r="H459" s="69">
        <f ca="1"/>
        <v>36433800</v>
      </c>
      <c r="I459" s="23" t="str">
        <f t="shared" ca="1" si="15"/>
        <v/>
      </c>
    </row>
    <row r="460" spans="1:9" ht="13.8">
      <c r="A460" s="20">
        <f t="shared" ca="1" si="14"/>
        <v>41934</v>
      </c>
      <c r="B460" s="21" t="str">
        <f ca="1"/>
        <v>2014-10-22</v>
      </c>
      <c r="C460" s="22">
        <f ca="1"/>
        <v>45</v>
      </c>
      <c r="D460" s="22">
        <f ca="1"/>
        <v>45.07</v>
      </c>
      <c r="E460" s="22">
        <f ca="1"/>
        <v>44.23</v>
      </c>
      <c r="F460" s="22">
        <f ca="1"/>
        <v>44.380001</v>
      </c>
      <c r="G460" s="22">
        <f ca="1"/>
        <v>38.491425</v>
      </c>
      <c r="H460" s="69">
        <f ca="1"/>
        <v>33570900</v>
      </c>
      <c r="I460" s="23" t="str">
        <f t="shared" ca="1" si="15"/>
        <v/>
      </c>
    </row>
    <row r="461" spans="1:9" ht="13.8">
      <c r="A461" s="20">
        <f t="shared" ca="1" si="14"/>
        <v>41935</v>
      </c>
      <c r="B461" s="21" t="str">
        <f ca="1"/>
        <v>2014-10-23</v>
      </c>
      <c r="C461" s="22">
        <f ca="1"/>
        <v>44.619999</v>
      </c>
      <c r="D461" s="22">
        <f ca="1"/>
        <v>45.450001</v>
      </c>
      <c r="E461" s="22">
        <f ca="1"/>
        <v>44.529998999999997</v>
      </c>
      <c r="F461" s="22">
        <f ca="1"/>
        <v>45.02</v>
      </c>
      <c r="G461" s="22">
        <f ca="1"/>
        <v>39.046515999999997</v>
      </c>
      <c r="H461" s="69">
        <f ca="1"/>
        <v>45451900</v>
      </c>
      <c r="I461" s="23" t="str">
        <f t="shared" ca="1" si="15"/>
        <v/>
      </c>
    </row>
    <row r="462" spans="1:9" ht="13.8">
      <c r="A462" s="20">
        <f t="shared" ca="1" si="14"/>
        <v>41936</v>
      </c>
      <c r="B462" s="21" t="str">
        <f ca="1"/>
        <v>2014-10-24</v>
      </c>
      <c r="C462" s="22">
        <f ca="1"/>
        <v>46.830002</v>
      </c>
      <c r="D462" s="22">
        <f ca="1"/>
        <v>46.900002000000001</v>
      </c>
      <c r="E462" s="22">
        <f ca="1"/>
        <v>45.18</v>
      </c>
      <c r="F462" s="22">
        <f ca="1"/>
        <v>46.130001</v>
      </c>
      <c r="G462" s="22">
        <f ca="1"/>
        <v>40.009234999999997</v>
      </c>
      <c r="H462" s="69">
        <f ca="1"/>
        <v>61076700</v>
      </c>
      <c r="I462" s="23" t="str">
        <f t="shared" ca="1" si="15"/>
        <v/>
      </c>
    </row>
    <row r="463" spans="1:9" ht="13.8">
      <c r="A463" s="20">
        <f t="shared" ca="1" si="14"/>
        <v>41939</v>
      </c>
      <c r="B463" s="21" t="str">
        <f ca="1"/>
        <v>2014-10-27</v>
      </c>
      <c r="C463" s="22">
        <f ca="1"/>
        <v>45.709999000000003</v>
      </c>
      <c r="D463" s="22">
        <f ca="1"/>
        <v>46.099997999999999</v>
      </c>
      <c r="E463" s="22">
        <f ca="1"/>
        <v>45.709999000000003</v>
      </c>
      <c r="F463" s="22">
        <f ca="1"/>
        <v>45.91</v>
      </c>
      <c r="G463" s="22">
        <f ca="1"/>
        <v>39.818427999999997</v>
      </c>
      <c r="H463" s="69">
        <f ca="1"/>
        <v>30371300</v>
      </c>
      <c r="I463" s="23" t="str">
        <f t="shared" ca="1" si="15"/>
        <v/>
      </c>
    </row>
    <row r="464" spans="1:9" ht="13.8">
      <c r="A464" s="20">
        <f t="shared" ca="1" si="14"/>
        <v>41940</v>
      </c>
      <c r="B464" s="21" t="str">
        <f ca="1"/>
        <v>2014-10-28</v>
      </c>
      <c r="C464" s="22">
        <f ca="1"/>
        <v>45.860000999999997</v>
      </c>
      <c r="D464" s="22">
        <f ca="1"/>
        <v>46.5</v>
      </c>
      <c r="E464" s="22">
        <f ca="1"/>
        <v>45.77</v>
      </c>
      <c r="F464" s="22">
        <f ca="1"/>
        <v>46.490001999999997</v>
      </c>
      <c r="G464" s="22">
        <f ca="1"/>
        <v>40.321460999999999</v>
      </c>
      <c r="H464" s="69">
        <f ca="1"/>
        <v>29049800</v>
      </c>
      <c r="I464" s="23" t="str">
        <f t="shared" ca="1" si="15"/>
        <v/>
      </c>
    </row>
    <row r="465" spans="1:9" ht="13.8">
      <c r="A465" s="20">
        <f t="shared" ca="1" si="14"/>
        <v>41941</v>
      </c>
      <c r="B465" s="21" t="str">
        <f ca="1"/>
        <v>2014-10-29</v>
      </c>
      <c r="C465" s="22">
        <f ca="1"/>
        <v>46.439999</v>
      </c>
      <c r="D465" s="22">
        <f ca="1"/>
        <v>46.700001</v>
      </c>
      <c r="E465" s="22">
        <f ca="1"/>
        <v>46.34</v>
      </c>
      <c r="F465" s="22">
        <f ca="1"/>
        <v>46.619999</v>
      </c>
      <c r="G465" s="22">
        <f ca="1"/>
        <v>40.434215999999999</v>
      </c>
      <c r="H465" s="69">
        <f ca="1"/>
        <v>30276100</v>
      </c>
      <c r="I465" s="23" t="str">
        <f t="shared" ca="1" si="15"/>
        <v/>
      </c>
    </row>
    <row r="466" spans="1:9" ht="13.8">
      <c r="A466" s="20">
        <f t="shared" ca="1" si="14"/>
        <v>41942</v>
      </c>
      <c r="B466" s="21" t="str">
        <f ca="1"/>
        <v>2014-10-30</v>
      </c>
      <c r="C466" s="22">
        <f ca="1"/>
        <v>46.32</v>
      </c>
      <c r="D466" s="22">
        <f ca="1"/>
        <v>46.32</v>
      </c>
      <c r="E466" s="22">
        <f ca="1"/>
        <v>45.77</v>
      </c>
      <c r="F466" s="22">
        <f ca="1"/>
        <v>46.049999</v>
      </c>
      <c r="G466" s="22">
        <f ca="1"/>
        <v>39.939846000000003</v>
      </c>
      <c r="H466" s="69">
        <f ca="1"/>
        <v>30073900</v>
      </c>
      <c r="I466" s="23" t="str">
        <f t="shared" ca="1" si="15"/>
        <v/>
      </c>
    </row>
    <row r="467" spans="1:9" ht="13.8">
      <c r="A467" s="20">
        <f t="shared" ca="1" si="14"/>
        <v>41943</v>
      </c>
      <c r="B467" s="21" t="str">
        <f ca="1"/>
        <v>2014-10-31</v>
      </c>
      <c r="C467" s="22">
        <f ca="1"/>
        <v>46.939999</v>
      </c>
      <c r="D467" s="22">
        <f ca="1"/>
        <v>46.970001000000003</v>
      </c>
      <c r="E467" s="22">
        <f ca="1"/>
        <v>46.48</v>
      </c>
      <c r="F467" s="22">
        <f ca="1"/>
        <v>46.950001</v>
      </c>
      <c r="G467" s="22">
        <f ca="1"/>
        <v>40.720435999999999</v>
      </c>
      <c r="H467" s="69">
        <f ca="1"/>
        <v>35849700</v>
      </c>
      <c r="I467" s="23" t="str">
        <f t="shared" ca="1" si="15"/>
        <v/>
      </c>
    </row>
    <row r="468" spans="1:9" ht="13.8">
      <c r="A468" s="20">
        <f t="shared" ca="1" si="14"/>
        <v>41946</v>
      </c>
      <c r="B468" s="21" t="str">
        <f ca="1"/>
        <v>2014-11-03</v>
      </c>
      <c r="C468" s="22">
        <f ca="1"/>
        <v>46.889999000000003</v>
      </c>
      <c r="D468" s="22">
        <f ca="1"/>
        <v>47.459999000000003</v>
      </c>
      <c r="E468" s="22">
        <f ca="1"/>
        <v>46.73</v>
      </c>
      <c r="F468" s="22">
        <f ca="1"/>
        <v>47.439999</v>
      </c>
      <c r="G468" s="22">
        <f ca="1"/>
        <v>41.145409000000001</v>
      </c>
      <c r="H468" s="69">
        <f ca="1"/>
        <v>23130400</v>
      </c>
      <c r="I468" s="23" t="str">
        <f t="shared" ca="1" si="15"/>
        <v/>
      </c>
    </row>
    <row r="469" spans="1:9" ht="13.8">
      <c r="A469" s="20">
        <f t="shared" ca="1" si="14"/>
        <v>41947</v>
      </c>
      <c r="B469" s="21" t="str">
        <f ca="1"/>
        <v>2014-11-04</v>
      </c>
      <c r="C469" s="22">
        <f ca="1"/>
        <v>47.299999</v>
      </c>
      <c r="D469" s="22">
        <f ca="1"/>
        <v>47.73</v>
      </c>
      <c r="E469" s="22">
        <f ca="1"/>
        <v>47.25</v>
      </c>
      <c r="F469" s="22">
        <f ca="1"/>
        <v>47.57</v>
      </c>
      <c r="G469" s="22">
        <f ca="1"/>
        <v>41.258163000000003</v>
      </c>
      <c r="H469" s="69">
        <f ca="1"/>
        <v>21530800</v>
      </c>
      <c r="I469" s="23" t="str">
        <f t="shared" ca="1" si="15"/>
        <v/>
      </c>
    </row>
    <row r="470" spans="1:9" ht="13.8">
      <c r="A470" s="20">
        <f t="shared" ca="1" si="14"/>
        <v>41948</v>
      </c>
      <c r="B470" s="21" t="str">
        <f ca="1"/>
        <v>2014-11-05</v>
      </c>
      <c r="C470" s="22">
        <f ca="1"/>
        <v>47.799999</v>
      </c>
      <c r="D470" s="22">
        <f ca="1"/>
        <v>47.900002000000001</v>
      </c>
      <c r="E470" s="22">
        <f ca="1"/>
        <v>47.259998000000003</v>
      </c>
      <c r="F470" s="22">
        <f ca="1"/>
        <v>47.860000999999997</v>
      </c>
      <c r="G470" s="22">
        <f ca="1"/>
        <v>41.509673999999997</v>
      </c>
      <c r="H470" s="69">
        <f ca="1"/>
        <v>22449600</v>
      </c>
      <c r="I470" s="23" t="str">
        <f t="shared" ca="1" si="15"/>
        <v/>
      </c>
    </row>
    <row r="471" spans="1:9" ht="13.8">
      <c r="A471" s="20">
        <f t="shared" ca="1" si="14"/>
        <v>41949</v>
      </c>
      <c r="B471" s="21" t="str">
        <f ca="1"/>
        <v>2014-11-06</v>
      </c>
      <c r="C471" s="22">
        <f ca="1"/>
        <v>47.860000999999997</v>
      </c>
      <c r="D471" s="22">
        <f ca="1"/>
        <v>48.860000999999997</v>
      </c>
      <c r="E471" s="22">
        <f ca="1"/>
        <v>47.790000999999997</v>
      </c>
      <c r="F471" s="22">
        <f ca="1"/>
        <v>48.700001</v>
      </c>
      <c r="G471" s="22">
        <f ca="1"/>
        <v>42.238231999999996</v>
      </c>
      <c r="H471" s="69">
        <f ca="1"/>
        <v>33037800</v>
      </c>
      <c r="I471" s="23" t="str">
        <f t="shared" ca="1" si="15"/>
        <v/>
      </c>
    </row>
    <row r="472" spans="1:9" ht="13.8">
      <c r="A472" s="20">
        <f t="shared" ca="1" si="14"/>
        <v>41950</v>
      </c>
      <c r="B472" s="21" t="str">
        <f ca="1"/>
        <v>2014-11-07</v>
      </c>
      <c r="C472" s="22">
        <f ca="1"/>
        <v>48.919998</v>
      </c>
      <c r="D472" s="22">
        <f ca="1"/>
        <v>48.919998</v>
      </c>
      <c r="E472" s="22">
        <f ca="1"/>
        <v>48.290000999999997</v>
      </c>
      <c r="F472" s="22">
        <f ca="1"/>
        <v>48.68</v>
      </c>
      <c r="G472" s="22">
        <f ca="1"/>
        <v>42.220886</v>
      </c>
      <c r="H472" s="69">
        <f ca="1"/>
        <v>28000600</v>
      </c>
      <c r="I472" s="23" t="str">
        <f t="shared" ca="1" si="15"/>
        <v/>
      </c>
    </row>
    <row r="473" spans="1:9" ht="13.8">
      <c r="A473" s="20">
        <f t="shared" ca="1" si="14"/>
        <v>41953</v>
      </c>
      <c r="B473" s="21" t="str">
        <f ca="1"/>
        <v>2014-11-10</v>
      </c>
      <c r="C473" s="22">
        <f ca="1"/>
        <v>48.650002000000001</v>
      </c>
      <c r="D473" s="22">
        <f ca="1"/>
        <v>49.150002000000001</v>
      </c>
      <c r="E473" s="22">
        <f ca="1"/>
        <v>48.549999</v>
      </c>
      <c r="F473" s="22">
        <f ca="1"/>
        <v>48.889999000000003</v>
      </c>
      <c r="G473" s="22">
        <f ca="1"/>
        <v>42.403015000000003</v>
      </c>
      <c r="H473" s="69">
        <f ca="1"/>
        <v>36370100</v>
      </c>
      <c r="I473" s="23" t="str">
        <f t="shared" ca="1" si="15"/>
        <v/>
      </c>
    </row>
    <row r="474" spans="1:9" ht="13.8">
      <c r="A474" s="20">
        <f t="shared" ca="1" si="14"/>
        <v>41954</v>
      </c>
      <c r="B474" s="21" t="str">
        <f ca="1"/>
        <v>2014-11-11</v>
      </c>
      <c r="C474" s="22">
        <f ca="1"/>
        <v>48.849997999999999</v>
      </c>
      <c r="D474" s="22">
        <f ca="1"/>
        <v>48.950001</v>
      </c>
      <c r="E474" s="22">
        <f ca="1"/>
        <v>48.650002000000001</v>
      </c>
      <c r="F474" s="22">
        <f ca="1"/>
        <v>48.869999</v>
      </c>
      <c r="G474" s="22">
        <f ca="1"/>
        <v>42.385674000000002</v>
      </c>
      <c r="H474" s="69">
        <f ca="1"/>
        <v>23445200</v>
      </c>
      <c r="I474" s="23" t="str">
        <f t="shared" ca="1" si="15"/>
        <v/>
      </c>
    </row>
    <row r="475" spans="1:9" ht="13.8">
      <c r="A475" s="20">
        <f t="shared" ca="1" si="14"/>
        <v>41955</v>
      </c>
      <c r="B475" s="21" t="str">
        <f ca="1"/>
        <v>2014-11-12</v>
      </c>
      <c r="C475" s="22">
        <f ca="1"/>
        <v>48.560001</v>
      </c>
      <c r="D475" s="22">
        <f ca="1"/>
        <v>48.919998</v>
      </c>
      <c r="E475" s="22">
        <f ca="1"/>
        <v>48.52</v>
      </c>
      <c r="F475" s="22">
        <f ca="1"/>
        <v>48.779998999999997</v>
      </c>
      <c r="G475" s="22">
        <f ca="1"/>
        <v>42.307617</v>
      </c>
      <c r="H475" s="69">
        <f ca="1"/>
        <v>22722100</v>
      </c>
      <c r="I475" s="23" t="str">
        <f t="shared" ca="1" si="15"/>
        <v/>
      </c>
    </row>
    <row r="476" spans="1:9" ht="13.8">
      <c r="A476" s="20">
        <f t="shared" ca="1" si="14"/>
        <v>41956</v>
      </c>
      <c r="B476" s="21" t="str">
        <f ca="1"/>
        <v>2014-11-13</v>
      </c>
      <c r="C476" s="22">
        <f ca="1"/>
        <v>48.810001</v>
      </c>
      <c r="D476" s="22">
        <f ca="1"/>
        <v>49.650002000000001</v>
      </c>
      <c r="E476" s="22">
        <f ca="1"/>
        <v>48.709999000000003</v>
      </c>
      <c r="F476" s="22">
        <f ca="1"/>
        <v>49.610000999999997</v>
      </c>
      <c r="G476" s="22">
        <f ca="1"/>
        <v>43.027489000000003</v>
      </c>
      <c r="H476" s="69">
        <f ca="1"/>
        <v>26210400</v>
      </c>
      <c r="I476" s="23" t="str">
        <f t="shared" ca="1" si="15"/>
        <v/>
      </c>
    </row>
    <row r="477" spans="1:9" ht="13.8">
      <c r="A477" s="20">
        <f t="shared" ca="1" si="14"/>
        <v>41957</v>
      </c>
      <c r="B477" s="21" t="str">
        <f ca="1"/>
        <v>2014-11-14</v>
      </c>
      <c r="C477" s="22">
        <f ca="1"/>
        <v>49.740001999999997</v>
      </c>
      <c r="D477" s="22">
        <f ca="1"/>
        <v>50.049999</v>
      </c>
      <c r="E477" s="22">
        <f ca="1"/>
        <v>49.389999000000003</v>
      </c>
      <c r="F477" s="22">
        <f ca="1"/>
        <v>49.580002</v>
      </c>
      <c r="G477" s="22">
        <f ca="1"/>
        <v>43.001472</v>
      </c>
      <c r="H477" s="69">
        <f ca="1"/>
        <v>29081700</v>
      </c>
      <c r="I477" s="23" t="str">
        <f t="shared" ca="1" si="15"/>
        <v/>
      </c>
    </row>
    <row r="478" spans="1:9" ht="13.8">
      <c r="A478" s="20">
        <f t="shared" ca="1" si="14"/>
        <v>41960</v>
      </c>
      <c r="B478" s="21" t="str">
        <f ca="1"/>
        <v>2014-11-17</v>
      </c>
      <c r="C478" s="22">
        <f ca="1"/>
        <v>49.41</v>
      </c>
      <c r="D478" s="22">
        <f ca="1"/>
        <v>49.709999000000003</v>
      </c>
      <c r="E478" s="22">
        <f ca="1"/>
        <v>49.139999000000003</v>
      </c>
      <c r="F478" s="22">
        <f ca="1"/>
        <v>49.459999000000003</v>
      </c>
      <c r="G478" s="22">
        <f ca="1"/>
        <v>42.897387999999999</v>
      </c>
      <c r="H478" s="69">
        <f ca="1"/>
        <v>30318600</v>
      </c>
      <c r="I478" s="23" t="str">
        <f t="shared" ca="1" si="15"/>
        <v/>
      </c>
    </row>
    <row r="479" spans="1:9" ht="13.8">
      <c r="A479" s="20">
        <f t="shared" ca="1" si="14"/>
        <v>41961</v>
      </c>
      <c r="B479" s="21" t="str">
        <f ca="1"/>
        <v>2014-11-18</v>
      </c>
      <c r="C479" s="22">
        <f ca="1"/>
        <v>49.130001</v>
      </c>
      <c r="D479" s="22">
        <f ca="1"/>
        <v>49.330002</v>
      </c>
      <c r="E479" s="22">
        <f ca="1"/>
        <v>48.700001</v>
      </c>
      <c r="F479" s="22">
        <f ca="1"/>
        <v>48.740001999999997</v>
      </c>
      <c r="G479" s="22">
        <f ca="1"/>
        <v>42.539546999999999</v>
      </c>
      <c r="H479" s="69">
        <f ca="1"/>
        <v>23995500</v>
      </c>
      <c r="I479" s="23">
        <f t="shared" ca="1" si="15"/>
        <v>0.31</v>
      </c>
    </row>
    <row r="480" spans="1:9" ht="13.8">
      <c r="A480" s="20">
        <f t="shared" ca="1" si="14"/>
        <v>41962</v>
      </c>
      <c r="B480" s="21" t="str">
        <f ca="1"/>
        <v>2014-11-19</v>
      </c>
      <c r="C480" s="22">
        <f ca="1"/>
        <v>48.66</v>
      </c>
      <c r="D480" s="22">
        <f ca="1"/>
        <v>48.75</v>
      </c>
      <c r="E480" s="22">
        <f ca="1"/>
        <v>47.93</v>
      </c>
      <c r="F480" s="22">
        <f ca="1"/>
        <v>48.220001000000003</v>
      </c>
      <c r="G480" s="22">
        <f ca="1"/>
        <v>42.085704999999997</v>
      </c>
      <c r="H480" s="69">
        <f ca="1"/>
        <v>26177500</v>
      </c>
      <c r="I480" s="23" t="str">
        <f t="shared" ca="1" si="15"/>
        <v/>
      </c>
    </row>
    <row r="481" spans="1:9" ht="13.8">
      <c r="A481" s="20">
        <f t="shared" ca="1" si="14"/>
        <v>41963</v>
      </c>
      <c r="B481" s="21" t="str">
        <f ca="1"/>
        <v>2014-11-20</v>
      </c>
      <c r="C481" s="22">
        <f ca="1"/>
        <v>48</v>
      </c>
      <c r="D481" s="22">
        <f ca="1"/>
        <v>48.700001</v>
      </c>
      <c r="E481" s="22">
        <f ca="1"/>
        <v>47.869999</v>
      </c>
      <c r="F481" s="22">
        <f ca="1"/>
        <v>48.700001</v>
      </c>
      <c r="G481" s="22">
        <f ca="1"/>
        <v>42.504646000000001</v>
      </c>
      <c r="H481" s="69">
        <f ca="1"/>
        <v>21510600</v>
      </c>
      <c r="I481" s="23" t="str">
        <f t="shared" ca="1" si="15"/>
        <v/>
      </c>
    </row>
    <row r="482" spans="1:9" ht="13.8">
      <c r="A482" s="20">
        <f t="shared" ca="1" si="14"/>
        <v>41964</v>
      </c>
      <c r="B482" s="21" t="str">
        <f ca="1"/>
        <v>2014-11-21</v>
      </c>
      <c r="C482" s="22">
        <f ca="1"/>
        <v>49.02</v>
      </c>
      <c r="D482" s="22">
        <f ca="1"/>
        <v>49.049999</v>
      </c>
      <c r="E482" s="22">
        <f ca="1"/>
        <v>47.57</v>
      </c>
      <c r="F482" s="22">
        <f ca="1"/>
        <v>47.98</v>
      </c>
      <c r="G482" s="22">
        <f ca="1"/>
        <v>41.876224999999998</v>
      </c>
      <c r="H482" s="69">
        <f ca="1"/>
        <v>42884800</v>
      </c>
      <c r="I482" s="23" t="str">
        <f t="shared" ca="1" si="15"/>
        <v/>
      </c>
    </row>
    <row r="483" spans="1:9" ht="13.8">
      <c r="A483" s="20">
        <f t="shared" ca="1" si="14"/>
        <v>41967</v>
      </c>
      <c r="B483" s="21" t="str">
        <f ca="1"/>
        <v>2014-11-24</v>
      </c>
      <c r="C483" s="22">
        <f ca="1"/>
        <v>47.990001999999997</v>
      </c>
      <c r="D483" s="22">
        <f ca="1"/>
        <v>48</v>
      </c>
      <c r="E483" s="22">
        <f ca="1"/>
        <v>47.389999000000003</v>
      </c>
      <c r="F483" s="22">
        <f ca="1"/>
        <v>47.59</v>
      </c>
      <c r="G483" s="22">
        <f ca="1"/>
        <v>41.535846999999997</v>
      </c>
      <c r="H483" s="69">
        <f ca="1"/>
        <v>35434200</v>
      </c>
      <c r="I483" s="23" t="str">
        <f t="shared" ca="1" si="15"/>
        <v/>
      </c>
    </row>
    <row r="484" spans="1:9" ht="13.8">
      <c r="A484" s="20">
        <f t="shared" ca="1" si="14"/>
        <v>41968</v>
      </c>
      <c r="B484" s="21" t="str">
        <f ca="1"/>
        <v>2014-11-25</v>
      </c>
      <c r="C484" s="22">
        <f ca="1"/>
        <v>47.66</v>
      </c>
      <c r="D484" s="22">
        <f ca="1"/>
        <v>47.970001000000003</v>
      </c>
      <c r="E484" s="22">
        <f ca="1"/>
        <v>47.450001</v>
      </c>
      <c r="F484" s="22">
        <f ca="1"/>
        <v>47.470001000000003</v>
      </c>
      <c r="G484" s="22">
        <f ca="1"/>
        <v>41.431103</v>
      </c>
      <c r="H484" s="69">
        <f ca="1"/>
        <v>28008000</v>
      </c>
      <c r="I484" s="23" t="str">
        <f t="shared" ca="1" si="15"/>
        <v/>
      </c>
    </row>
    <row r="485" spans="1:9" ht="13.8">
      <c r="A485" s="20">
        <f t="shared" ca="1" si="14"/>
        <v>41969</v>
      </c>
      <c r="B485" s="21" t="str">
        <f ca="1"/>
        <v>2014-11-26</v>
      </c>
      <c r="C485" s="22">
        <f ca="1"/>
        <v>47.490001999999997</v>
      </c>
      <c r="D485" s="22">
        <f ca="1"/>
        <v>47.990001999999997</v>
      </c>
      <c r="E485" s="22">
        <f ca="1"/>
        <v>47.279998999999997</v>
      </c>
      <c r="F485" s="22">
        <f ca="1"/>
        <v>47.75</v>
      </c>
      <c r="G485" s="22">
        <f ca="1"/>
        <v>41.675488000000001</v>
      </c>
      <c r="H485" s="69">
        <f ca="1"/>
        <v>27163600</v>
      </c>
      <c r="I485" s="23" t="str">
        <f t="shared" ca="1" si="15"/>
        <v/>
      </c>
    </row>
    <row r="486" spans="1:9" ht="13.8">
      <c r="A486" s="20">
        <f t="shared" ca="1" si="14"/>
        <v>41971</v>
      </c>
      <c r="B486" s="21" t="str">
        <f ca="1"/>
        <v>2014-11-28</v>
      </c>
      <c r="C486" s="22">
        <f ca="1"/>
        <v>47.950001</v>
      </c>
      <c r="D486" s="22">
        <f ca="1"/>
        <v>48.200001</v>
      </c>
      <c r="E486" s="22">
        <f ca="1"/>
        <v>47.610000999999997</v>
      </c>
      <c r="F486" s="22">
        <f ca="1"/>
        <v>47.810001</v>
      </c>
      <c r="G486" s="22">
        <f ca="1"/>
        <v>41.727862999999999</v>
      </c>
      <c r="H486" s="69">
        <f ca="1"/>
        <v>21534400</v>
      </c>
      <c r="I486" s="23" t="str">
        <f t="shared" ca="1" si="15"/>
        <v/>
      </c>
    </row>
    <row r="487" spans="1:9" ht="13.8">
      <c r="A487" s="20">
        <f t="shared" ca="1" si="14"/>
        <v>41974</v>
      </c>
      <c r="B487" s="21" t="str">
        <f ca="1"/>
        <v>2014-12-01</v>
      </c>
      <c r="C487" s="22">
        <f ca="1"/>
        <v>47.880001</v>
      </c>
      <c r="D487" s="22">
        <f ca="1"/>
        <v>48.779998999999997</v>
      </c>
      <c r="E487" s="22">
        <f ca="1"/>
        <v>47.709999000000003</v>
      </c>
      <c r="F487" s="22">
        <f ca="1"/>
        <v>48.619999</v>
      </c>
      <c r="G487" s="22">
        <f ca="1"/>
        <v>42.434811000000003</v>
      </c>
      <c r="H487" s="69">
        <f ca="1"/>
        <v>31191600</v>
      </c>
      <c r="I487" s="23" t="str">
        <f t="shared" ca="1" si="15"/>
        <v/>
      </c>
    </row>
    <row r="488" spans="1:9" ht="13.8">
      <c r="A488" s="20">
        <f t="shared" ca="1" si="14"/>
        <v>41975</v>
      </c>
      <c r="B488" s="21" t="str">
        <f ca="1"/>
        <v>2014-12-02</v>
      </c>
      <c r="C488" s="22">
        <f ca="1"/>
        <v>48.84</v>
      </c>
      <c r="D488" s="22">
        <f ca="1"/>
        <v>49.049999</v>
      </c>
      <c r="E488" s="22">
        <f ca="1"/>
        <v>48.200001</v>
      </c>
      <c r="F488" s="22">
        <f ca="1"/>
        <v>48.459999000000003</v>
      </c>
      <c r="G488" s="22">
        <f ca="1"/>
        <v>42.295166000000002</v>
      </c>
      <c r="H488" s="69">
        <f ca="1"/>
        <v>25773500</v>
      </c>
      <c r="I488" s="23" t="str">
        <f t="shared" ca="1" si="15"/>
        <v/>
      </c>
    </row>
    <row r="489" spans="1:9" ht="13.8">
      <c r="A489" s="20">
        <f t="shared" ca="1" si="14"/>
        <v>41976</v>
      </c>
      <c r="B489" s="21" t="str">
        <f ca="1"/>
        <v>2014-12-03</v>
      </c>
      <c r="C489" s="22">
        <f ca="1"/>
        <v>48.439999</v>
      </c>
      <c r="D489" s="22">
        <f ca="1"/>
        <v>48.5</v>
      </c>
      <c r="E489" s="22">
        <f ca="1"/>
        <v>47.810001</v>
      </c>
      <c r="F489" s="22">
        <f ca="1"/>
        <v>48.080002</v>
      </c>
      <c r="G489" s="22">
        <f ca="1"/>
        <v>41.963504999999998</v>
      </c>
      <c r="H489" s="69">
        <f ca="1"/>
        <v>23534800</v>
      </c>
      <c r="I489" s="23" t="str">
        <f t="shared" ca="1" si="15"/>
        <v/>
      </c>
    </row>
    <row r="490" spans="1:9" ht="13.8">
      <c r="A490" s="20">
        <f t="shared" ca="1" si="14"/>
        <v>41977</v>
      </c>
      <c r="B490" s="21" t="str">
        <f ca="1"/>
        <v>2014-12-04</v>
      </c>
      <c r="C490" s="22">
        <f ca="1"/>
        <v>48.389999000000003</v>
      </c>
      <c r="D490" s="22">
        <f ca="1"/>
        <v>49.060001</v>
      </c>
      <c r="E490" s="22">
        <f ca="1"/>
        <v>48.200001</v>
      </c>
      <c r="F490" s="22">
        <f ca="1"/>
        <v>48.84</v>
      </c>
      <c r="G490" s="22">
        <f ca="1"/>
        <v>42.626831000000003</v>
      </c>
      <c r="H490" s="69">
        <f ca="1"/>
        <v>30320400</v>
      </c>
      <c r="I490" s="23" t="str">
        <f t="shared" ca="1" si="15"/>
        <v/>
      </c>
    </row>
    <row r="491" spans="1:9" ht="13.8">
      <c r="A491" s="20">
        <f t="shared" ca="1" si="14"/>
        <v>41978</v>
      </c>
      <c r="B491" s="21" t="str">
        <f ca="1"/>
        <v>2014-12-05</v>
      </c>
      <c r="C491" s="22">
        <f ca="1"/>
        <v>48.82</v>
      </c>
      <c r="D491" s="22">
        <f ca="1"/>
        <v>48.970001000000003</v>
      </c>
      <c r="E491" s="22">
        <f ca="1"/>
        <v>48.380001</v>
      </c>
      <c r="F491" s="22">
        <f ca="1"/>
        <v>48.419998</v>
      </c>
      <c r="G491" s="22">
        <f ca="1"/>
        <v>42.260254000000003</v>
      </c>
      <c r="H491" s="69">
        <f ca="1"/>
        <v>27313400</v>
      </c>
      <c r="I491" s="23" t="str">
        <f t="shared" ca="1" si="15"/>
        <v/>
      </c>
    </row>
    <row r="492" spans="1:9" ht="13.8">
      <c r="A492" s="20">
        <f t="shared" ca="1" si="14"/>
        <v>41981</v>
      </c>
      <c r="B492" s="21" t="str">
        <f ca="1"/>
        <v>2014-12-08</v>
      </c>
      <c r="C492" s="22">
        <f ca="1"/>
        <v>48.259998000000003</v>
      </c>
      <c r="D492" s="22">
        <f ca="1"/>
        <v>48.349997999999999</v>
      </c>
      <c r="E492" s="22">
        <f ca="1"/>
        <v>47.450001</v>
      </c>
      <c r="F492" s="22">
        <f ca="1"/>
        <v>47.700001</v>
      </c>
      <c r="G492" s="22">
        <f ca="1"/>
        <v>41.631847</v>
      </c>
      <c r="H492" s="69">
        <f ca="1"/>
        <v>26663100</v>
      </c>
      <c r="I492" s="23" t="str">
        <f t="shared" ca="1" si="15"/>
        <v/>
      </c>
    </row>
    <row r="493" spans="1:9" ht="13.8">
      <c r="A493" s="20">
        <f t="shared" ca="1" si="14"/>
        <v>41982</v>
      </c>
      <c r="B493" s="21" t="str">
        <f ca="1"/>
        <v>2014-12-09</v>
      </c>
      <c r="C493" s="22">
        <f ca="1"/>
        <v>47.110000999999997</v>
      </c>
      <c r="D493" s="22">
        <f ca="1"/>
        <v>47.919998</v>
      </c>
      <c r="E493" s="22">
        <f ca="1"/>
        <v>47.049999</v>
      </c>
      <c r="F493" s="22">
        <f ca="1"/>
        <v>47.59</v>
      </c>
      <c r="G493" s="22">
        <f ca="1"/>
        <v>41.535846999999997</v>
      </c>
      <c r="H493" s="69">
        <f ca="1"/>
        <v>24330500</v>
      </c>
      <c r="I493" s="23" t="str">
        <f t="shared" ca="1" si="15"/>
        <v/>
      </c>
    </row>
    <row r="494" spans="1:9" ht="13.8">
      <c r="A494" s="20">
        <f t="shared" ca="1" si="14"/>
        <v>41983</v>
      </c>
      <c r="B494" s="21" t="str">
        <f ca="1"/>
        <v>2014-12-10</v>
      </c>
      <c r="C494" s="22">
        <f ca="1"/>
        <v>47.580002</v>
      </c>
      <c r="D494" s="22">
        <f ca="1"/>
        <v>47.66</v>
      </c>
      <c r="E494" s="22">
        <f ca="1"/>
        <v>46.700001</v>
      </c>
      <c r="F494" s="22">
        <f ca="1"/>
        <v>46.900002000000001</v>
      </c>
      <c r="G494" s="22">
        <f ca="1"/>
        <v>40.933624000000002</v>
      </c>
      <c r="H494" s="69">
        <f ca="1"/>
        <v>30431800</v>
      </c>
      <c r="I494" s="23" t="str">
        <f t="shared" ca="1" si="15"/>
        <v/>
      </c>
    </row>
    <row r="495" spans="1:9" ht="13.8">
      <c r="A495" s="20">
        <f t="shared" ca="1" si="14"/>
        <v>41984</v>
      </c>
      <c r="B495" s="21" t="str">
        <f ca="1"/>
        <v>2014-12-11</v>
      </c>
      <c r="C495" s="22">
        <f ca="1"/>
        <v>47.080002</v>
      </c>
      <c r="D495" s="22">
        <f ca="1"/>
        <v>47.740001999999997</v>
      </c>
      <c r="E495" s="22">
        <f ca="1"/>
        <v>46.68</v>
      </c>
      <c r="F495" s="22">
        <f ca="1"/>
        <v>47.169998</v>
      </c>
      <c r="G495" s="22">
        <f ca="1"/>
        <v>41.169262000000003</v>
      </c>
      <c r="H495" s="69">
        <f ca="1"/>
        <v>29060400</v>
      </c>
      <c r="I495" s="23" t="str">
        <f t="shared" ca="1" si="15"/>
        <v/>
      </c>
    </row>
    <row r="496" spans="1:9" ht="13.8">
      <c r="A496" s="20">
        <f t="shared" ca="1" si="14"/>
        <v>41985</v>
      </c>
      <c r="B496" s="21" t="str">
        <f ca="1"/>
        <v>2014-12-12</v>
      </c>
      <c r="C496" s="22">
        <f ca="1"/>
        <v>46.779998999999997</v>
      </c>
      <c r="D496" s="22">
        <f ca="1"/>
        <v>47.73</v>
      </c>
      <c r="E496" s="22">
        <f ca="1"/>
        <v>46.669998</v>
      </c>
      <c r="F496" s="22">
        <f ca="1"/>
        <v>46.950001</v>
      </c>
      <c r="G496" s="22">
        <f ca="1"/>
        <v>40.977268000000002</v>
      </c>
      <c r="H496" s="69">
        <f ca="1"/>
        <v>34248400</v>
      </c>
      <c r="I496" s="23" t="str">
        <f t="shared" ca="1" si="15"/>
        <v/>
      </c>
    </row>
    <row r="497" spans="1:9" ht="13.8">
      <c r="A497" s="20">
        <f t="shared" ca="1" si="14"/>
        <v>41988</v>
      </c>
      <c r="B497" s="21" t="str">
        <f ca="1"/>
        <v>2014-12-15</v>
      </c>
      <c r="C497" s="22">
        <f ca="1"/>
        <v>47.200001</v>
      </c>
      <c r="D497" s="22">
        <f ca="1"/>
        <v>47.669998</v>
      </c>
      <c r="E497" s="22">
        <f ca="1"/>
        <v>46.549999</v>
      </c>
      <c r="F497" s="22">
        <f ca="1"/>
        <v>46.669998</v>
      </c>
      <c r="G497" s="22">
        <f ca="1"/>
        <v>40.732883000000001</v>
      </c>
      <c r="H497" s="69">
        <f ca="1"/>
        <v>29247800</v>
      </c>
      <c r="I497" s="23" t="str">
        <f t="shared" ca="1" si="15"/>
        <v/>
      </c>
    </row>
    <row r="498" spans="1:9" ht="13.8">
      <c r="A498" s="20">
        <f t="shared" ca="1" si="14"/>
        <v>41989</v>
      </c>
      <c r="B498" s="21" t="str">
        <f ca="1"/>
        <v>2014-12-16</v>
      </c>
      <c r="C498" s="22">
        <f ca="1"/>
        <v>45.900002000000001</v>
      </c>
      <c r="D498" s="22">
        <f ca="1"/>
        <v>46.34</v>
      </c>
      <c r="E498" s="22">
        <f ca="1"/>
        <v>45.130001</v>
      </c>
      <c r="F498" s="22">
        <f ca="1"/>
        <v>45.16</v>
      </c>
      <c r="G498" s="22">
        <f ca="1"/>
        <v>39.414988999999998</v>
      </c>
      <c r="H498" s="69">
        <f ca="1"/>
        <v>47801400</v>
      </c>
      <c r="I498" s="23" t="str">
        <f t="shared" ca="1" si="15"/>
        <v/>
      </c>
    </row>
    <row r="499" spans="1:9" ht="13.8">
      <c r="A499" s="20">
        <f t="shared" ca="1" si="14"/>
        <v>41990</v>
      </c>
      <c r="B499" s="21" t="str">
        <f ca="1"/>
        <v>2014-12-17</v>
      </c>
      <c r="C499" s="22">
        <f ca="1"/>
        <v>45.049999</v>
      </c>
      <c r="D499" s="22">
        <f ca="1"/>
        <v>45.950001</v>
      </c>
      <c r="E499" s="22">
        <f ca="1"/>
        <v>44.900002000000001</v>
      </c>
      <c r="F499" s="22">
        <f ca="1"/>
        <v>45.740001999999997</v>
      </c>
      <c r="G499" s="22">
        <f ca="1"/>
        <v>39.921185000000001</v>
      </c>
      <c r="H499" s="69">
        <f ca="1"/>
        <v>34970900</v>
      </c>
      <c r="I499" s="23" t="str">
        <f t="shared" ca="1" si="15"/>
        <v/>
      </c>
    </row>
    <row r="500" spans="1:9" ht="13.8">
      <c r="A500" s="20">
        <f t="shared" ca="1" si="14"/>
        <v>41991</v>
      </c>
      <c r="B500" s="21" t="str">
        <f ca="1"/>
        <v>2014-12-18</v>
      </c>
      <c r="C500" s="22">
        <f ca="1"/>
        <v>46.580002</v>
      </c>
      <c r="D500" s="22">
        <f ca="1"/>
        <v>47.52</v>
      </c>
      <c r="E500" s="22">
        <f ca="1"/>
        <v>46.34</v>
      </c>
      <c r="F500" s="22">
        <f ca="1"/>
        <v>47.52</v>
      </c>
      <c r="G500" s="22">
        <f ca="1"/>
        <v>41.474750999999998</v>
      </c>
      <c r="H500" s="69">
        <f ca="1"/>
        <v>40105600</v>
      </c>
      <c r="I500" s="23" t="str">
        <f t="shared" ca="1" si="15"/>
        <v/>
      </c>
    </row>
    <row r="501" spans="1:9" ht="13.8">
      <c r="A501" s="20">
        <f t="shared" ca="1" si="14"/>
        <v>41992</v>
      </c>
      <c r="B501" s="21" t="str">
        <f ca="1"/>
        <v>2014-12-19</v>
      </c>
      <c r="C501" s="22">
        <f ca="1"/>
        <v>47.630001</v>
      </c>
      <c r="D501" s="22">
        <f ca="1"/>
        <v>48.099997999999999</v>
      </c>
      <c r="E501" s="22">
        <f ca="1"/>
        <v>47.169998</v>
      </c>
      <c r="F501" s="22">
        <f ca="1"/>
        <v>47.66</v>
      </c>
      <c r="G501" s="22">
        <f ca="1"/>
        <v>41.596935000000002</v>
      </c>
      <c r="H501" s="69">
        <f ca="1"/>
        <v>64551200</v>
      </c>
      <c r="I501" s="23" t="str">
        <f t="shared" ca="1" si="15"/>
        <v/>
      </c>
    </row>
    <row r="502" spans="1:9" ht="13.8">
      <c r="A502" s="20">
        <f t="shared" ca="1" si="14"/>
        <v>41995</v>
      </c>
      <c r="B502" s="21" t="str">
        <f ca="1"/>
        <v>2014-12-22</v>
      </c>
      <c r="C502" s="22">
        <f ca="1"/>
        <v>47.779998999999997</v>
      </c>
      <c r="D502" s="22">
        <f ca="1"/>
        <v>48.119999</v>
      </c>
      <c r="E502" s="22">
        <f ca="1"/>
        <v>47.709999000000003</v>
      </c>
      <c r="F502" s="22">
        <f ca="1"/>
        <v>47.98</v>
      </c>
      <c r="G502" s="22">
        <f ca="1"/>
        <v>41.876224999999998</v>
      </c>
      <c r="H502" s="69">
        <f ca="1"/>
        <v>26566000</v>
      </c>
      <c r="I502" s="23" t="str">
        <f t="shared" ca="1" si="15"/>
        <v/>
      </c>
    </row>
    <row r="503" spans="1:9" ht="13.8">
      <c r="A503" s="20">
        <f t="shared" ca="1" si="14"/>
        <v>41996</v>
      </c>
      <c r="B503" s="21" t="str">
        <f ca="1"/>
        <v>2014-12-23</v>
      </c>
      <c r="C503" s="22">
        <f ca="1"/>
        <v>48.369999</v>
      </c>
      <c r="D503" s="22">
        <f ca="1"/>
        <v>48.799999</v>
      </c>
      <c r="E503" s="22">
        <f ca="1"/>
        <v>48.130001</v>
      </c>
      <c r="F503" s="22">
        <f ca="1"/>
        <v>48.450001</v>
      </c>
      <c r="G503" s="22">
        <f ca="1"/>
        <v>42.286434</v>
      </c>
      <c r="H503" s="69">
        <f ca="1"/>
        <v>23648100</v>
      </c>
      <c r="I503" s="23" t="str">
        <f t="shared" ca="1" si="15"/>
        <v/>
      </c>
    </row>
    <row r="504" spans="1:9" ht="13.8">
      <c r="A504" s="20">
        <f t="shared" ca="1" si="14"/>
        <v>41997</v>
      </c>
      <c r="B504" s="21" t="str">
        <f ca="1"/>
        <v>2014-12-24</v>
      </c>
      <c r="C504" s="22">
        <f ca="1"/>
        <v>48.639999000000003</v>
      </c>
      <c r="D504" s="22">
        <f ca="1"/>
        <v>48.639999000000003</v>
      </c>
      <c r="E504" s="22">
        <f ca="1"/>
        <v>48.080002</v>
      </c>
      <c r="F504" s="22">
        <f ca="1"/>
        <v>48.139999000000003</v>
      </c>
      <c r="G504" s="22">
        <f ca="1"/>
        <v>42.015877000000003</v>
      </c>
      <c r="H504" s="69">
        <f ca="1"/>
        <v>11437800</v>
      </c>
      <c r="I504" s="23" t="str">
        <f t="shared" ca="1" si="15"/>
        <v/>
      </c>
    </row>
    <row r="505" spans="1:9" ht="13.8">
      <c r="A505" s="20">
        <f t="shared" ca="1" si="14"/>
        <v>41999</v>
      </c>
      <c r="B505" s="21" t="str">
        <f ca="1"/>
        <v>2014-12-26</v>
      </c>
      <c r="C505" s="22">
        <f ca="1"/>
        <v>48.41</v>
      </c>
      <c r="D505" s="22">
        <f ca="1"/>
        <v>48.41</v>
      </c>
      <c r="E505" s="22">
        <f ca="1"/>
        <v>47.82</v>
      </c>
      <c r="F505" s="22">
        <f ca="1"/>
        <v>47.880001</v>
      </c>
      <c r="G505" s="22">
        <f ca="1"/>
        <v>41.788952000000002</v>
      </c>
      <c r="H505" s="69">
        <f ca="1"/>
        <v>13197800</v>
      </c>
      <c r="I505" s="23" t="str">
        <f t="shared" ca="1" si="15"/>
        <v/>
      </c>
    </row>
    <row r="506" spans="1:9" ht="13.8">
      <c r="A506" s="20">
        <f t="shared" ca="1" si="14"/>
        <v>42002</v>
      </c>
      <c r="B506" s="21" t="str">
        <f ca="1"/>
        <v>2014-12-29</v>
      </c>
      <c r="C506" s="22">
        <f ca="1"/>
        <v>47.700001</v>
      </c>
      <c r="D506" s="22">
        <f ca="1"/>
        <v>47.779998999999997</v>
      </c>
      <c r="E506" s="22">
        <f ca="1"/>
        <v>47.259998000000003</v>
      </c>
      <c r="F506" s="22">
        <f ca="1"/>
        <v>47.450001</v>
      </c>
      <c r="G506" s="22">
        <f ca="1"/>
        <v>41.413646999999997</v>
      </c>
      <c r="H506" s="69">
        <f ca="1"/>
        <v>14439500</v>
      </c>
      <c r="I506" s="23" t="str">
        <f t="shared" ca="1" si="15"/>
        <v/>
      </c>
    </row>
    <row r="507" spans="1:9" ht="13.8">
      <c r="A507" s="20">
        <f t="shared" ca="1" si="14"/>
        <v>42003</v>
      </c>
      <c r="B507" s="21" t="str">
        <f ca="1"/>
        <v>2014-12-30</v>
      </c>
      <c r="C507" s="22">
        <f ca="1"/>
        <v>47.439999</v>
      </c>
      <c r="D507" s="22">
        <f ca="1"/>
        <v>47.619999</v>
      </c>
      <c r="E507" s="22">
        <f ca="1"/>
        <v>46.84</v>
      </c>
      <c r="F507" s="22">
        <f ca="1"/>
        <v>47.02</v>
      </c>
      <c r="G507" s="22">
        <f ca="1"/>
        <v>41.038353000000001</v>
      </c>
      <c r="H507" s="69">
        <f ca="1"/>
        <v>16384700</v>
      </c>
      <c r="I507" s="23" t="str">
        <f t="shared" ca="1" si="15"/>
        <v/>
      </c>
    </row>
    <row r="508" spans="1:9" ht="13.8">
      <c r="A508" s="20">
        <f t="shared" ca="1" si="14"/>
        <v>42004</v>
      </c>
      <c r="B508" s="21" t="str">
        <f ca="1"/>
        <v>2014-12-31</v>
      </c>
      <c r="C508" s="22">
        <f ca="1"/>
        <v>46.73</v>
      </c>
      <c r="D508" s="22">
        <f ca="1"/>
        <v>47.439999</v>
      </c>
      <c r="E508" s="22">
        <f ca="1"/>
        <v>46.450001</v>
      </c>
      <c r="F508" s="22">
        <f ca="1"/>
        <v>46.450001</v>
      </c>
      <c r="G508" s="22">
        <f ca="1"/>
        <v>40.540866999999999</v>
      </c>
      <c r="H508" s="69">
        <f ca="1"/>
        <v>21552500</v>
      </c>
      <c r="I508" s="23" t="str">
        <f t="shared" ca="1" si="15"/>
        <v/>
      </c>
    </row>
    <row r="509" spans="1:9" ht="13.8">
      <c r="A509" s="20">
        <f t="shared" ca="1" si="14"/>
        <v>42006</v>
      </c>
      <c r="B509" s="21" t="str">
        <f ca="1"/>
        <v>2015-01-02</v>
      </c>
      <c r="C509" s="22">
        <f ca="1"/>
        <v>46.66</v>
      </c>
      <c r="D509" s="22">
        <f ca="1"/>
        <v>47.419998</v>
      </c>
      <c r="E509" s="22">
        <f ca="1"/>
        <v>46.540000999999997</v>
      </c>
      <c r="F509" s="22">
        <f ca="1"/>
        <v>46.759998000000003</v>
      </c>
      <c r="G509" s="22">
        <f ca="1"/>
        <v>40.811424000000002</v>
      </c>
      <c r="H509" s="69">
        <f ca="1"/>
        <v>27913900</v>
      </c>
      <c r="I509" s="23" t="str">
        <f t="shared" ca="1" si="15"/>
        <v/>
      </c>
    </row>
    <row r="510" spans="1:9" ht="13.8">
      <c r="A510" s="20">
        <f t="shared" ca="1" si="14"/>
        <v>42009</v>
      </c>
      <c r="B510" s="21" t="str">
        <f ca="1"/>
        <v>2015-01-05</v>
      </c>
      <c r="C510" s="22">
        <f ca="1"/>
        <v>46.369999</v>
      </c>
      <c r="D510" s="22">
        <f ca="1"/>
        <v>46.73</v>
      </c>
      <c r="E510" s="22">
        <f ca="1"/>
        <v>46.25</v>
      </c>
      <c r="F510" s="22">
        <f ca="1"/>
        <v>46.330002</v>
      </c>
      <c r="G510" s="22">
        <f ca="1"/>
        <v>40.436126999999999</v>
      </c>
      <c r="H510" s="69">
        <f ca="1"/>
        <v>39673900</v>
      </c>
      <c r="I510" s="23" t="str">
        <f t="shared" ca="1" si="15"/>
        <v/>
      </c>
    </row>
    <row r="511" spans="1:9" ht="13.8">
      <c r="A511" s="20">
        <f t="shared" ca="1" si="14"/>
        <v>42010</v>
      </c>
      <c r="B511" s="21" t="str">
        <f ca="1"/>
        <v>2015-01-06</v>
      </c>
      <c r="C511" s="22">
        <f ca="1"/>
        <v>46.380001</v>
      </c>
      <c r="D511" s="22">
        <f ca="1"/>
        <v>46.75</v>
      </c>
      <c r="E511" s="22">
        <f ca="1"/>
        <v>45.540000999999997</v>
      </c>
      <c r="F511" s="22">
        <f ca="1"/>
        <v>45.650002000000001</v>
      </c>
      <c r="G511" s="22">
        <f ca="1"/>
        <v>39.842640000000003</v>
      </c>
      <c r="H511" s="69">
        <f ca="1"/>
        <v>36447900</v>
      </c>
      <c r="I511" s="23" t="str">
        <f t="shared" ca="1" si="15"/>
        <v/>
      </c>
    </row>
    <row r="512" spans="1:9" ht="13.8">
      <c r="A512" s="20">
        <f t="shared" ca="1" si="14"/>
        <v>42011</v>
      </c>
      <c r="B512" s="21" t="str">
        <f ca="1"/>
        <v>2015-01-07</v>
      </c>
      <c r="C512" s="22">
        <f ca="1"/>
        <v>45.98</v>
      </c>
      <c r="D512" s="22">
        <f ca="1"/>
        <v>46.459999000000003</v>
      </c>
      <c r="E512" s="22">
        <f ca="1"/>
        <v>45.490001999999997</v>
      </c>
      <c r="F512" s="22">
        <f ca="1"/>
        <v>46.23</v>
      </c>
      <c r="G512" s="22">
        <f ca="1"/>
        <v>40.348846000000002</v>
      </c>
      <c r="H512" s="69">
        <f ca="1"/>
        <v>29114100</v>
      </c>
      <c r="I512" s="23" t="str">
        <f t="shared" ca="1" si="15"/>
        <v/>
      </c>
    </row>
    <row r="513" spans="1:9" ht="13.8">
      <c r="A513" s="20">
        <f t="shared" ca="1" si="14"/>
        <v>42012</v>
      </c>
      <c r="B513" s="21" t="str">
        <f ca="1"/>
        <v>2015-01-08</v>
      </c>
      <c r="C513" s="22">
        <f ca="1"/>
        <v>46.75</v>
      </c>
      <c r="D513" s="22">
        <f ca="1"/>
        <v>47.75</v>
      </c>
      <c r="E513" s="22">
        <f ca="1"/>
        <v>46.720001000000003</v>
      </c>
      <c r="F513" s="22">
        <f ca="1"/>
        <v>47.59</v>
      </c>
      <c r="G513" s="22">
        <f ca="1"/>
        <v>41.535846999999997</v>
      </c>
      <c r="H513" s="69">
        <f ca="1"/>
        <v>29645200</v>
      </c>
      <c r="I513" s="23" t="str">
        <f t="shared" ca="1" si="15"/>
        <v/>
      </c>
    </row>
    <row r="514" spans="1:9" ht="13.8">
      <c r="A514" s="20">
        <f t="shared" ca="1" si="14"/>
        <v>42013</v>
      </c>
      <c r="B514" s="21" t="str">
        <f ca="1"/>
        <v>2015-01-09</v>
      </c>
      <c r="C514" s="22">
        <f ca="1"/>
        <v>47.610000999999997</v>
      </c>
      <c r="D514" s="22">
        <f ca="1"/>
        <v>47.82</v>
      </c>
      <c r="E514" s="22">
        <f ca="1"/>
        <v>46.900002000000001</v>
      </c>
      <c r="F514" s="22">
        <f ca="1"/>
        <v>47.189999</v>
      </c>
      <c r="G514" s="22">
        <f ca="1"/>
        <v>41.186717999999999</v>
      </c>
      <c r="H514" s="69">
        <f ca="1"/>
        <v>23944200</v>
      </c>
      <c r="I514" s="23" t="str">
        <f t="shared" ca="1" si="15"/>
        <v/>
      </c>
    </row>
    <row r="515" spans="1:9" ht="13.8">
      <c r="A515" s="20">
        <f t="shared" ca="1" si="14"/>
        <v>42016</v>
      </c>
      <c r="B515" s="21" t="str">
        <f ca="1"/>
        <v>2015-01-12</v>
      </c>
      <c r="C515" s="22">
        <f ca="1"/>
        <v>47.419998</v>
      </c>
      <c r="D515" s="22">
        <f ca="1"/>
        <v>47.540000999999997</v>
      </c>
      <c r="E515" s="22">
        <f ca="1"/>
        <v>46.360000999999997</v>
      </c>
      <c r="F515" s="22">
        <f ca="1"/>
        <v>46.599997999999999</v>
      </c>
      <c r="G515" s="22">
        <f ca="1"/>
        <v>40.671776000000001</v>
      </c>
      <c r="H515" s="69">
        <f ca="1"/>
        <v>23651900</v>
      </c>
      <c r="I515" s="23" t="str">
        <f t="shared" ca="1" si="15"/>
        <v/>
      </c>
    </row>
    <row r="516" spans="1:9" ht="13.8">
      <c r="A516" s="20">
        <f t="shared" ca="1" si="14"/>
        <v>42017</v>
      </c>
      <c r="B516" s="21" t="str">
        <f ca="1"/>
        <v>2015-01-13</v>
      </c>
      <c r="C516" s="22">
        <f ca="1"/>
        <v>46.970001000000003</v>
      </c>
      <c r="D516" s="22">
        <f ca="1"/>
        <v>47.91</v>
      </c>
      <c r="E516" s="22">
        <f ca="1"/>
        <v>46.060001</v>
      </c>
      <c r="F516" s="22">
        <f ca="1"/>
        <v>46.360000999999997</v>
      </c>
      <c r="G516" s="22">
        <f ca="1"/>
        <v>40.462311</v>
      </c>
      <c r="H516" s="69">
        <f ca="1"/>
        <v>35270600</v>
      </c>
      <c r="I516" s="23" t="str">
        <f t="shared" ca="1" si="15"/>
        <v/>
      </c>
    </row>
    <row r="517" spans="1:9" ht="13.8">
      <c r="A517" s="20">
        <f t="shared" ca="1" si="14"/>
        <v>42018</v>
      </c>
      <c r="B517" s="21" t="str">
        <f ca="1"/>
        <v>2015-01-14</v>
      </c>
      <c r="C517" s="22">
        <f ca="1"/>
        <v>45.959999000000003</v>
      </c>
      <c r="D517" s="22">
        <f ca="1"/>
        <v>46.240001999999997</v>
      </c>
      <c r="E517" s="22">
        <f ca="1"/>
        <v>45.619999</v>
      </c>
      <c r="F517" s="22">
        <f ca="1"/>
        <v>45.959999000000003</v>
      </c>
      <c r="G517" s="22">
        <f ca="1"/>
        <v>40.113197</v>
      </c>
      <c r="H517" s="69">
        <f ca="1"/>
        <v>29719600</v>
      </c>
      <c r="I517" s="23" t="str">
        <f t="shared" ca="1" si="15"/>
        <v/>
      </c>
    </row>
    <row r="518" spans="1:9" ht="13.8">
      <c r="A518" s="20">
        <f t="shared" ref="A518:A581" ca="1" si="16">IFERROR(DATEVALUE($B518),"--")</f>
        <v>42019</v>
      </c>
      <c r="B518" s="21" t="str">
        <f ca="1"/>
        <v>2015-01-15</v>
      </c>
      <c r="C518" s="22">
        <f ca="1"/>
        <v>46.220001000000003</v>
      </c>
      <c r="D518" s="22">
        <f ca="1"/>
        <v>46.380001</v>
      </c>
      <c r="E518" s="22">
        <f ca="1"/>
        <v>45.41</v>
      </c>
      <c r="F518" s="22">
        <f ca="1"/>
        <v>45.48</v>
      </c>
      <c r="G518" s="22">
        <f ca="1"/>
        <v>39.694271000000001</v>
      </c>
      <c r="H518" s="69">
        <f ca="1"/>
        <v>32750800</v>
      </c>
      <c r="I518" s="23" t="str">
        <f t="shared" ref="I518:I581" ca="1" si="17">IFERROR(IF(Ticker&lt;&gt;$Q$2,"",INDEX($P:$P,MATCH($A518,$O:$O,0))),"")</f>
        <v/>
      </c>
    </row>
    <row r="519" spans="1:9" ht="13.8">
      <c r="A519" s="20">
        <f t="shared" ca="1" si="16"/>
        <v>42020</v>
      </c>
      <c r="B519" s="21" t="str">
        <f ca="1"/>
        <v>2015-01-16</v>
      </c>
      <c r="C519" s="22">
        <f ca="1"/>
        <v>45.310001</v>
      </c>
      <c r="D519" s="22">
        <f ca="1"/>
        <v>46.279998999999997</v>
      </c>
      <c r="E519" s="22">
        <f ca="1"/>
        <v>45.169998</v>
      </c>
      <c r="F519" s="22">
        <f ca="1"/>
        <v>46.240001999999997</v>
      </c>
      <c r="G519" s="22">
        <f ca="1"/>
        <v>40.357585999999998</v>
      </c>
      <c r="H519" s="69">
        <f ca="1"/>
        <v>35695300</v>
      </c>
      <c r="I519" s="23" t="str">
        <f t="shared" ca="1" si="17"/>
        <v/>
      </c>
    </row>
    <row r="520" spans="1:9" ht="13.8">
      <c r="A520" s="20">
        <f t="shared" ca="1" si="16"/>
        <v>42024</v>
      </c>
      <c r="B520" s="21" t="str">
        <f ca="1"/>
        <v>2015-01-20</v>
      </c>
      <c r="C520" s="22">
        <f ca="1"/>
        <v>46.299999</v>
      </c>
      <c r="D520" s="22">
        <f ca="1"/>
        <v>46.650002000000001</v>
      </c>
      <c r="E520" s="22">
        <f ca="1"/>
        <v>45.57</v>
      </c>
      <c r="F520" s="22">
        <f ca="1"/>
        <v>46.389999000000003</v>
      </c>
      <c r="G520" s="22">
        <f ca="1"/>
        <v>40.488498999999997</v>
      </c>
      <c r="H520" s="69">
        <f ca="1"/>
        <v>36161900</v>
      </c>
      <c r="I520" s="23" t="str">
        <f t="shared" ca="1" si="17"/>
        <v/>
      </c>
    </row>
    <row r="521" spans="1:9" ht="13.8">
      <c r="A521" s="20">
        <f t="shared" ca="1" si="16"/>
        <v>42025</v>
      </c>
      <c r="B521" s="21" t="str">
        <f ca="1"/>
        <v>2015-01-21</v>
      </c>
      <c r="C521" s="22">
        <f ca="1"/>
        <v>45.939999</v>
      </c>
      <c r="D521" s="22">
        <f ca="1"/>
        <v>46.139999000000003</v>
      </c>
      <c r="E521" s="22">
        <f ca="1"/>
        <v>45.48</v>
      </c>
      <c r="F521" s="22">
        <f ca="1"/>
        <v>45.919998</v>
      </c>
      <c r="G521" s="22">
        <f ca="1"/>
        <v>40.078288999999998</v>
      </c>
      <c r="H521" s="69">
        <f ca="1"/>
        <v>39081100</v>
      </c>
      <c r="I521" s="23" t="str">
        <f t="shared" ca="1" si="17"/>
        <v/>
      </c>
    </row>
    <row r="522" spans="1:9" ht="13.8">
      <c r="A522" s="20">
        <f t="shared" ca="1" si="16"/>
        <v>42026</v>
      </c>
      <c r="B522" s="21" t="str">
        <f ca="1"/>
        <v>2015-01-22</v>
      </c>
      <c r="C522" s="22">
        <f ca="1"/>
        <v>46.380001</v>
      </c>
      <c r="D522" s="22">
        <f ca="1"/>
        <v>47.139999000000003</v>
      </c>
      <c r="E522" s="22">
        <f ca="1"/>
        <v>46.080002</v>
      </c>
      <c r="F522" s="22">
        <f ca="1"/>
        <v>47.130001</v>
      </c>
      <c r="G522" s="22">
        <f ca="1"/>
        <v>41.134354000000002</v>
      </c>
      <c r="H522" s="69">
        <f ca="1"/>
        <v>35898000</v>
      </c>
      <c r="I522" s="23" t="str">
        <f t="shared" ca="1" si="17"/>
        <v/>
      </c>
    </row>
    <row r="523" spans="1:9" ht="13.8">
      <c r="A523" s="20">
        <f t="shared" ca="1" si="16"/>
        <v>42027</v>
      </c>
      <c r="B523" s="21" t="str">
        <f ca="1"/>
        <v>2015-01-23</v>
      </c>
      <c r="C523" s="22">
        <f ca="1"/>
        <v>47.360000999999997</v>
      </c>
      <c r="D523" s="22">
        <f ca="1"/>
        <v>47.389999000000003</v>
      </c>
      <c r="E523" s="22">
        <f ca="1"/>
        <v>46.799999</v>
      </c>
      <c r="F523" s="22">
        <f ca="1"/>
        <v>47.18</v>
      </c>
      <c r="G523" s="22">
        <f ca="1"/>
        <v>41.177998000000002</v>
      </c>
      <c r="H523" s="69">
        <f ca="1"/>
        <v>26211600</v>
      </c>
      <c r="I523" s="23" t="str">
        <f t="shared" ca="1" si="17"/>
        <v/>
      </c>
    </row>
    <row r="524" spans="1:9" ht="13.8">
      <c r="A524" s="20">
        <f t="shared" ca="1" si="16"/>
        <v>42030</v>
      </c>
      <c r="B524" s="21" t="str">
        <f ca="1"/>
        <v>2015-01-26</v>
      </c>
      <c r="C524" s="22">
        <f ca="1"/>
        <v>47</v>
      </c>
      <c r="D524" s="22">
        <f ca="1"/>
        <v>47.130001</v>
      </c>
      <c r="E524" s="22">
        <f ca="1"/>
        <v>46.240001999999997</v>
      </c>
      <c r="F524" s="22">
        <f ca="1"/>
        <v>47.009998000000003</v>
      </c>
      <c r="G524" s="22">
        <f ca="1"/>
        <v>41.029625000000003</v>
      </c>
      <c r="H524" s="69">
        <f ca="1"/>
        <v>42525500</v>
      </c>
      <c r="I524" s="23" t="str">
        <f t="shared" ca="1" si="17"/>
        <v/>
      </c>
    </row>
    <row r="525" spans="1:9" ht="13.8">
      <c r="A525" s="20">
        <f t="shared" ca="1" si="16"/>
        <v>42031</v>
      </c>
      <c r="B525" s="21" t="str">
        <f ca="1"/>
        <v>2015-01-27</v>
      </c>
      <c r="C525" s="22">
        <f ca="1"/>
        <v>42.950001</v>
      </c>
      <c r="D525" s="22">
        <f ca="1"/>
        <v>43.200001</v>
      </c>
      <c r="E525" s="22">
        <f ca="1"/>
        <v>42.110000999999997</v>
      </c>
      <c r="F525" s="22">
        <f ca="1"/>
        <v>42.66</v>
      </c>
      <c r="G525" s="22">
        <f ca="1"/>
        <v>37.233001999999999</v>
      </c>
      <c r="H525" s="69">
        <f ca="1"/>
        <v>169164000</v>
      </c>
      <c r="I525" s="23" t="str">
        <f t="shared" ca="1" si="17"/>
        <v/>
      </c>
    </row>
    <row r="526" spans="1:9" ht="13.8">
      <c r="A526" s="20">
        <f t="shared" ca="1" si="16"/>
        <v>42032</v>
      </c>
      <c r="B526" s="21" t="str">
        <f ca="1"/>
        <v>2015-01-28</v>
      </c>
      <c r="C526" s="22">
        <f ca="1"/>
        <v>42.740001999999997</v>
      </c>
      <c r="D526" s="22">
        <f ca="1"/>
        <v>42.790000999999997</v>
      </c>
      <c r="E526" s="22">
        <f ca="1"/>
        <v>41.16</v>
      </c>
      <c r="F526" s="22">
        <f ca="1"/>
        <v>41.189999</v>
      </c>
      <c r="G526" s="22">
        <f ca="1"/>
        <v>35.950020000000002</v>
      </c>
      <c r="H526" s="69">
        <f ca="1"/>
        <v>84507100</v>
      </c>
      <c r="I526" s="23" t="str">
        <f t="shared" ca="1" si="17"/>
        <v/>
      </c>
    </row>
    <row r="527" spans="1:9" ht="13.8">
      <c r="A527" s="20">
        <f t="shared" ca="1" si="16"/>
        <v>42033</v>
      </c>
      <c r="B527" s="21" t="str">
        <f ca="1"/>
        <v>2015-01-29</v>
      </c>
      <c r="C527" s="22">
        <f ca="1"/>
        <v>40.93</v>
      </c>
      <c r="D527" s="22">
        <f ca="1"/>
        <v>42.119999</v>
      </c>
      <c r="E527" s="22">
        <f ca="1"/>
        <v>40.790000999999997</v>
      </c>
      <c r="F527" s="22">
        <f ca="1"/>
        <v>42.009998000000003</v>
      </c>
      <c r="G527" s="22">
        <f ca="1"/>
        <v>36.665694999999999</v>
      </c>
      <c r="H527" s="69">
        <f ca="1"/>
        <v>63585300</v>
      </c>
      <c r="I527" s="23" t="str">
        <f t="shared" ca="1" si="17"/>
        <v/>
      </c>
    </row>
    <row r="528" spans="1:9" ht="13.8">
      <c r="A528" s="20">
        <f t="shared" ca="1" si="16"/>
        <v>42034</v>
      </c>
      <c r="B528" s="21" t="str">
        <f ca="1"/>
        <v>2015-01-30</v>
      </c>
      <c r="C528" s="22">
        <f ca="1"/>
        <v>41.549999</v>
      </c>
      <c r="D528" s="22">
        <f ca="1"/>
        <v>41.580002</v>
      </c>
      <c r="E528" s="22">
        <f ca="1"/>
        <v>40.349997999999999</v>
      </c>
      <c r="F528" s="22">
        <f ca="1"/>
        <v>40.400002000000001</v>
      </c>
      <c r="G528" s="22">
        <f ca="1"/>
        <v>35.260517</v>
      </c>
      <c r="H528" s="69">
        <f ca="1"/>
        <v>78004900</v>
      </c>
      <c r="I528" s="23" t="str">
        <f t="shared" ca="1" si="17"/>
        <v/>
      </c>
    </row>
    <row r="529" spans="1:9" ht="13.8">
      <c r="A529" s="20">
        <f t="shared" ca="1" si="16"/>
        <v>42037</v>
      </c>
      <c r="B529" s="21" t="str">
        <f ca="1"/>
        <v>2015-02-02</v>
      </c>
      <c r="C529" s="22">
        <f ca="1"/>
        <v>40.590000000000003</v>
      </c>
      <c r="D529" s="22">
        <f ca="1"/>
        <v>41.369999</v>
      </c>
      <c r="E529" s="22">
        <f ca="1"/>
        <v>40.229999999999997</v>
      </c>
      <c r="F529" s="22">
        <f ca="1"/>
        <v>41.279998999999997</v>
      </c>
      <c r="G529" s="22">
        <f ca="1"/>
        <v>36.028564000000003</v>
      </c>
      <c r="H529" s="69">
        <f ca="1"/>
        <v>50352500</v>
      </c>
      <c r="I529" s="23" t="str">
        <f t="shared" ca="1" si="17"/>
        <v/>
      </c>
    </row>
    <row r="530" spans="1:9" ht="13.8">
      <c r="A530" s="20">
        <f t="shared" ca="1" si="16"/>
        <v>42038</v>
      </c>
      <c r="B530" s="21" t="str">
        <f ca="1"/>
        <v>2015-02-03</v>
      </c>
      <c r="C530" s="22">
        <f ca="1"/>
        <v>41.630001</v>
      </c>
      <c r="D530" s="22">
        <f ca="1"/>
        <v>41.93</v>
      </c>
      <c r="E530" s="22">
        <f ca="1"/>
        <v>41.049999</v>
      </c>
      <c r="F530" s="22">
        <f ca="1"/>
        <v>41.599997999999999</v>
      </c>
      <c r="G530" s="22">
        <f ca="1"/>
        <v>36.307858000000003</v>
      </c>
      <c r="H530" s="69">
        <f ca="1"/>
        <v>52082400</v>
      </c>
      <c r="I530" s="23" t="str">
        <f t="shared" ca="1" si="17"/>
        <v/>
      </c>
    </row>
    <row r="531" spans="1:9" ht="13.8">
      <c r="A531" s="20">
        <f t="shared" ca="1" si="16"/>
        <v>42039</v>
      </c>
      <c r="B531" s="21" t="str">
        <f ca="1"/>
        <v>2015-02-04</v>
      </c>
      <c r="C531" s="22">
        <f ca="1"/>
        <v>41.939999</v>
      </c>
      <c r="D531" s="22">
        <f ca="1"/>
        <v>42.209999000000003</v>
      </c>
      <c r="E531" s="22">
        <f ca="1"/>
        <v>41.360000999999997</v>
      </c>
      <c r="F531" s="22">
        <f ca="1"/>
        <v>41.84</v>
      </c>
      <c r="G531" s="22">
        <f ca="1"/>
        <v>36.517330000000001</v>
      </c>
      <c r="H531" s="69">
        <f ca="1"/>
        <v>41614800</v>
      </c>
      <c r="I531" s="23" t="str">
        <f t="shared" ca="1" si="17"/>
        <v/>
      </c>
    </row>
    <row r="532" spans="1:9" ht="13.8">
      <c r="A532" s="20">
        <f t="shared" ca="1" si="16"/>
        <v>42040</v>
      </c>
      <c r="B532" s="21" t="str">
        <f ca="1"/>
        <v>2015-02-05</v>
      </c>
      <c r="C532" s="22">
        <f ca="1"/>
        <v>42.220001000000003</v>
      </c>
      <c r="D532" s="22">
        <f ca="1"/>
        <v>42.639999000000003</v>
      </c>
      <c r="E532" s="22">
        <f ca="1"/>
        <v>41.860000999999997</v>
      </c>
      <c r="F532" s="22">
        <f ca="1"/>
        <v>42.450001</v>
      </c>
      <c r="G532" s="22">
        <f ca="1"/>
        <v>37.049728000000002</v>
      </c>
      <c r="H532" s="69">
        <f ca="1"/>
        <v>36548200</v>
      </c>
      <c r="I532" s="23" t="str">
        <f t="shared" ca="1" si="17"/>
        <v/>
      </c>
    </row>
    <row r="533" spans="1:9" ht="13.8">
      <c r="A533" s="20">
        <f t="shared" ca="1" si="16"/>
        <v>42041</v>
      </c>
      <c r="B533" s="21" t="str">
        <f ca="1"/>
        <v>2015-02-06</v>
      </c>
      <c r="C533" s="22">
        <f ca="1"/>
        <v>42.68</v>
      </c>
      <c r="D533" s="22">
        <f ca="1"/>
        <v>42.790000999999997</v>
      </c>
      <c r="E533" s="22">
        <f ca="1"/>
        <v>42.150002000000001</v>
      </c>
      <c r="F533" s="22">
        <f ca="1"/>
        <v>42.41</v>
      </c>
      <c r="G533" s="22">
        <f ca="1"/>
        <v>37.014805000000003</v>
      </c>
      <c r="H533" s="69">
        <f ca="1"/>
        <v>34616600</v>
      </c>
      <c r="I533" s="23" t="str">
        <f t="shared" ca="1" si="17"/>
        <v/>
      </c>
    </row>
    <row r="534" spans="1:9" ht="13.8">
      <c r="A534" s="20">
        <f t="shared" ca="1" si="16"/>
        <v>42044</v>
      </c>
      <c r="B534" s="21" t="str">
        <f ca="1"/>
        <v>2015-02-09</v>
      </c>
      <c r="C534" s="22">
        <f ca="1"/>
        <v>42.240001999999997</v>
      </c>
      <c r="D534" s="22">
        <f ca="1"/>
        <v>42.740001999999997</v>
      </c>
      <c r="E534" s="22">
        <f ca="1"/>
        <v>42.209999000000003</v>
      </c>
      <c r="F534" s="22">
        <f ca="1"/>
        <v>42.360000999999997</v>
      </c>
      <c r="G534" s="22">
        <f ca="1"/>
        <v>36.971176</v>
      </c>
      <c r="H534" s="69">
        <f ca="1"/>
        <v>31381100</v>
      </c>
      <c r="I534" s="23" t="str">
        <f t="shared" ca="1" si="17"/>
        <v/>
      </c>
    </row>
    <row r="535" spans="1:9" ht="13.8">
      <c r="A535" s="20">
        <f t="shared" ca="1" si="16"/>
        <v>42045</v>
      </c>
      <c r="B535" s="21" t="str">
        <f ca="1"/>
        <v>2015-02-10</v>
      </c>
      <c r="C535" s="22">
        <f ca="1"/>
        <v>42.740001999999997</v>
      </c>
      <c r="D535" s="22">
        <f ca="1"/>
        <v>42.77</v>
      </c>
      <c r="E535" s="22">
        <f ca="1"/>
        <v>42.18</v>
      </c>
      <c r="F535" s="22">
        <f ca="1"/>
        <v>42.599997999999999</v>
      </c>
      <c r="G535" s="22">
        <f ca="1"/>
        <v>37.180649000000003</v>
      </c>
      <c r="H535" s="69">
        <f ca="1"/>
        <v>29670700</v>
      </c>
      <c r="I535" s="23" t="str">
        <f t="shared" ca="1" si="17"/>
        <v/>
      </c>
    </row>
    <row r="536" spans="1:9" ht="13.8">
      <c r="A536" s="20">
        <f t="shared" ca="1" si="16"/>
        <v>42046</v>
      </c>
      <c r="B536" s="21" t="str">
        <f ca="1"/>
        <v>2015-02-11</v>
      </c>
      <c r="C536" s="22">
        <f ca="1"/>
        <v>42.650002000000001</v>
      </c>
      <c r="D536" s="22">
        <f ca="1"/>
        <v>42.650002000000001</v>
      </c>
      <c r="E536" s="22">
        <f ca="1"/>
        <v>42.209999000000003</v>
      </c>
      <c r="F536" s="22">
        <f ca="1"/>
        <v>42.380001</v>
      </c>
      <c r="G536" s="22">
        <f ca="1"/>
        <v>36.988636</v>
      </c>
      <c r="H536" s="69">
        <f ca="1"/>
        <v>38262500</v>
      </c>
      <c r="I536" s="23" t="str">
        <f t="shared" ca="1" si="17"/>
        <v/>
      </c>
    </row>
    <row r="537" spans="1:9" ht="13.8">
      <c r="A537" s="20">
        <f t="shared" ca="1" si="16"/>
        <v>42047</v>
      </c>
      <c r="B537" s="21" t="str">
        <f ca="1"/>
        <v>2015-02-12</v>
      </c>
      <c r="C537" s="22">
        <f ca="1"/>
        <v>42.66</v>
      </c>
      <c r="D537" s="22">
        <f ca="1"/>
        <v>43.09</v>
      </c>
      <c r="E537" s="22">
        <f ca="1"/>
        <v>42.509998000000003</v>
      </c>
      <c r="F537" s="22">
        <f ca="1"/>
        <v>43.09</v>
      </c>
      <c r="G537" s="22">
        <f ca="1"/>
        <v>37.608311</v>
      </c>
      <c r="H537" s="69">
        <f ca="1"/>
        <v>33268800</v>
      </c>
      <c r="I537" s="23" t="str">
        <f t="shared" ca="1" si="17"/>
        <v/>
      </c>
    </row>
    <row r="538" spans="1:9" ht="13.8">
      <c r="A538" s="20">
        <f t="shared" ca="1" si="16"/>
        <v>42048</v>
      </c>
      <c r="B538" s="21" t="str">
        <f ca="1"/>
        <v>2015-02-13</v>
      </c>
      <c r="C538" s="22">
        <f ca="1"/>
        <v>43.380001</v>
      </c>
      <c r="D538" s="22">
        <f ca="1"/>
        <v>43.869999</v>
      </c>
      <c r="E538" s="22">
        <f ca="1"/>
        <v>43.150002000000001</v>
      </c>
      <c r="F538" s="22">
        <f ca="1"/>
        <v>43.869999</v>
      </c>
      <c r="G538" s="22">
        <f ca="1"/>
        <v>38.289073999999999</v>
      </c>
      <c r="H538" s="69">
        <f ca="1"/>
        <v>40264900</v>
      </c>
      <c r="I538" s="23" t="str">
        <f t="shared" ca="1" si="17"/>
        <v/>
      </c>
    </row>
    <row r="539" spans="1:9" ht="13.8">
      <c r="A539" s="20">
        <f t="shared" ca="1" si="16"/>
        <v>42052</v>
      </c>
      <c r="B539" s="21" t="str">
        <f ca="1"/>
        <v>2015-02-17</v>
      </c>
      <c r="C539" s="22">
        <f ca="1"/>
        <v>43.970001000000003</v>
      </c>
      <c r="D539" s="22">
        <f ca="1"/>
        <v>44</v>
      </c>
      <c r="E539" s="22">
        <f ca="1"/>
        <v>43.189999</v>
      </c>
      <c r="F539" s="22">
        <f ca="1"/>
        <v>43.580002</v>
      </c>
      <c r="G539" s="22">
        <f ca="1"/>
        <v>38.306671000000001</v>
      </c>
      <c r="H539" s="69">
        <f ca="1"/>
        <v>33695700</v>
      </c>
      <c r="I539" s="23">
        <f t="shared" ca="1" si="17"/>
        <v>0.31</v>
      </c>
    </row>
    <row r="540" spans="1:9" ht="13.8">
      <c r="A540" s="20">
        <f t="shared" ca="1" si="16"/>
        <v>42053</v>
      </c>
      <c r="B540" s="21" t="str">
        <f ca="1"/>
        <v>2015-02-18</v>
      </c>
      <c r="C540" s="22">
        <f ca="1"/>
        <v>43.630001</v>
      </c>
      <c r="D540" s="22">
        <f ca="1"/>
        <v>43.700001</v>
      </c>
      <c r="E540" s="22">
        <f ca="1"/>
        <v>43.389999000000003</v>
      </c>
      <c r="F540" s="22">
        <f ca="1"/>
        <v>43.529998999999997</v>
      </c>
      <c r="G540" s="22">
        <f ca="1"/>
        <v>38.262714000000003</v>
      </c>
      <c r="H540" s="69">
        <f ca="1"/>
        <v>27111700</v>
      </c>
      <c r="I540" s="23" t="str">
        <f t="shared" ca="1" si="17"/>
        <v/>
      </c>
    </row>
    <row r="541" spans="1:9" ht="13.8">
      <c r="A541" s="20">
        <f t="shared" ca="1" si="16"/>
        <v>42054</v>
      </c>
      <c r="B541" s="21" t="str">
        <f ca="1"/>
        <v>2015-02-19</v>
      </c>
      <c r="C541" s="22">
        <f ca="1"/>
        <v>43.18</v>
      </c>
      <c r="D541" s="22">
        <f ca="1"/>
        <v>43.529998999999997</v>
      </c>
      <c r="E541" s="22">
        <f ca="1"/>
        <v>43.049999</v>
      </c>
      <c r="F541" s="22">
        <f ca="1"/>
        <v>43.5</v>
      </c>
      <c r="G541" s="22">
        <f ca="1"/>
        <v>38.236347000000002</v>
      </c>
      <c r="H541" s="69">
        <f ca="1"/>
        <v>27603400</v>
      </c>
      <c r="I541" s="23" t="str">
        <f t="shared" ca="1" si="17"/>
        <v/>
      </c>
    </row>
    <row r="542" spans="1:9" ht="13.8">
      <c r="A542" s="20">
        <f t="shared" ca="1" si="16"/>
        <v>42055</v>
      </c>
      <c r="B542" s="21" t="str">
        <f ca="1"/>
        <v>2015-02-20</v>
      </c>
      <c r="C542" s="22">
        <f ca="1"/>
        <v>43.509998000000003</v>
      </c>
      <c r="D542" s="22">
        <f ca="1"/>
        <v>43.880001</v>
      </c>
      <c r="E542" s="22">
        <f ca="1"/>
        <v>43.290000999999997</v>
      </c>
      <c r="F542" s="22">
        <f ca="1"/>
        <v>43.860000999999997</v>
      </c>
      <c r="G542" s="22">
        <f ca="1"/>
        <v>38.552776000000001</v>
      </c>
      <c r="H542" s="69">
        <f ca="1"/>
        <v>29721100</v>
      </c>
      <c r="I542" s="23" t="str">
        <f t="shared" ca="1" si="17"/>
        <v/>
      </c>
    </row>
    <row r="543" spans="1:9" ht="13.8">
      <c r="A543" s="20">
        <f t="shared" ca="1" si="16"/>
        <v>42058</v>
      </c>
      <c r="B543" s="21" t="str">
        <f ca="1"/>
        <v>2015-02-23</v>
      </c>
      <c r="C543" s="22">
        <f ca="1"/>
        <v>43.700001</v>
      </c>
      <c r="D543" s="22">
        <f ca="1"/>
        <v>44.189999</v>
      </c>
      <c r="E543" s="22">
        <f ca="1"/>
        <v>43.650002000000001</v>
      </c>
      <c r="F543" s="22">
        <f ca="1"/>
        <v>44.150002000000001</v>
      </c>
      <c r="G543" s="22">
        <f ca="1"/>
        <v>38.807693</v>
      </c>
      <c r="H543" s="69">
        <f ca="1"/>
        <v>32518800</v>
      </c>
      <c r="I543" s="23" t="str">
        <f t="shared" ca="1" si="17"/>
        <v/>
      </c>
    </row>
    <row r="544" spans="1:9" ht="13.8">
      <c r="A544" s="20">
        <f t="shared" ca="1" si="16"/>
        <v>42059</v>
      </c>
      <c r="B544" s="21" t="str">
        <f ca="1"/>
        <v>2015-02-24</v>
      </c>
      <c r="C544" s="22">
        <f ca="1"/>
        <v>44.150002000000001</v>
      </c>
      <c r="D544" s="22">
        <f ca="1"/>
        <v>44.299999</v>
      </c>
      <c r="E544" s="22">
        <f ca="1"/>
        <v>43.919998</v>
      </c>
      <c r="F544" s="22">
        <f ca="1"/>
        <v>44.09</v>
      </c>
      <c r="G544" s="22">
        <f ca="1"/>
        <v>38.754947999999999</v>
      </c>
      <c r="H544" s="69">
        <f ca="1"/>
        <v>25271700</v>
      </c>
      <c r="I544" s="23" t="str">
        <f t="shared" ca="1" si="17"/>
        <v/>
      </c>
    </row>
    <row r="545" spans="1:9" ht="13.8">
      <c r="A545" s="20">
        <f t="shared" ca="1" si="16"/>
        <v>42060</v>
      </c>
      <c r="B545" s="21" t="str">
        <f ca="1"/>
        <v>2015-02-25</v>
      </c>
      <c r="C545" s="22">
        <f ca="1"/>
        <v>43.950001</v>
      </c>
      <c r="D545" s="22">
        <f ca="1"/>
        <v>44.09</v>
      </c>
      <c r="E545" s="22">
        <f ca="1"/>
        <v>43.799999</v>
      </c>
      <c r="F545" s="22">
        <f ca="1"/>
        <v>43.990001999999997</v>
      </c>
      <c r="G545" s="22">
        <f ca="1"/>
        <v>38.667053000000003</v>
      </c>
      <c r="H545" s="69">
        <f ca="1"/>
        <v>29759800</v>
      </c>
      <c r="I545" s="23" t="str">
        <f t="shared" ca="1" si="17"/>
        <v/>
      </c>
    </row>
    <row r="546" spans="1:9" ht="13.8">
      <c r="A546" s="20">
        <f t="shared" ca="1" si="16"/>
        <v>42061</v>
      </c>
      <c r="B546" s="21" t="str">
        <f ca="1"/>
        <v>2015-02-26</v>
      </c>
      <c r="C546" s="22">
        <f ca="1"/>
        <v>43.990001999999997</v>
      </c>
      <c r="D546" s="22">
        <f ca="1"/>
        <v>44.23</v>
      </c>
      <c r="E546" s="22">
        <f ca="1"/>
        <v>43.889999000000003</v>
      </c>
      <c r="F546" s="22">
        <f ca="1"/>
        <v>44.060001</v>
      </c>
      <c r="G546" s="22">
        <f ca="1"/>
        <v>38.728583999999998</v>
      </c>
      <c r="H546" s="69">
        <f ca="1"/>
        <v>28957300</v>
      </c>
      <c r="I546" s="23" t="str">
        <f t="shared" ca="1" si="17"/>
        <v/>
      </c>
    </row>
    <row r="547" spans="1:9" ht="13.8">
      <c r="A547" s="20">
        <f t="shared" ca="1" si="16"/>
        <v>42062</v>
      </c>
      <c r="B547" s="21" t="str">
        <f ca="1"/>
        <v>2015-02-27</v>
      </c>
      <c r="C547" s="22">
        <f ca="1"/>
        <v>44.130001</v>
      </c>
      <c r="D547" s="22">
        <f ca="1"/>
        <v>44.200001</v>
      </c>
      <c r="E547" s="22">
        <f ca="1"/>
        <v>43.66</v>
      </c>
      <c r="F547" s="22">
        <f ca="1"/>
        <v>43.849997999999999</v>
      </c>
      <c r="G547" s="22">
        <f ca="1"/>
        <v>38.543979999999998</v>
      </c>
      <c r="H547" s="69">
        <f ca="1"/>
        <v>33807700</v>
      </c>
      <c r="I547" s="23" t="str">
        <f t="shared" ca="1" si="17"/>
        <v/>
      </c>
    </row>
    <row r="548" spans="1:9" ht="13.8">
      <c r="A548" s="20">
        <f t="shared" ca="1" si="16"/>
        <v>42065</v>
      </c>
      <c r="B548" s="21" t="str">
        <f ca="1"/>
        <v>2015-03-02</v>
      </c>
      <c r="C548" s="22">
        <f ca="1"/>
        <v>43.669998</v>
      </c>
      <c r="D548" s="22">
        <f ca="1"/>
        <v>44.189999</v>
      </c>
      <c r="E548" s="22">
        <f ca="1"/>
        <v>43.549999</v>
      </c>
      <c r="F548" s="22">
        <f ca="1"/>
        <v>43.880001</v>
      </c>
      <c r="G548" s="22">
        <f ca="1"/>
        <v>38.570362000000003</v>
      </c>
      <c r="H548" s="69">
        <f ca="1"/>
        <v>31924000</v>
      </c>
      <c r="I548" s="23" t="str">
        <f t="shared" ca="1" si="17"/>
        <v/>
      </c>
    </row>
    <row r="549" spans="1:9" ht="13.8">
      <c r="A549" s="20">
        <f t="shared" ca="1" si="16"/>
        <v>42066</v>
      </c>
      <c r="B549" s="21" t="str">
        <f ca="1"/>
        <v>2015-03-03</v>
      </c>
      <c r="C549" s="22">
        <f ca="1"/>
        <v>43.560001</v>
      </c>
      <c r="D549" s="22">
        <f ca="1"/>
        <v>43.830002</v>
      </c>
      <c r="E549" s="22">
        <f ca="1"/>
        <v>43.09</v>
      </c>
      <c r="F549" s="22">
        <f ca="1"/>
        <v>43.279998999999997</v>
      </c>
      <c r="G549" s="22">
        <f ca="1"/>
        <v>38.042960999999998</v>
      </c>
      <c r="H549" s="69">
        <f ca="1"/>
        <v>31748600</v>
      </c>
      <c r="I549" s="23" t="str">
        <f t="shared" ca="1" si="17"/>
        <v/>
      </c>
    </row>
    <row r="550" spans="1:9" ht="13.8">
      <c r="A550" s="20">
        <f t="shared" ca="1" si="16"/>
        <v>42067</v>
      </c>
      <c r="B550" s="21" t="str">
        <f ca="1"/>
        <v>2015-03-04</v>
      </c>
      <c r="C550" s="22">
        <f ca="1"/>
        <v>43.009998000000003</v>
      </c>
      <c r="D550" s="22">
        <f ca="1"/>
        <v>43.209999000000003</v>
      </c>
      <c r="E550" s="22">
        <f ca="1"/>
        <v>42.880001</v>
      </c>
      <c r="F550" s="22">
        <f ca="1"/>
        <v>43.060001</v>
      </c>
      <c r="G550" s="22">
        <f ca="1"/>
        <v>37.849578999999999</v>
      </c>
      <c r="H550" s="69">
        <f ca="1"/>
        <v>25748700</v>
      </c>
      <c r="I550" s="23" t="str">
        <f t="shared" ca="1" si="17"/>
        <v/>
      </c>
    </row>
    <row r="551" spans="1:9" ht="13.8">
      <c r="A551" s="20">
        <f t="shared" ca="1" si="16"/>
        <v>42068</v>
      </c>
      <c r="B551" s="21" t="str">
        <f ca="1"/>
        <v>2015-03-05</v>
      </c>
      <c r="C551" s="22">
        <f ca="1"/>
        <v>43.07</v>
      </c>
      <c r="D551" s="22">
        <f ca="1"/>
        <v>43.240001999999997</v>
      </c>
      <c r="E551" s="22">
        <f ca="1"/>
        <v>42.82</v>
      </c>
      <c r="F551" s="22">
        <f ca="1"/>
        <v>43.110000999999997</v>
      </c>
      <c r="G551" s="22">
        <f ca="1"/>
        <v>37.893520000000002</v>
      </c>
      <c r="H551" s="69">
        <f ca="1"/>
        <v>23193500</v>
      </c>
      <c r="I551" s="23" t="str">
        <f t="shared" ca="1" si="17"/>
        <v/>
      </c>
    </row>
    <row r="552" spans="1:9" ht="13.8">
      <c r="A552" s="20">
        <f t="shared" ca="1" si="16"/>
        <v>42069</v>
      </c>
      <c r="B552" s="21" t="str">
        <f ca="1"/>
        <v>2015-03-06</v>
      </c>
      <c r="C552" s="22">
        <f ca="1"/>
        <v>43</v>
      </c>
      <c r="D552" s="22">
        <f ca="1"/>
        <v>43.110000999999997</v>
      </c>
      <c r="E552" s="22">
        <f ca="1"/>
        <v>42.150002000000001</v>
      </c>
      <c r="F552" s="22">
        <f ca="1"/>
        <v>42.360000999999997</v>
      </c>
      <c r="G552" s="22">
        <f ca="1"/>
        <v>37.234290999999999</v>
      </c>
      <c r="H552" s="69">
        <f ca="1"/>
        <v>36248800</v>
      </c>
      <c r="I552" s="23" t="str">
        <f t="shared" ca="1" si="17"/>
        <v/>
      </c>
    </row>
    <row r="553" spans="1:9" ht="13.8">
      <c r="A553" s="20">
        <f t="shared" ca="1" si="16"/>
        <v>42072</v>
      </c>
      <c r="B553" s="21" t="str">
        <f ca="1"/>
        <v>2015-03-09</v>
      </c>
      <c r="C553" s="22">
        <f ca="1"/>
        <v>42.189999</v>
      </c>
      <c r="D553" s="22">
        <f ca="1"/>
        <v>43.130001</v>
      </c>
      <c r="E553" s="22">
        <f ca="1"/>
        <v>42.189999</v>
      </c>
      <c r="F553" s="22">
        <f ca="1"/>
        <v>42.849997999999999</v>
      </c>
      <c r="G553" s="22">
        <f ca="1"/>
        <v>37.665000999999997</v>
      </c>
      <c r="H553" s="69">
        <f ca="1"/>
        <v>32108000</v>
      </c>
      <c r="I553" s="23" t="str">
        <f t="shared" ca="1" si="17"/>
        <v/>
      </c>
    </row>
    <row r="554" spans="1:9" ht="13.8">
      <c r="A554" s="20">
        <f t="shared" ca="1" si="16"/>
        <v>42073</v>
      </c>
      <c r="B554" s="21" t="str">
        <f ca="1"/>
        <v>2015-03-10</v>
      </c>
      <c r="C554" s="22">
        <f ca="1"/>
        <v>42.349997999999999</v>
      </c>
      <c r="D554" s="22">
        <f ca="1"/>
        <v>42.709999000000003</v>
      </c>
      <c r="E554" s="22">
        <f ca="1"/>
        <v>42.029998999999997</v>
      </c>
      <c r="F554" s="22">
        <f ca="1"/>
        <v>42.029998999999997</v>
      </c>
      <c r="G554" s="22">
        <f ca="1"/>
        <v>36.944217999999999</v>
      </c>
      <c r="H554" s="69">
        <f ca="1"/>
        <v>39159700</v>
      </c>
      <c r="I554" s="23" t="str">
        <f t="shared" ca="1" si="17"/>
        <v/>
      </c>
    </row>
    <row r="555" spans="1:9" ht="13.8">
      <c r="A555" s="20">
        <f t="shared" ca="1" si="16"/>
        <v>42074</v>
      </c>
      <c r="B555" s="21" t="str">
        <f ca="1"/>
        <v>2015-03-11</v>
      </c>
      <c r="C555" s="22">
        <f ca="1"/>
        <v>42.310001</v>
      </c>
      <c r="D555" s="22">
        <f ca="1"/>
        <v>42.369999</v>
      </c>
      <c r="E555" s="22">
        <f ca="1"/>
        <v>41.84</v>
      </c>
      <c r="F555" s="22">
        <f ca="1"/>
        <v>41.98</v>
      </c>
      <c r="G555" s="22">
        <f ca="1"/>
        <v>36.900261</v>
      </c>
      <c r="H555" s="69">
        <f ca="1"/>
        <v>32215300</v>
      </c>
      <c r="I555" s="23" t="str">
        <f t="shared" ca="1" si="17"/>
        <v/>
      </c>
    </row>
    <row r="556" spans="1:9" ht="13.8">
      <c r="A556" s="20">
        <f t="shared" ca="1" si="16"/>
        <v>42075</v>
      </c>
      <c r="B556" s="21" t="str">
        <f ca="1"/>
        <v>2015-03-12</v>
      </c>
      <c r="C556" s="22">
        <f ca="1"/>
        <v>41.330002</v>
      </c>
      <c r="D556" s="22">
        <f ca="1"/>
        <v>41.650002000000001</v>
      </c>
      <c r="E556" s="22">
        <f ca="1"/>
        <v>40.860000999999997</v>
      </c>
      <c r="F556" s="22">
        <f ca="1"/>
        <v>41.02</v>
      </c>
      <c r="G556" s="22">
        <f ca="1"/>
        <v>36.056438</v>
      </c>
      <c r="H556" s="69">
        <f ca="1"/>
        <v>59992500</v>
      </c>
      <c r="I556" s="23" t="str">
        <f t="shared" ca="1" si="17"/>
        <v/>
      </c>
    </row>
    <row r="557" spans="1:9" ht="13.8">
      <c r="A557" s="20">
        <f t="shared" ca="1" si="16"/>
        <v>42076</v>
      </c>
      <c r="B557" s="21" t="str">
        <f ca="1"/>
        <v>2015-03-13</v>
      </c>
      <c r="C557" s="22">
        <f ca="1"/>
        <v>40.700001</v>
      </c>
      <c r="D557" s="22">
        <f ca="1"/>
        <v>41.470001000000003</v>
      </c>
      <c r="E557" s="22">
        <f ca="1"/>
        <v>40.610000999999997</v>
      </c>
      <c r="F557" s="22">
        <f ca="1"/>
        <v>41.380001</v>
      </c>
      <c r="G557" s="22">
        <f ca="1"/>
        <v>36.372867999999997</v>
      </c>
      <c r="H557" s="69">
        <f ca="1"/>
        <v>58007700</v>
      </c>
      <c r="I557" s="23" t="str">
        <f t="shared" ca="1" si="17"/>
        <v/>
      </c>
    </row>
    <row r="558" spans="1:9" ht="13.8">
      <c r="A558" s="20">
        <f t="shared" ca="1" si="16"/>
        <v>42079</v>
      </c>
      <c r="B558" s="21" t="str">
        <f ca="1"/>
        <v>2015-03-16</v>
      </c>
      <c r="C558" s="22">
        <f ca="1"/>
        <v>41.470001000000003</v>
      </c>
      <c r="D558" s="22">
        <f ca="1"/>
        <v>41.639999000000003</v>
      </c>
      <c r="E558" s="22">
        <f ca="1"/>
        <v>41.279998999999997</v>
      </c>
      <c r="F558" s="22">
        <f ca="1"/>
        <v>41.560001</v>
      </c>
      <c r="G558" s="22">
        <f ca="1"/>
        <v>36.531094000000003</v>
      </c>
      <c r="H558" s="69">
        <f ca="1"/>
        <v>35273500</v>
      </c>
      <c r="I558" s="23" t="str">
        <f t="shared" ca="1" si="17"/>
        <v/>
      </c>
    </row>
    <row r="559" spans="1:9" ht="13.8">
      <c r="A559" s="20">
        <f t="shared" ca="1" si="16"/>
        <v>42080</v>
      </c>
      <c r="B559" s="21" t="str">
        <f ca="1"/>
        <v>2015-03-17</v>
      </c>
      <c r="C559" s="22">
        <f ca="1"/>
        <v>41.369999</v>
      </c>
      <c r="D559" s="22">
        <f ca="1"/>
        <v>41.830002</v>
      </c>
      <c r="E559" s="22">
        <f ca="1"/>
        <v>41.150002000000001</v>
      </c>
      <c r="F559" s="22">
        <f ca="1"/>
        <v>41.700001</v>
      </c>
      <c r="G559" s="22">
        <f ca="1"/>
        <v>36.654152000000003</v>
      </c>
      <c r="H559" s="69">
        <f ca="1"/>
        <v>31673400</v>
      </c>
      <c r="I559" s="23" t="str">
        <f t="shared" ca="1" si="17"/>
        <v/>
      </c>
    </row>
    <row r="560" spans="1:9" ht="13.8">
      <c r="A560" s="20">
        <f t="shared" ca="1" si="16"/>
        <v>42081</v>
      </c>
      <c r="B560" s="21" t="str">
        <f ca="1"/>
        <v>2015-03-18</v>
      </c>
      <c r="C560" s="22">
        <f ca="1"/>
        <v>41.43</v>
      </c>
      <c r="D560" s="22">
        <f ca="1"/>
        <v>42.830002</v>
      </c>
      <c r="E560" s="22">
        <f ca="1"/>
        <v>41.330002</v>
      </c>
      <c r="F560" s="22">
        <f ca="1"/>
        <v>42.5</v>
      </c>
      <c r="G560" s="22">
        <f ca="1"/>
        <v>37.357342000000003</v>
      </c>
      <c r="H560" s="69">
        <f ca="1"/>
        <v>44194800</v>
      </c>
      <c r="I560" s="23" t="str">
        <f t="shared" ca="1" si="17"/>
        <v/>
      </c>
    </row>
    <row r="561" spans="1:9" ht="13.8">
      <c r="A561" s="20">
        <f t="shared" ca="1" si="16"/>
        <v>42082</v>
      </c>
      <c r="B561" s="21" t="str">
        <f ca="1"/>
        <v>2015-03-19</v>
      </c>
      <c r="C561" s="22">
        <f ca="1"/>
        <v>42.259998000000003</v>
      </c>
      <c r="D561" s="22">
        <f ca="1"/>
        <v>42.59</v>
      </c>
      <c r="E561" s="22">
        <f ca="1"/>
        <v>42.220001000000003</v>
      </c>
      <c r="F561" s="22">
        <f ca="1"/>
        <v>42.290000999999997</v>
      </c>
      <c r="G561" s="22">
        <f ca="1"/>
        <v>37.172756</v>
      </c>
      <c r="H561" s="69">
        <f ca="1"/>
        <v>33879100</v>
      </c>
      <c r="I561" s="23" t="str">
        <f t="shared" ca="1" si="17"/>
        <v/>
      </c>
    </row>
    <row r="562" spans="1:9" ht="13.8">
      <c r="A562" s="20">
        <f t="shared" ca="1" si="16"/>
        <v>42083</v>
      </c>
      <c r="B562" s="21" t="str">
        <f ca="1"/>
        <v>2015-03-20</v>
      </c>
      <c r="C562" s="22">
        <f ca="1"/>
        <v>42.560001</v>
      </c>
      <c r="D562" s="22">
        <f ca="1"/>
        <v>42.98</v>
      </c>
      <c r="E562" s="22">
        <f ca="1"/>
        <v>42.490001999999997</v>
      </c>
      <c r="F562" s="22">
        <f ca="1"/>
        <v>42.880001</v>
      </c>
      <c r="G562" s="22">
        <f ca="1"/>
        <v>37.691360000000003</v>
      </c>
      <c r="H562" s="69">
        <f ca="1"/>
        <v>71904500</v>
      </c>
      <c r="I562" s="23" t="str">
        <f t="shared" ca="1" si="17"/>
        <v/>
      </c>
    </row>
    <row r="563" spans="1:9" ht="13.8">
      <c r="A563" s="20">
        <f t="shared" ca="1" si="16"/>
        <v>42086</v>
      </c>
      <c r="B563" s="21" t="str">
        <f ca="1"/>
        <v>2015-03-23</v>
      </c>
      <c r="C563" s="22">
        <f ca="1"/>
        <v>42.880001</v>
      </c>
      <c r="D563" s="22">
        <f ca="1"/>
        <v>43.130001</v>
      </c>
      <c r="E563" s="22">
        <f ca="1"/>
        <v>42.779998999999997</v>
      </c>
      <c r="F563" s="22">
        <f ca="1"/>
        <v>42.860000999999997</v>
      </c>
      <c r="G563" s="22">
        <f ca="1"/>
        <v>37.673786</v>
      </c>
      <c r="H563" s="69">
        <f ca="1"/>
        <v>26246100</v>
      </c>
      <c r="I563" s="23" t="str">
        <f t="shared" ca="1" si="17"/>
        <v/>
      </c>
    </row>
    <row r="564" spans="1:9" ht="13.8">
      <c r="A564" s="20">
        <f t="shared" ca="1" si="16"/>
        <v>42087</v>
      </c>
      <c r="B564" s="21" t="str">
        <f ca="1"/>
        <v>2015-03-24</v>
      </c>
      <c r="C564" s="22">
        <f ca="1"/>
        <v>42.779998999999997</v>
      </c>
      <c r="D564" s="22">
        <f ca="1"/>
        <v>43.169998</v>
      </c>
      <c r="E564" s="22">
        <f ca="1"/>
        <v>42.75</v>
      </c>
      <c r="F564" s="22">
        <f ca="1"/>
        <v>42.900002000000001</v>
      </c>
      <c r="G564" s="22">
        <f ca="1"/>
        <v>37.708958000000003</v>
      </c>
      <c r="H564" s="69">
        <f ca="1"/>
        <v>25513300</v>
      </c>
      <c r="I564" s="23" t="str">
        <f t="shared" ca="1" si="17"/>
        <v/>
      </c>
    </row>
    <row r="565" spans="1:9" ht="13.8">
      <c r="A565" s="20">
        <f t="shared" ca="1" si="16"/>
        <v>42088</v>
      </c>
      <c r="B565" s="21" t="str">
        <f ca="1"/>
        <v>2015-03-25</v>
      </c>
      <c r="C565" s="22">
        <f ca="1"/>
        <v>42.919998</v>
      </c>
      <c r="D565" s="22">
        <f ca="1"/>
        <v>42.93</v>
      </c>
      <c r="E565" s="22">
        <f ca="1"/>
        <v>41.439999</v>
      </c>
      <c r="F565" s="22">
        <f ca="1"/>
        <v>41.459999000000003</v>
      </c>
      <c r="G565" s="22">
        <f ca="1"/>
        <v>36.443192000000003</v>
      </c>
      <c r="H565" s="69">
        <f ca="1"/>
        <v>43469900</v>
      </c>
      <c r="I565" s="23" t="str">
        <f t="shared" ca="1" si="17"/>
        <v/>
      </c>
    </row>
    <row r="566" spans="1:9" ht="13.8">
      <c r="A566" s="20">
        <f t="shared" ca="1" si="16"/>
        <v>42089</v>
      </c>
      <c r="B566" s="21" t="str">
        <f ca="1"/>
        <v>2015-03-26</v>
      </c>
      <c r="C566" s="22">
        <f ca="1"/>
        <v>41.220001000000003</v>
      </c>
      <c r="D566" s="22">
        <f ca="1"/>
        <v>41.610000999999997</v>
      </c>
      <c r="E566" s="22">
        <f ca="1"/>
        <v>40.919998</v>
      </c>
      <c r="F566" s="22">
        <f ca="1"/>
        <v>41.209999000000003</v>
      </c>
      <c r="G566" s="22">
        <f ca="1"/>
        <v>36.223438000000002</v>
      </c>
      <c r="H566" s="69">
        <f ca="1"/>
        <v>37495600</v>
      </c>
      <c r="I566" s="23" t="str">
        <f t="shared" ca="1" si="17"/>
        <v/>
      </c>
    </row>
    <row r="567" spans="1:9" ht="13.8">
      <c r="A567" s="20">
        <f t="shared" ca="1" si="16"/>
        <v>42090</v>
      </c>
      <c r="B567" s="21" t="str">
        <f ca="1"/>
        <v>2015-03-27</v>
      </c>
      <c r="C567" s="22">
        <f ca="1"/>
        <v>41.119999</v>
      </c>
      <c r="D567" s="22">
        <f ca="1"/>
        <v>41.43</v>
      </c>
      <c r="E567" s="22">
        <f ca="1"/>
        <v>40.830002</v>
      </c>
      <c r="F567" s="22">
        <f ca="1"/>
        <v>40.970001000000003</v>
      </c>
      <c r="G567" s="22">
        <f ca="1"/>
        <v>36.012478000000002</v>
      </c>
      <c r="H567" s="69">
        <f ca="1"/>
        <v>34401400</v>
      </c>
      <c r="I567" s="23" t="str">
        <f t="shared" ca="1" si="17"/>
        <v/>
      </c>
    </row>
    <row r="568" spans="1:9" ht="13.8">
      <c r="A568" s="20">
        <f t="shared" ca="1" si="16"/>
        <v>42093</v>
      </c>
      <c r="B568" s="21" t="str">
        <f ca="1"/>
        <v>2015-03-30</v>
      </c>
      <c r="C568" s="22">
        <f ca="1"/>
        <v>41.099997999999999</v>
      </c>
      <c r="D568" s="22">
        <f ca="1"/>
        <v>41.540000999999997</v>
      </c>
      <c r="E568" s="22">
        <f ca="1"/>
        <v>40.909999999999997</v>
      </c>
      <c r="F568" s="22">
        <f ca="1"/>
        <v>40.959999000000003</v>
      </c>
      <c r="G568" s="22">
        <f ca="1"/>
        <v>36.003695999999998</v>
      </c>
      <c r="H568" s="69">
        <f ca="1"/>
        <v>35049700</v>
      </c>
      <c r="I568" s="23" t="str">
        <f t="shared" ca="1" si="17"/>
        <v/>
      </c>
    </row>
    <row r="569" spans="1:9" ht="13.8">
      <c r="A569" s="20">
        <f t="shared" ca="1" si="16"/>
        <v>42094</v>
      </c>
      <c r="B569" s="21" t="str">
        <f ca="1"/>
        <v>2015-03-31</v>
      </c>
      <c r="C569" s="22">
        <f ca="1"/>
        <v>40.779998999999997</v>
      </c>
      <c r="D569" s="22">
        <f ca="1"/>
        <v>41.029998999999997</v>
      </c>
      <c r="E569" s="22">
        <f ca="1"/>
        <v>40.540000999999997</v>
      </c>
      <c r="F569" s="22">
        <f ca="1"/>
        <v>40.659999999999997</v>
      </c>
      <c r="G569" s="22">
        <f ca="1"/>
        <v>35.739989999999999</v>
      </c>
      <c r="H569" s="69">
        <f ca="1"/>
        <v>34887200</v>
      </c>
      <c r="I569" s="23" t="str">
        <f t="shared" ca="1" si="17"/>
        <v/>
      </c>
    </row>
    <row r="570" spans="1:9" ht="13.8">
      <c r="A570" s="20">
        <f t="shared" ca="1" si="16"/>
        <v>42095</v>
      </c>
      <c r="B570" s="21" t="str">
        <f ca="1"/>
        <v>2015-04-01</v>
      </c>
      <c r="C570" s="22">
        <f ca="1"/>
        <v>40.599997999999999</v>
      </c>
      <c r="D570" s="22">
        <f ca="1"/>
        <v>40.759998000000003</v>
      </c>
      <c r="E570" s="22">
        <f ca="1"/>
        <v>40.310001</v>
      </c>
      <c r="F570" s="22">
        <f ca="1"/>
        <v>40.720001000000003</v>
      </c>
      <c r="G570" s="22">
        <f ca="1"/>
        <v>35.792721</v>
      </c>
      <c r="H570" s="69">
        <f ca="1"/>
        <v>36865300</v>
      </c>
      <c r="I570" s="23" t="str">
        <f t="shared" ca="1" si="17"/>
        <v/>
      </c>
    </row>
    <row r="571" spans="1:9" ht="13.8">
      <c r="A571" s="20">
        <f t="shared" ca="1" si="16"/>
        <v>42096</v>
      </c>
      <c r="B571" s="21" t="str">
        <f ca="1"/>
        <v>2015-04-02</v>
      </c>
      <c r="C571" s="22">
        <f ca="1"/>
        <v>40.659999999999997</v>
      </c>
      <c r="D571" s="22">
        <f ca="1"/>
        <v>40.740001999999997</v>
      </c>
      <c r="E571" s="22">
        <f ca="1"/>
        <v>40.119999</v>
      </c>
      <c r="F571" s="22">
        <f ca="1"/>
        <v>40.290000999999997</v>
      </c>
      <c r="G571" s="22">
        <f ca="1"/>
        <v>35.414757000000002</v>
      </c>
      <c r="H571" s="69">
        <f ca="1"/>
        <v>37487500</v>
      </c>
      <c r="I571" s="23" t="str">
        <f t="shared" ca="1" si="17"/>
        <v/>
      </c>
    </row>
    <row r="572" spans="1:9" ht="13.8">
      <c r="A572" s="20">
        <f t="shared" ca="1" si="16"/>
        <v>42100</v>
      </c>
      <c r="B572" s="21" t="str">
        <f ca="1"/>
        <v>2015-04-06</v>
      </c>
      <c r="C572" s="22">
        <f ca="1"/>
        <v>40.340000000000003</v>
      </c>
      <c r="D572" s="22">
        <f ca="1"/>
        <v>41.779998999999997</v>
      </c>
      <c r="E572" s="22">
        <f ca="1"/>
        <v>40.18</v>
      </c>
      <c r="F572" s="22">
        <f ca="1"/>
        <v>41.549999</v>
      </c>
      <c r="G572" s="22">
        <f ca="1"/>
        <v>36.522297000000002</v>
      </c>
      <c r="H572" s="69">
        <f ca="1"/>
        <v>39223700</v>
      </c>
      <c r="I572" s="23" t="str">
        <f t="shared" ca="1" si="17"/>
        <v/>
      </c>
    </row>
    <row r="573" spans="1:9" ht="13.8">
      <c r="A573" s="20">
        <f t="shared" ca="1" si="16"/>
        <v>42101</v>
      </c>
      <c r="B573" s="21" t="str">
        <f ca="1"/>
        <v>2015-04-07</v>
      </c>
      <c r="C573" s="22">
        <f ca="1"/>
        <v>41.610000999999997</v>
      </c>
      <c r="D573" s="22">
        <f ca="1"/>
        <v>41.91</v>
      </c>
      <c r="E573" s="22">
        <f ca="1"/>
        <v>41.310001</v>
      </c>
      <c r="F573" s="22">
        <f ca="1"/>
        <v>41.529998999999997</v>
      </c>
      <c r="G573" s="22">
        <f ca="1"/>
        <v>36.504707000000003</v>
      </c>
      <c r="H573" s="69">
        <f ca="1"/>
        <v>28809400</v>
      </c>
      <c r="I573" s="23" t="str">
        <f t="shared" ca="1" si="17"/>
        <v/>
      </c>
    </row>
    <row r="574" spans="1:9" ht="13.8">
      <c r="A574" s="20">
        <f t="shared" ca="1" si="16"/>
        <v>42102</v>
      </c>
      <c r="B574" s="21" t="str">
        <f ca="1"/>
        <v>2015-04-08</v>
      </c>
      <c r="C574" s="22">
        <f ca="1"/>
        <v>41.459999000000003</v>
      </c>
      <c r="D574" s="22">
        <f ca="1"/>
        <v>41.689999</v>
      </c>
      <c r="E574" s="22">
        <f ca="1"/>
        <v>41.040000999999997</v>
      </c>
      <c r="F574" s="22">
        <f ca="1"/>
        <v>41.419998</v>
      </c>
      <c r="G574" s="22">
        <f ca="1"/>
        <v>36.408011999999999</v>
      </c>
      <c r="H574" s="69">
        <f ca="1"/>
        <v>24753400</v>
      </c>
      <c r="I574" s="23" t="str">
        <f t="shared" ca="1" si="17"/>
        <v/>
      </c>
    </row>
    <row r="575" spans="1:9" ht="13.8">
      <c r="A575" s="20">
        <f t="shared" ca="1" si="16"/>
        <v>42103</v>
      </c>
      <c r="B575" s="21" t="str">
        <f ca="1"/>
        <v>2015-04-09</v>
      </c>
      <c r="C575" s="22">
        <f ca="1"/>
        <v>41.25</v>
      </c>
      <c r="D575" s="22">
        <f ca="1"/>
        <v>41.619999</v>
      </c>
      <c r="E575" s="22">
        <f ca="1"/>
        <v>41.25</v>
      </c>
      <c r="F575" s="22">
        <f ca="1"/>
        <v>41.48</v>
      </c>
      <c r="G575" s="22">
        <f ca="1"/>
        <v>36.460762000000003</v>
      </c>
      <c r="H575" s="69">
        <f ca="1"/>
        <v>25723900</v>
      </c>
      <c r="I575" s="23" t="str">
        <f t="shared" ca="1" si="17"/>
        <v/>
      </c>
    </row>
    <row r="576" spans="1:9" ht="13.8">
      <c r="A576" s="20">
        <f t="shared" ca="1" si="16"/>
        <v>42104</v>
      </c>
      <c r="B576" s="21" t="str">
        <f ca="1"/>
        <v>2015-04-10</v>
      </c>
      <c r="C576" s="22">
        <f ca="1"/>
        <v>41.630001</v>
      </c>
      <c r="D576" s="22">
        <f ca="1"/>
        <v>41.950001</v>
      </c>
      <c r="E576" s="22">
        <f ca="1"/>
        <v>41.41</v>
      </c>
      <c r="F576" s="22">
        <f ca="1"/>
        <v>41.720001000000003</v>
      </c>
      <c r="G576" s="22">
        <f ca="1"/>
        <v>36.671722000000003</v>
      </c>
      <c r="H576" s="69">
        <f ca="1"/>
        <v>28022000</v>
      </c>
      <c r="I576" s="23" t="str">
        <f t="shared" ca="1" si="17"/>
        <v/>
      </c>
    </row>
    <row r="577" spans="1:9" ht="13.8">
      <c r="A577" s="20">
        <f t="shared" ca="1" si="16"/>
        <v>42107</v>
      </c>
      <c r="B577" s="21" t="str">
        <f ca="1"/>
        <v>2015-04-13</v>
      </c>
      <c r="C577" s="22">
        <f ca="1"/>
        <v>41.400002000000001</v>
      </c>
      <c r="D577" s="22">
        <f ca="1"/>
        <v>42.060001</v>
      </c>
      <c r="E577" s="22">
        <f ca="1"/>
        <v>41.389999000000003</v>
      </c>
      <c r="F577" s="22">
        <f ca="1"/>
        <v>41.759998000000003</v>
      </c>
      <c r="G577" s="22">
        <f ca="1"/>
        <v>36.706882</v>
      </c>
      <c r="H577" s="69">
        <f ca="1"/>
        <v>30276700</v>
      </c>
      <c r="I577" s="23" t="str">
        <f t="shared" ca="1" si="17"/>
        <v/>
      </c>
    </row>
    <row r="578" spans="1:9" ht="13.8">
      <c r="A578" s="20">
        <f t="shared" ca="1" si="16"/>
        <v>42108</v>
      </c>
      <c r="B578" s="21" t="str">
        <f ca="1"/>
        <v>2015-04-14</v>
      </c>
      <c r="C578" s="22">
        <f ca="1"/>
        <v>41.799999</v>
      </c>
      <c r="D578" s="22">
        <f ca="1"/>
        <v>42.029998999999997</v>
      </c>
      <c r="E578" s="22">
        <f ca="1"/>
        <v>41.389999000000003</v>
      </c>
      <c r="F578" s="22">
        <f ca="1"/>
        <v>41.650002000000001</v>
      </c>
      <c r="G578" s="22">
        <f ca="1"/>
        <v>36.610194999999997</v>
      </c>
      <c r="H578" s="69">
        <f ca="1"/>
        <v>24244400</v>
      </c>
      <c r="I578" s="23" t="str">
        <f t="shared" ca="1" si="17"/>
        <v/>
      </c>
    </row>
    <row r="579" spans="1:9" ht="13.8">
      <c r="A579" s="20">
        <f t="shared" ca="1" si="16"/>
        <v>42109</v>
      </c>
      <c r="B579" s="21" t="str">
        <f ca="1"/>
        <v>2015-04-15</v>
      </c>
      <c r="C579" s="22">
        <f ca="1"/>
        <v>41.759998000000003</v>
      </c>
      <c r="D579" s="22">
        <f ca="1"/>
        <v>42.459999000000003</v>
      </c>
      <c r="E579" s="22">
        <f ca="1"/>
        <v>41.68</v>
      </c>
      <c r="F579" s="22">
        <f ca="1"/>
        <v>42.259998000000003</v>
      </c>
      <c r="G579" s="22">
        <f ca="1"/>
        <v>37.146377999999999</v>
      </c>
      <c r="H579" s="69">
        <f ca="1"/>
        <v>27343600</v>
      </c>
      <c r="I579" s="23" t="str">
        <f t="shared" ca="1" si="17"/>
        <v/>
      </c>
    </row>
    <row r="580" spans="1:9" ht="13.8">
      <c r="A580" s="20">
        <f t="shared" ca="1" si="16"/>
        <v>42110</v>
      </c>
      <c r="B580" s="21" t="str">
        <f ca="1"/>
        <v>2015-04-16</v>
      </c>
      <c r="C580" s="22">
        <f ca="1"/>
        <v>41.950001</v>
      </c>
      <c r="D580" s="22">
        <f ca="1"/>
        <v>42.34</v>
      </c>
      <c r="E580" s="22">
        <f ca="1"/>
        <v>41.82</v>
      </c>
      <c r="F580" s="22">
        <f ca="1"/>
        <v>42.16</v>
      </c>
      <c r="G580" s="22">
        <f ca="1"/>
        <v>37.058478999999998</v>
      </c>
      <c r="H580" s="69">
        <f ca="1"/>
        <v>22509700</v>
      </c>
      <c r="I580" s="23" t="str">
        <f t="shared" ca="1" si="17"/>
        <v/>
      </c>
    </row>
    <row r="581" spans="1:9" ht="13.8">
      <c r="A581" s="20">
        <f t="shared" ca="1" si="16"/>
        <v>42111</v>
      </c>
      <c r="B581" s="21" t="str">
        <f ca="1"/>
        <v>2015-04-17</v>
      </c>
      <c r="C581" s="22">
        <f ca="1"/>
        <v>41.669998</v>
      </c>
      <c r="D581" s="22">
        <f ca="1"/>
        <v>41.740001999999997</v>
      </c>
      <c r="E581" s="22">
        <f ca="1"/>
        <v>41.16</v>
      </c>
      <c r="F581" s="22">
        <f ca="1"/>
        <v>41.619999</v>
      </c>
      <c r="G581" s="22">
        <f ca="1"/>
        <v>36.583827999999997</v>
      </c>
      <c r="H581" s="69">
        <f ca="1"/>
        <v>42387600</v>
      </c>
      <c r="I581" s="23" t="str">
        <f t="shared" ca="1" si="17"/>
        <v/>
      </c>
    </row>
    <row r="582" spans="1:9" ht="13.8">
      <c r="A582" s="20">
        <f t="shared" ref="A582:A645" ca="1" si="18">IFERROR(DATEVALUE($B582),"--")</f>
        <v>42114</v>
      </c>
      <c r="B582" s="21" t="str">
        <f ca="1"/>
        <v>2015-04-20</v>
      </c>
      <c r="C582" s="22">
        <f ca="1"/>
        <v>41.73</v>
      </c>
      <c r="D582" s="22">
        <f ca="1"/>
        <v>43.169998</v>
      </c>
      <c r="E582" s="22">
        <f ca="1"/>
        <v>41.68</v>
      </c>
      <c r="F582" s="22">
        <f ca="1"/>
        <v>42.91</v>
      </c>
      <c r="G582" s="22">
        <f ca="1"/>
        <v>37.717739000000002</v>
      </c>
      <c r="H582" s="69">
        <f ca="1"/>
        <v>46057700</v>
      </c>
      <c r="I582" s="23" t="str">
        <f t="shared" ref="I582:I645" ca="1" si="19">IFERROR(IF(Ticker&lt;&gt;$Q$2,"",INDEX($P:$P,MATCH($A582,$O:$O,0))),"")</f>
        <v/>
      </c>
    </row>
    <row r="583" spans="1:9" ht="13.8">
      <c r="A583" s="20">
        <f t="shared" ca="1" si="18"/>
        <v>42115</v>
      </c>
      <c r="B583" s="21" t="str">
        <f ca="1"/>
        <v>2015-04-21</v>
      </c>
      <c r="C583" s="22">
        <f ca="1"/>
        <v>43</v>
      </c>
      <c r="D583" s="22">
        <f ca="1"/>
        <v>43.150002000000001</v>
      </c>
      <c r="E583" s="22">
        <f ca="1"/>
        <v>42.529998999999997</v>
      </c>
      <c r="F583" s="22">
        <f ca="1"/>
        <v>42.639999000000003</v>
      </c>
      <c r="G583" s="22">
        <f ca="1"/>
        <v>37.480392000000002</v>
      </c>
      <c r="H583" s="69">
        <f ca="1"/>
        <v>26013800</v>
      </c>
      <c r="I583" s="23" t="str">
        <f t="shared" ca="1" si="19"/>
        <v/>
      </c>
    </row>
    <row r="584" spans="1:9" ht="13.8">
      <c r="A584" s="20">
        <f t="shared" ca="1" si="18"/>
        <v>42116</v>
      </c>
      <c r="B584" s="21" t="str">
        <f ca="1"/>
        <v>2015-04-22</v>
      </c>
      <c r="C584" s="22">
        <f ca="1"/>
        <v>42.669998</v>
      </c>
      <c r="D584" s="22">
        <f ca="1"/>
        <v>43.130001</v>
      </c>
      <c r="E584" s="22">
        <f ca="1"/>
        <v>42.549999</v>
      </c>
      <c r="F584" s="22">
        <f ca="1"/>
        <v>42.990001999999997</v>
      </c>
      <c r="G584" s="22">
        <f ca="1"/>
        <v>37.788052</v>
      </c>
      <c r="H584" s="69">
        <f ca="1"/>
        <v>25064300</v>
      </c>
      <c r="I584" s="23" t="str">
        <f t="shared" ca="1" si="19"/>
        <v/>
      </c>
    </row>
    <row r="585" spans="1:9" ht="13.8">
      <c r="A585" s="20">
        <f t="shared" ca="1" si="18"/>
        <v>42117</v>
      </c>
      <c r="B585" s="21" t="str">
        <f ca="1"/>
        <v>2015-04-23</v>
      </c>
      <c r="C585" s="22">
        <f ca="1"/>
        <v>42.889999000000003</v>
      </c>
      <c r="D585" s="22">
        <f ca="1"/>
        <v>43.610000999999997</v>
      </c>
      <c r="E585" s="22">
        <f ca="1"/>
        <v>42.799999</v>
      </c>
      <c r="F585" s="22">
        <f ca="1"/>
        <v>43.34</v>
      </c>
      <c r="G585" s="22">
        <f ca="1"/>
        <v>38.095699000000003</v>
      </c>
      <c r="H585" s="69">
        <f ca="1"/>
        <v>46309500</v>
      </c>
      <c r="I585" s="23" t="str">
        <f t="shared" ca="1" si="19"/>
        <v/>
      </c>
    </row>
    <row r="586" spans="1:9" ht="13.8">
      <c r="A586" s="20">
        <f t="shared" ca="1" si="18"/>
        <v>42118</v>
      </c>
      <c r="B586" s="21" t="str">
        <f ca="1"/>
        <v>2015-04-24</v>
      </c>
      <c r="C586" s="22">
        <f ca="1"/>
        <v>45.66</v>
      </c>
      <c r="D586" s="22">
        <f ca="1"/>
        <v>48.139999000000003</v>
      </c>
      <c r="E586" s="22">
        <f ca="1"/>
        <v>45.650002000000001</v>
      </c>
      <c r="F586" s="22">
        <f ca="1"/>
        <v>47.869999</v>
      </c>
      <c r="G586" s="22">
        <f ca="1"/>
        <v>42.077548999999998</v>
      </c>
      <c r="H586" s="69">
        <f ca="1"/>
        <v>130933700</v>
      </c>
      <c r="I586" s="23" t="str">
        <f t="shared" ca="1" si="19"/>
        <v/>
      </c>
    </row>
    <row r="587" spans="1:9" ht="13.8">
      <c r="A587" s="20">
        <f t="shared" ca="1" si="18"/>
        <v>42121</v>
      </c>
      <c r="B587" s="21" t="str">
        <f ca="1"/>
        <v>2015-04-27</v>
      </c>
      <c r="C587" s="22">
        <f ca="1"/>
        <v>47.23</v>
      </c>
      <c r="D587" s="22">
        <f ca="1"/>
        <v>48.130001</v>
      </c>
      <c r="E587" s="22">
        <f ca="1"/>
        <v>47.220001000000003</v>
      </c>
      <c r="F587" s="22">
        <f ca="1"/>
        <v>48.029998999999997</v>
      </c>
      <c r="G587" s="22">
        <f ca="1"/>
        <v>42.218197000000004</v>
      </c>
      <c r="H587" s="69">
        <f ca="1"/>
        <v>59248200</v>
      </c>
      <c r="I587" s="23" t="str">
        <f t="shared" ca="1" si="19"/>
        <v/>
      </c>
    </row>
    <row r="588" spans="1:9" ht="13.8">
      <c r="A588" s="20">
        <f t="shared" ca="1" si="18"/>
        <v>42122</v>
      </c>
      <c r="B588" s="21" t="str">
        <f ca="1"/>
        <v>2015-04-28</v>
      </c>
      <c r="C588" s="22">
        <f ca="1"/>
        <v>47.779998999999997</v>
      </c>
      <c r="D588" s="22">
        <f ca="1"/>
        <v>49.209999000000003</v>
      </c>
      <c r="E588" s="22">
        <f ca="1"/>
        <v>47.700001</v>
      </c>
      <c r="F588" s="22">
        <f ca="1"/>
        <v>49.16</v>
      </c>
      <c r="G588" s="22">
        <f ca="1"/>
        <v>43.211455999999998</v>
      </c>
      <c r="H588" s="69">
        <f ca="1"/>
        <v>60730800</v>
      </c>
      <c r="I588" s="23" t="str">
        <f t="shared" ca="1" si="19"/>
        <v/>
      </c>
    </row>
    <row r="589" spans="1:9" ht="13.8">
      <c r="A589" s="20">
        <f t="shared" ca="1" si="18"/>
        <v>42123</v>
      </c>
      <c r="B589" s="21" t="str">
        <f ca="1"/>
        <v>2015-04-29</v>
      </c>
      <c r="C589" s="22">
        <f ca="1"/>
        <v>48.720001000000003</v>
      </c>
      <c r="D589" s="22">
        <f ca="1"/>
        <v>49.310001</v>
      </c>
      <c r="E589" s="22">
        <f ca="1"/>
        <v>48.5</v>
      </c>
      <c r="F589" s="22">
        <f ca="1"/>
        <v>49.060001</v>
      </c>
      <c r="G589" s="22">
        <f ca="1"/>
        <v>43.123569000000003</v>
      </c>
      <c r="H589" s="69">
        <f ca="1"/>
        <v>47804600</v>
      </c>
      <c r="I589" s="23" t="str">
        <f t="shared" ca="1" si="19"/>
        <v/>
      </c>
    </row>
    <row r="590" spans="1:9" ht="13.8">
      <c r="A590" s="20">
        <f t="shared" ca="1" si="18"/>
        <v>42124</v>
      </c>
      <c r="B590" s="21" t="str">
        <f ca="1"/>
        <v>2015-04-30</v>
      </c>
      <c r="C590" s="22">
        <f ca="1"/>
        <v>48.700001</v>
      </c>
      <c r="D590" s="22">
        <f ca="1"/>
        <v>49.540000999999997</v>
      </c>
      <c r="E590" s="22">
        <f ca="1"/>
        <v>48.599997999999999</v>
      </c>
      <c r="F590" s="22">
        <f ca="1"/>
        <v>48.639999000000003</v>
      </c>
      <c r="G590" s="22">
        <f ca="1"/>
        <v>42.754387000000001</v>
      </c>
      <c r="H590" s="69">
        <f ca="1"/>
        <v>64725500</v>
      </c>
      <c r="I590" s="23" t="str">
        <f t="shared" ca="1" si="19"/>
        <v/>
      </c>
    </row>
    <row r="591" spans="1:9" ht="13.8">
      <c r="A591" s="20">
        <f t="shared" ca="1" si="18"/>
        <v>42125</v>
      </c>
      <c r="B591" s="21" t="str">
        <f ca="1"/>
        <v>2015-05-01</v>
      </c>
      <c r="C591" s="22">
        <f ca="1"/>
        <v>48.580002</v>
      </c>
      <c r="D591" s="22">
        <f ca="1"/>
        <v>48.880001</v>
      </c>
      <c r="E591" s="22">
        <f ca="1"/>
        <v>48.400002000000001</v>
      </c>
      <c r="F591" s="22">
        <f ca="1"/>
        <v>48.66</v>
      </c>
      <c r="G591" s="22">
        <f ca="1"/>
        <v>42.771965000000002</v>
      </c>
      <c r="H591" s="69">
        <f ca="1"/>
        <v>38937300</v>
      </c>
      <c r="I591" s="23" t="str">
        <f t="shared" ca="1" si="19"/>
        <v/>
      </c>
    </row>
    <row r="592" spans="1:9" ht="13.8">
      <c r="A592" s="20">
        <f t="shared" ca="1" si="18"/>
        <v>42128</v>
      </c>
      <c r="B592" s="21" t="str">
        <f ca="1"/>
        <v>2015-05-04</v>
      </c>
      <c r="C592" s="22">
        <f ca="1"/>
        <v>48.369999</v>
      </c>
      <c r="D592" s="22">
        <f ca="1"/>
        <v>48.869999</v>
      </c>
      <c r="E592" s="22">
        <f ca="1"/>
        <v>48.18</v>
      </c>
      <c r="F592" s="22">
        <f ca="1"/>
        <v>48.240001999999997</v>
      </c>
      <c r="G592" s="22">
        <f ca="1"/>
        <v>42.402782000000002</v>
      </c>
      <c r="H592" s="69">
        <f ca="1"/>
        <v>34039500</v>
      </c>
      <c r="I592" s="23" t="str">
        <f t="shared" ca="1" si="19"/>
        <v/>
      </c>
    </row>
    <row r="593" spans="1:9" ht="13.8">
      <c r="A593" s="20">
        <f t="shared" ca="1" si="18"/>
        <v>42129</v>
      </c>
      <c r="B593" s="21" t="str">
        <f ca="1"/>
        <v>2015-05-05</v>
      </c>
      <c r="C593" s="22">
        <f ca="1"/>
        <v>47.82</v>
      </c>
      <c r="D593" s="22">
        <f ca="1"/>
        <v>48.16</v>
      </c>
      <c r="E593" s="22">
        <f ca="1"/>
        <v>47.310001</v>
      </c>
      <c r="F593" s="22">
        <f ca="1"/>
        <v>47.599997999999999</v>
      </c>
      <c r="G593" s="22">
        <f ca="1"/>
        <v>41.840237000000002</v>
      </c>
      <c r="H593" s="69">
        <f ca="1"/>
        <v>50369200</v>
      </c>
      <c r="I593" s="23" t="str">
        <f t="shared" ca="1" si="19"/>
        <v/>
      </c>
    </row>
    <row r="594" spans="1:9" ht="13.8">
      <c r="A594" s="20">
        <f t="shared" ca="1" si="18"/>
        <v>42130</v>
      </c>
      <c r="B594" s="21" t="str">
        <f ca="1"/>
        <v>2015-05-06</v>
      </c>
      <c r="C594" s="22">
        <f ca="1"/>
        <v>47.57</v>
      </c>
      <c r="D594" s="22">
        <f ca="1"/>
        <v>47.77</v>
      </c>
      <c r="E594" s="22">
        <f ca="1"/>
        <v>46.02</v>
      </c>
      <c r="F594" s="22">
        <f ca="1"/>
        <v>46.279998999999997</v>
      </c>
      <c r="G594" s="22">
        <f ca="1"/>
        <v>40.679951000000003</v>
      </c>
      <c r="H594" s="69">
        <f ca="1"/>
        <v>52433000</v>
      </c>
      <c r="I594" s="23" t="str">
        <f t="shared" ca="1" si="19"/>
        <v/>
      </c>
    </row>
    <row r="595" spans="1:9" ht="13.8">
      <c r="A595" s="20">
        <f t="shared" ca="1" si="18"/>
        <v>42131</v>
      </c>
      <c r="B595" s="21" t="str">
        <f ca="1"/>
        <v>2015-05-07</v>
      </c>
      <c r="C595" s="22">
        <f ca="1"/>
        <v>46.27</v>
      </c>
      <c r="D595" s="22">
        <f ca="1"/>
        <v>47.09</v>
      </c>
      <c r="E595" s="22">
        <f ca="1"/>
        <v>46.16</v>
      </c>
      <c r="F595" s="22">
        <f ca="1"/>
        <v>46.700001</v>
      </c>
      <c r="G595" s="22">
        <f ca="1"/>
        <v>41.049126000000001</v>
      </c>
      <c r="H595" s="69">
        <f ca="1"/>
        <v>32971700</v>
      </c>
      <c r="I595" s="23" t="str">
        <f t="shared" ca="1" si="19"/>
        <v/>
      </c>
    </row>
    <row r="596" spans="1:9" ht="13.8">
      <c r="A596" s="20">
        <f t="shared" ca="1" si="18"/>
        <v>42132</v>
      </c>
      <c r="B596" s="21" t="str">
        <f ca="1"/>
        <v>2015-05-08</v>
      </c>
      <c r="C596" s="22">
        <f ca="1"/>
        <v>47.549999</v>
      </c>
      <c r="D596" s="22">
        <f ca="1"/>
        <v>47.98</v>
      </c>
      <c r="E596" s="22">
        <f ca="1"/>
        <v>47.52</v>
      </c>
      <c r="F596" s="22">
        <f ca="1"/>
        <v>47.75</v>
      </c>
      <c r="G596" s="22">
        <f ca="1"/>
        <v>41.972076000000001</v>
      </c>
      <c r="H596" s="69">
        <f ca="1"/>
        <v>35364900</v>
      </c>
      <c r="I596" s="23" t="str">
        <f t="shared" ca="1" si="19"/>
        <v/>
      </c>
    </row>
    <row r="597" spans="1:9" ht="13.8">
      <c r="A597" s="20">
        <f t="shared" ca="1" si="18"/>
        <v>42135</v>
      </c>
      <c r="B597" s="21" t="str">
        <f ca="1"/>
        <v>2015-05-11</v>
      </c>
      <c r="C597" s="22">
        <f ca="1"/>
        <v>47.549999</v>
      </c>
      <c r="D597" s="22">
        <f ca="1"/>
        <v>47.91</v>
      </c>
      <c r="E597" s="22">
        <f ca="1"/>
        <v>47.369999</v>
      </c>
      <c r="F597" s="22">
        <f ca="1"/>
        <v>47.369999</v>
      </c>
      <c r="G597" s="22">
        <f ca="1"/>
        <v>41.638058000000001</v>
      </c>
      <c r="H597" s="69">
        <f ca="1"/>
        <v>24609400</v>
      </c>
      <c r="I597" s="23" t="str">
        <f t="shared" ca="1" si="19"/>
        <v/>
      </c>
    </row>
    <row r="598" spans="1:9" ht="13.8">
      <c r="A598" s="20">
        <f t="shared" ca="1" si="18"/>
        <v>42136</v>
      </c>
      <c r="B598" s="21" t="str">
        <f ca="1"/>
        <v>2015-05-12</v>
      </c>
      <c r="C598" s="22">
        <f ca="1"/>
        <v>46.849997999999999</v>
      </c>
      <c r="D598" s="22">
        <f ca="1"/>
        <v>47.68</v>
      </c>
      <c r="E598" s="22">
        <f ca="1"/>
        <v>46.419998</v>
      </c>
      <c r="F598" s="22">
        <f ca="1"/>
        <v>47.349997999999999</v>
      </c>
      <c r="G598" s="22">
        <f ca="1"/>
        <v>41.620475999999996</v>
      </c>
      <c r="H598" s="69">
        <f ca="1"/>
        <v>29928300</v>
      </c>
      <c r="I598" s="23" t="str">
        <f t="shared" ca="1" si="19"/>
        <v/>
      </c>
    </row>
    <row r="599" spans="1:9" ht="13.8">
      <c r="A599" s="20">
        <f t="shared" ca="1" si="18"/>
        <v>42137</v>
      </c>
      <c r="B599" s="21" t="str">
        <f ca="1"/>
        <v>2015-05-13</v>
      </c>
      <c r="C599" s="22">
        <f ca="1"/>
        <v>48.189999</v>
      </c>
      <c r="D599" s="22">
        <f ca="1"/>
        <v>48.32</v>
      </c>
      <c r="E599" s="22">
        <f ca="1"/>
        <v>47.57</v>
      </c>
      <c r="F599" s="22">
        <f ca="1"/>
        <v>47.630001</v>
      </c>
      <c r="G599" s="22">
        <f ca="1"/>
        <v>41.866580999999996</v>
      </c>
      <c r="H599" s="69">
        <f ca="1"/>
        <v>34184600</v>
      </c>
      <c r="I599" s="23" t="str">
        <f t="shared" ca="1" si="19"/>
        <v/>
      </c>
    </row>
    <row r="600" spans="1:9" ht="13.8">
      <c r="A600" s="20">
        <f t="shared" ca="1" si="18"/>
        <v>42138</v>
      </c>
      <c r="B600" s="21" t="str">
        <f ca="1"/>
        <v>2015-05-14</v>
      </c>
      <c r="C600" s="22">
        <f ca="1"/>
        <v>48.029998999999997</v>
      </c>
      <c r="D600" s="22">
        <f ca="1"/>
        <v>48.82</v>
      </c>
      <c r="E600" s="22">
        <f ca="1"/>
        <v>48.029998999999997</v>
      </c>
      <c r="F600" s="22">
        <f ca="1"/>
        <v>48.720001000000003</v>
      </c>
      <c r="G600" s="22">
        <f ca="1"/>
        <v>42.824699000000003</v>
      </c>
      <c r="H600" s="69">
        <f ca="1"/>
        <v>32980900</v>
      </c>
      <c r="I600" s="23" t="str">
        <f t="shared" ca="1" si="19"/>
        <v/>
      </c>
    </row>
    <row r="601" spans="1:9" ht="13.8">
      <c r="A601" s="20">
        <f t="shared" ca="1" si="18"/>
        <v>42139</v>
      </c>
      <c r="B601" s="21" t="str">
        <f ca="1"/>
        <v>2015-05-15</v>
      </c>
      <c r="C601" s="22">
        <f ca="1"/>
        <v>48.869999</v>
      </c>
      <c r="D601" s="22">
        <f ca="1"/>
        <v>48.91</v>
      </c>
      <c r="E601" s="22">
        <f ca="1"/>
        <v>48.049999</v>
      </c>
      <c r="F601" s="22">
        <f ca="1"/>
        <v>48.299999</v>
      </c>
      <c r="G601" s="22">
        <f ca="1"/>
        <v>42.455520999999997</v>
      </c>
      <c r="H601" s="69">
        <f ca="1"/>
        <v>28642700</v>
      </c>
      <c r="I601" s="23" t="str">
        <f t="shared" ca="1" si="19"/>
        <v/>
      </c>
    </row>
    <row r="602" spans="1:9" ht="13.8">
      <c r="A602" s="20">
        <f t="shared" ca="1" si="18"/>
        <v>42142</v>
      </c>
      <c r="B602" s="21" t="str">
        <f ca="1"/>
        <v>2015-05-18</v>
      </c>
      <c r="C602" s="22">
        <f ca="1"/>
        <v>47.98</v>
      </c>
      <c r="D602" s="22">
        <f ca="1"/>
        <v>48.220001000000003</v>
      </c>
      <c r="E602" s="22">
        <f ca="1"/>
        <v>47.610000999999997</v>
      </c>
      <c r="F602" s="22">
        <f ca="1"/>
        <v>48.009998000000003</v>
      </c>
      <c r="G602" s="22">
        <f ca="1"/>
        <v>42.200619000000003</v>
      </c>
      <c r="H602" s="69">
        <f ca="1"/>
        <v>24136500</v>
      </c>
      <c r="I602" s="23" t="str">
        <f t="shared" ca="1" si="19"/>
        <v/>
      </c>
    </row>
    <row r="603" spans="1:9" ht="13.8">
      <c r="A603" s="20">
        <f t="shared" ca="1" si="18"/>
        <v>42143</v>
      </c>
      <c r="B603" s="21" t="str">
        <f ca="1"/>
        <v>2015-05-19</v>
      </c>
      <c r="C603" s="22">
        <f ca="1"/>
        <v>47.560001</v>
      </c>
      <c r="D603" s="22">
        <f ca="1"/>
        <v>47.810001</v>
      </c>
      <c r="E603" s="22">
        <f ca="1"/>
        <v>47.18</v>
      </c>
      <c r="F603" s="22">
        <f ca="1"/>
        <v>47.580002</v>
      </c>
      <c r="G603" s="22">
        <f ca="1"/>
        <v>42.094459999999998</v>
      </c>
      <c r="H603" s="69">
        <f ca="1"/>
        <v>28574800</v>
      </c>
      <c r="I603" s="23">
        <f t="shared" ca="1" si="19"/>
        <v>0.31</v>
      </c>
    </row>
    <row r="604" spans="1:9" ht="13.8">
      <c r="A604" s="20">
        <f t="shared" ca="1" si="18"/>
        <v>42144</v>
      </c>
      <c r="B604" s="21" t="str">
        <f ca="1"/>
        <v>2015-05-20</v>
      </c>
      <c r="C604" s="22">
        <f ca="1"/>
        <v>47.389999000000003</v>
      </c>
      <c r="D604" s="22">
        <f ca="1"/>
        <v>47.93</v>
      </c>
      <c r="E604" s="22">
        <f ca="1"/>
        <v>47.27</v>
      </c>
      <c r="F604" s="22">
        <f ca="1"/>
        <v>47.580002</v>
      </c>
      <c r="G604" s="22">
        <f ca="1"/>
        <v>42.094459999999998</v>
      </c>
      <c r="H604" s="69">
        <f ca="1"/>
        <v>25047900</v>
      </c>
      <c r="I604" s="23" t="str">
        <f t="shared" ca="1" si="19"/>
        <v/>
      </c>
    </row>
    <row r="605" spans="1:9" ht="13.8">
      <c r="A605" s="20">
        <f t="shared" ca="1" si="18"/>
        <v>42145</v>
      </c>
      <c r="B605" s="21" t="str">
        <f ca="1"/>
        <v>2015-05-21</v>
      </c>
      <c r="C605" s="22">
        <f ca="1"/>
        <v>47.279998999999997</v>
      </c>
      <c r="D605" s="22">
        <f ca="1"/>
        <v>47.599997999999999</v>
      </c>
      <c r="E605" s="22">
        <f ca="1"/>
        <v>47.009998000000003</v>
      </c>
      <c r="F605" s="22">
        <f ca="1"/>
        <v>47.419998</v>
      </c>
      <c r="G605" s="22">
        <f ca="1"/>
        <v>41.952896000000003</v>
      </c>
      <c r="H605" s="69">
        <f ca="1"/>
        <v>22410700</v>
      </c>
      <c r="I605" s="23" t="str">
        <f t="shared" ca="1" si="19"/>
        <v/>
      </c>
    </row>
    <row r="606" spans="1:9" ht="13.8">
      <c r="A606" s="20">
        <f t="shared" ca="1" si="18"/>
        <v>42146</v>
      </c>
      <c r="B606" s="21" t="str">
        <f ca="1"/>
        <v>2015-05-22</v>
      </c>
      <c r="C606" s="22">
        <f ca="1"/>
        <v>47.299999</v>
      </c>
      <c r="D606" s="22">
        <f ca="1"/>
        <v>47.349997999999999</v>
      </c>
      <c r="E606" s="22">
        <f ca="1"/>
        <v>46.82</v>
      </c>
      <c r="F606" s="22">
        <f ca="1"/>
        <v>46.900002000000001</v>
      </c>
      <c r="G606" s="22">
        <f ca="1"/>
        <v>41.492846999999998</v>
      </c>
      <c r="H606" s="69">
        <f ca="1"/>
        <v>25720600</v>
      </c>
      <c r="I606" s="23" t="str">
        <f t="shared" ca="1" si="19"/>
        <v/>
      </c>
    </row>
    <row r="607" spans="1:9" ht="13.8">
      <c r="A607" s="20">
        <f t="shared" ca="1" si="18"/>
        <v>42150</v>
      </c>
      <c r="B607" s="21" t="str">
        <f ca="1"/>
        <v>2015-05-26</v>
      </c>
      <c r="C607" s="22">
        <f ca="1"/>
        <v>46.830002</v>
      </c>
      <c r="D607" s="22">
        <f ca="1"/>
        <v>46.880001</v>
      </c>
      <c r="E607" s="22">
        <f ca="1"/>
        <v>46.189999</v>
      </c>
      <c r="F607" s="22">
        <f ca="1"/>
        <v>46.59</v>
      </c>
      <c r="G607" s="22">
        <f ca="1"/>
        <v>41.218589999999999</v>
      </c>
      <c r="H607" s="69">
        <f ca="1"/>
        <v>29581900</v>
      </c>
      <c r="I607" s="23" t="str">
        <f t="shared" ca="1" si="19"/>
        <v/>
      </c>
    </row>
    <row r="608" spans="1:9" ht="13.8">
      <c r="A608" s="20">
        <f t="shared" ca="1" si="18"/>
        <v>42151</v>
      </c>
      <c r="B608" s="21" t="str">
        <f ca="1"/>
        <v>2015-05-27</v>
      </c>
      <c r="C608" s="22">
        <f ca="1"/>
        <v>46.82</v>
      </c>
      <c r="D608" s="22">
        <f ca="1"/>
        <v>47.77</v>
      </c>
      <c r="E608" s="22">
        <f ca="1"/>
        <v>46.619999</v>
      </c>
      <c r="F608" s="22">
        <f ca="1"/>
        <v>47.610000999999997</v>
      </c>
      <c r="G608" s="22">
        <f ca="1"/>
        <v>42.120995000000001</v>
      </c>
      <c r="H608" s="69">
        <f ca="1"/>
        <v>27335600</v>
      </c>
      <c r="I608" s="23" t="str">
        <f t="shared" ca="1" si="19"/>
        <v/>
      </c>
    </row>
    <row r="609" spans="1:9" ht="13.8">
      <c r="A609" s="20">
        <f t="shared" ca="1" si="18"/>
        <v>42152</v>
      </c>
      <c r="B609" s="21" t="str">
        <f ca="1"/>
        <v>2015-05-28</v>
      </c>
      <c r="C609" s="22">
        <f ca="1"/>
        <v>47.5</v>
      </c>
      <c r="D609" s="22">
        <f ca="1"/>
        <v>48.02</v>
      </c>
      <c r="E609" s="22">
        <f ca="1"/>
        <v>47.389999000000003</v>
      </c>
      <c r="F609" s="22">
        <f ca="1"/>
        <v>47.450001</v>
      </c>
      <c r="G609" s="22">
        <f ca="1"/>
        <v>41.979430999999998</v>
      </c>
      <c r="H609" s="69">
        <f ca="1"/>
        <v>19283700</v>
      </c>
      <c r="I609" s="23" t="str">
        <f t="shared" ca="1" si="19"/>
        <v/>
      </c>
    </row>
    <row r="610" spans="1:9" ht="13.8">
      <c r="A610" s="20">
        <f t="shared" ca="1" si="18"/>
        <v>42153</v>
      </c>
      <c r="B610" s="21" t="str">
        <f ca="1"/>
        <v>2015-05-29</v>
      </c>
      <c r="C610" s="22">
        <f ca="1"/>
        <v>47.43</v>
      </c>
      <c r="D610" s="22">
        <f ca="1"/>
        <v>47.57</v>
      </c>
      <c r="E610" s="22">
        <f ca="1"/>
        <v>46.59</v>
      </c>
      <c r="F610" s="22">
        <f ca="1"/>
        <v>46.860000999999997</v>
      </c>
      <c r="G610" s="22">
        <f ca="1"/>
        <v>41.457458000000003</v>
      </c>
      <c r="H610" s="69">
        <f ca="1"/>
        <v>36519600</v>
      </c>
      <c r="I610" s="23" t="str">
        <f t="shared" ca="1" si="19"/>
        <v/>
      </c>
    </row>
    <row r="611" spans="1:9" ht="13.8">
      <c r="A611" s="20">
        <f t="shared" ca="1" si="18"/>
        <v>42156</v>
      </c>
      <c r="B611" s="21" t="str">
        <f ca="1"/>
        <v>2015-06-01</v>
      </c>
      <c r="C611" s="22">
        <f ca="1"/>
        <v>47.060001</v>
      </c>
      <c r="D611" s="22">
        <f ca="1"/>
        <v>47.77</v>
      </c>
      <c r="E611" s="22">
        <f ca="1"/>
        <v>46.619999</v>
      </c>
      <c r="F611" s="22">
        <f ca="1"/>
        <v>47.23</v>
      </c>
      <c r="G611" s="22">
        <f ca="1"/>
        <v>41.784785999999997</v>
      </c>
      <c r="H611" s="69">
        <f ca="1"/>
        <v>28837300</v>
      </c>
      <c r="I611" s="23" t="str">
        <f t="shared" ca="1" si="19"/>
        <v/>
      </c>
    </row>
    <row r="612" spans="1:9" ht="13.8">
      <c r="A612" s="20">
        <f t="shared" ca="1" si="18"/>
        <v>42157</v>
      </c>
      <c r="B612" s="21" t="str">
        <f ca="1"/>
        <v>2015-06-02</v>
      </c>
      <c r="C612" s="22">
        <f ca="1"/>
        <v>46.93</v>
      </c>
      <c r="D612" s="22">
        <f ca="1"/>
        <v>47.349997999999999</v>
      </c>
      <c r="E612" s="22">
        <f ca="1"/>
        <v>46.619999</v>
      </c>
      <c r="F612" s="22">
        <f ca="1"/>
        <v>46.919998</v>
      </c>
      <c r="G612" s="22">
        <f ca="1"/>
        <v>41.510548</v>
      </c>
      <c r="H612" s="69">
        <f ca="1"/>
        <v>21498300</v>
      </c>
      <c r="I612" s="23" t="str">
        <f t="shared" ca="1" si="19"/>
        <v/>
      </c>
    </row>
    <row r="613" spans="1:9" ht="13.8">
      <c r="A613" s="20">
        <f t="shared" ca="1" si="18"/>
        <v>42158</v>
      </c>
      <c r="B613" s="21" t="str">
        <f ca="1"/>
        <v>2015-06-03</v>
      </c>
      <c r="C613" s="22">
        <f ca="1"/>
        <v>47.369999</v>
      </c>
      <c r="D613" s="22">
        <f ca="1"/>
        <v>47.740001999999997</v>
      </c>
      <c r="E613" s="22">
        <f ca="1"/>
        <v>46.82</v>
      </c>
      <c r="F613" s="22">
        <f ca="1"/>
        <v>46.849997999999999</v>
      </c>
      <c r="G613" s="22">
        <f ca="1"/>
        <v>41.448608</v>
      </c>
      <c r="H613" s="69">
        <f ca="1"/>
        <v>28002200</v>
      </c>
      <c r="I613" s="23" t="str">
        <f t="shared" ca="1" si="19"/>
        <v/>
      </c>
    </row>
    <row r="614" spans="1:9" ht="13.8">
      <c r="A614" s="20">
        <f t="shared" ca="1" si="18"/>
        <v>42159</v>
      </c>
      <c r="B614" s="21" t="str">
        <f ca="1"/>
        <v>2015-06-04</v>
      </c>
      <c r="C614" s="22">
        <f ca="1"/>
        <v>46.790000999999997</v>
      </c>
      <c r="D614" s="22">
        <f ca="1"/>
        <v>47.16</v>
      </c>
      <c r="E614" s="22">
        <f ca="1"/>
        <v>46.200001</v>
      </c>
      <c r="F614" s="22">
        <f ca="1"/>
        <v>46.360000999999997</v>
      </c>
      <c r="G614" s="22">
        <f ca="1"/>
        <v>41.015098999999999</v>
      </c>
      <c r="H614" s="69">
        <f ca="1"/>
        <v>27745500</v>
      </c>
      <c r="I614" s="23" t="str">
        <f t="shared" ca="1" si="19"/>
        <v/>
      </c>
    </row>
    <row r="615" spans="1:9" ht="13.8">
      <c r="A615" s="20">
        <f t="shared" ca="1" si="18"/>
        <v>42160</v>
      </c>
      <c r="B615" s="21" t="str">
        <f ca="1"/>
        <v>2015-06-05</v>
      </c>
      <c r="C615" s="22">
        <f ca="1"/>
        <v>46.310001</v>
      </c>
      <c r="D615" s="22">
        <f ca="1"/>
        <v>46.52</v>
      </c>
      <c r="E615" s="22">
        <f ca="1"/>
        <v>45.84</v>
      </c>
      <c r="F615" s="22">
        <f ca="1"/>
        <v>46.139999000000003</v>
      </c>
      <c r="G615" s="22">
        <f ca="1"/>
        <v>40.820469000000003</v>
      </c>
      <c r="H615" s="69">
        <f ca="1"/>
        <v>25438100</v>
      </c>
      <c r="I615" s="23" t="str">
        <f t="shared" ca="1" si="19"/>
        <v/>
      </c>
    </row>
    <row r="616" spans="1:9" ht="13.8">
      <c r="A616" s="20">
        <f t="shared" ca="1" si="18"/>
        <v>42163</v>
      </c>
      <c r="B616" s="21" t="str">
        <f ca="1"/>
        <v>2015-06-08</v>
      </c>
      <c r="C616" s="22">
        <f ca="1"/>
        <v>46.299999</v>
      </c>
      <c r="D616" s="22">
        <f ca="1"/>
        <v>46.43</v>
      </c>
      <c r="E616" s="22">
        <f ca="1"/>
        <v>45.669998</v>
      </c>
      <c r="F616" s="22">
        <f ca="1"/>
        <v>45.73</v>
      </c>
      <c r="G616" s="22">
        <f ca="1"/>
        <v>40.457718</v>
      </c>
      <c r="H616" s="69">
        <f ca="1"/>
        <v>22121600</v>
      </c>
      <c r="I616" s="23" t="str">
        <f t="shared" ca="1" si="19"/>
        <v/>
      </c>
    </row>
    <row r="617" spans="1:9" ht="13.8">
      <c r="A617" s="20">
        <f t="shared" ca="1" si="18"/>
        <v>42164</v>
      </c>
      <c r="B617" s="21" t="str">
        <f ca="1"/>
        <v>2015-06-09</v>
      </c>
      <c r="C617" s="22">
        <f ca="1"/>
        <v>45.759998000000003</v>
      </c>
      <c r="D617" s="22">
        <f ca="1"/>
        <v>45.939999</v>
      </c>
      <c r="E617" s="22">
        <f ca="1"/>
        <v>45.459999000000003</v>
      </c>
      <c r="F617" s="22">
        <f ca="1"/>
        <v>45.650002000000001</v>
      </c>
      <c r="G617" s="22">
        <f ca="1"/>
        <v>40.386958999999997</v>
      </c>
      <c r="H617" s="69">
        <f ca="1"/>
        <v>24406100</v>
      </c>
      <c r="I617" s="23" t="str">
        <f t="shared" ca="1" si="19"/>
        <v/>
      </c>
    </row>
    <row r="618" spans="1:9" ht="13.8">
      <c r="A618" s="20">
        <f t="shared" ca="1" si="18"/>
        <v>42165</v>
      </c>
      <c r="B618" s="21" t="str">
        <f ca="1"/>
        <v>2015-06-10</v>
      </c>
      <c r="C618" s="22">
        <f ca="1"/>
        <v>45.790000999999997</v>
      </c>
      <c r="D618" s="22">
        <f ca="1"/>
        <v>46.830002</v>
      </c>
      <c r="E618" s="22">
        <f ca="1"/>
        <v>45.689999</v>
      </c>
      <c r="F618" s="22">
        <f ca="1"/>
        <v>46.610000999999997</v>
      </c>
      <c r="G618" s="22">
        <f ca="1"/>
        <v>41.236286</v>
      </c>
      <c r="H618" s="69">
        <f ca="1"/>
        <v>28417400</v>
      </c>
      <c r="I618" s="23" t="str">
        <f t="shared" ca="1" si="19"/>
        <v/>
      </c>
    </row>
    <row r="619" spans="1:9" ht="13.8">
      <c r="A619" s="20">
        <f t="shared" ca="1" si="18"/>
        <v>42166</v>
      </c>
      <c r="B619" s="21" t="str">
        <f ca="1"/>
        <v>2015-06-11</v>
      </c>
      <c r="C619" s="22">
        <f ca="1"/>
        <v>46.66</v>
      </c>
      <c r="D619" s="22">
        <f ca="1"/>
        <v>46.919998</v>
      </c>
      <c r="E619" s="22">
        <f ca="1"/>
        <v>46.130001</v>
      </c>
      <c r="F619" s="22">
        <f ca="1"/>
        <v>46.439999</v>
      </c>
      <c r="G619" s="22">
        <f ca="1"/>
        <v>41.085875999999999</v>
      </c>
      <c r="H619" s="69">
        <f ca="1"/>
        <v>27347800</v>
      </c>
      <c r="I619" s="23" t="str">
        <f t="shared" ca="1" si="19"/>
        <v/>
      </c>
    </row>
    <row r="620" spans="1:9" ht="13.8">
      <c r="A620" s="20">
        <f t="shared" ca="1" si="18"/>
        <v>42167</v>
      </c>
      <c r="B620" s="21" t="str">
        <f ca="1"/>
        <v>2015-06-12</v>
      </c>
      <c r="C620" s="22">
        <f ca="1"/>
        <v>46.220001000000003</v>
      </c>
      <c r="D620" s="22">
        <f ca="1"/>
        <v>46.470001000000003</v>
      </c>
      <c r="E620" s="22">
        <f ca="1"/>
        <v>45.900002000000001</v>
      </c>
      <c r="F620" s="22">
        <f ca="1"/>
        <v>45.970001000000003</v>
      </c>
      <c r="G620" s="22">
        <f ca="1"/>
        <v>40.670071</v>
      </c>
      <c r="H620" s="69">
        <f ca="1"/>
        <v>23931000</v>
      </c>
      <c r="I620" s="23" t="str">
        <f t="shared" ca="1" si="19"/>
        <v/>
      </c>
    </row>
    <row r="621" spans="1:9" ht="13.8">
      <c r="A621" s="20">
        <f t="shared" ca="1" si="18"/>
        <v>42170</v>
      </c>
      <c r="B621" s="21" t="str">
        <f ca="1"/>
        <v>2015-06-15</v>
      </c>
      <c r="C621" s="22">
        <f ca="1"/>
        <v>45.450001</v>
      </c>
      <c r="D621" s="22">
        <f ca="1"/>
        <v>45.650002000000001</v>
      </c>
      <c r="E621" s="22">
        <f ca="1"/>
        <v>45.02</v>
      </c>
      <c r="F621" s="22">
        <f ca="1"/>
        <v>45.48</v>
      </c>
      <c r="G621" s="22">
        <f ca="1"/>
        <v>40.236567999999998</v>
      </c>
      <c r="H621" s="69">
        <f ca="1"/>
        <v>33254500</v>
      </c>
      <c r="I621" s="23" t="str">
        <f t="shared" ca="1" si="19"/>
        <v/>
      </c>
    </row>
    <row r="622" spans="1:9" ht="13.8">
      <c r="A622" s="20">
        <f t="shared" ca="1" si="18"/>
        <v>42171</v>
      </c>
      <c r="B622" s="21" t="str">
        <f ca="1"/>
        <v>2015-06-16</v>
      </c>
      <c r="C622" s="22">
        <f ca="1"/>
        <v>45.349997999999999</v>
      </c>
      <c r="D622" s="22">
        <f ca="1"/>
        <v>46.240001999999997</v>
      </c>
      <c r="E622" s="22">
        <f ca="1"/>
        <v>45.299999</v>
      </c>
      <c r="F622" s="22">
        <f ca="1"/>
        <v>45.830002</v>
      </c>
      <c r="G622" s="22">
        <f ca="1"/>
        <v>40.546219000000001</v>
      </c>
      <c r="H622" s="69">
        <f ca="1"/>
        <v>27070300</v>
      </c>
      <c r="I622" s="23" t="str">
        <f t="shared" ca="1" si="19"/>
        <v/>
      </c>
    </row>
    <row r="623" spans="1:9" ht="13.8">
      <c r="A623" s="20">
        <f t="shared" ca="1" si="18"/>
        <v>42172</v>
      </c>
      <c r="B623" s="21" t="str">
        <f ca="1"/>
        <v>2015-06-17</v>
      </c>
      <c r="C623" s="22">
        <f ca="1"/>
        <v>45.73</v>
      </c>
      <c r="D623" s="22">
        <f ca="1"/>
        <v>46.07</v>
      </c>
      <c r="E623" s="22">
        <f ca="1"/>
        <v>45.360000999999997</v>
      </c>
      <c r="F623" s="22">
        <f ca="1"/>
        <v>45.970001000000003</v>
      </c>
      <c r="G623" s="22">
        <f ca="1"/>
        <v>40.670071</v>
      </c>
      <c r="H623" s="69">
        <f ca="1"/>
        <v>28704100</v>
      </c>
      <c r="I623" s="23" t="str">
        <f t="shared" ca="1" si="19"/>
        <v/>
      </c>
    </row>
    <row r="624" spans="1:9" ht="13.8">
      <c r="A624" s="20">
        <f t="shared" ca="1" si="18"/>
        <v>42173</v>
      </c>
      <c r="B624" s="21" t="str">
        <f ca="1"/>
        <v>2015-06-18</v>
      </c>
      <c r="C624" s="22">
        <f ca="1"/>
        <v>46.220001000000003</v>
      </c>
      <c r="D624" s="22">
        <f ca="1"/>
        <v>46.799999</v>
      </c>
      <c r="E624" s="22">
        <f ca="1"/>
        <v>46.169998</v>
      </c>
      <c r="F624" s="22">
        <f ca="1"/>
        <v>46.720001000000003</v>
      </c>
      <c r="G624" s="22">
        <f ca="1"/>
        <v>41.333610999999998</v>
      </c>
      <c r="H624" s="69">
        <f ca="1"/>
        <v>32658300</v>
      </c>
      <c r="I624" s="23" t="str">
        <f t="shared" ca="1" si="19"/>
        <v/>
      </c>
    </row>
    <row r="625" spans="1:9" ht="13.8">
      <c r="A625" s="20">
        <f t="shared" ca="1" si="18"/>
        <v>42174</v>
      </c>
      <c r="B625" s="21" t="str">
        <f ca="1"/>
        <v>2015-06-19</v>
      </c>
      <c r="C625" s="22">
        <f ca="1"/>
        <v>46.790000999999997</v>
      </c>
      <c r="D625" s="22">
        <f ca="1"/>
        <v>46.830002</v>
      </c>
      <c r="E625" s="22">
        <f ca="1"/>
        <v>45.990001999999997</v>
      </c>
      <c r="F625" s="22">
        <f ca="1"/>
        <v>46.099997999999999</v>
      </c>
      <c r="G625" s="22">
        <f ca="1"/>
        <v>40.785072</v>
      </c>
      <c r="H625" s="69">
        <f ca="1"/>
        <v>63837000</v>
      </c>
      <c r="I625" s="23" t="str">
        <f t="shared" ca="1" si="19"/>
        <v/>
      </c>
    </row>
    <row r="626" spans="1:9" ht="13.8">
      <c r="A626" s="20">
        <f t="shared" ca="1" si="18"/>
        <v>42177</v>
      </c>
      <c r="B626" s="21" t="str">
        <f ca="1"/>
        <v>2015-06-22</v>
      </c>
      <c r="C626" s="22">
        <f ca="1"/>
        <v>46.330002</v>
      </c>
      <c r="D626" s="22">
        <f ca="1"/>
        <v>46.720001000000003</v>
      </c>
      <c r="E626" s="22">
        <f ca="1"/>
        <v>46.16</v>
      </c>
      <c r="F626" s="22">
        <f ca="1"/>
        <v>46.23</v>
      </c>
      <c r="G626" s="22">
        <f ca="1"/>
        <v>40.900097000000002</v>
      </c>
      <c r="H626" s="69">
        <f ca="1"/>
        <v>20318100</v>
      </c>
      <c r="I626" s="23" t="str">
        <f t="shared" ca="1" si="19"/>
        <v/>
      </c>
    </row>
    <row r="627" spans="1:9" ht="13.8">
      <c r="A627" s="20">
        <f t="shared" ca="1" si="18"/>
        <v>42178</v>
      </c>
      <c r="B627" s="21" t="str">
        <f ca="1"/>
        <v>2015-06-23</v>
      </c>
      <c r="C627" s="22">
        <f ca="1"/>
        <v>46.130001</v>
      </c>
      <c r="D627" s="22">
        <f ca="1"/>
        <v>46.279998999999997</v>
      </c>
      <c r="E627" s="22">
        <f ca="1"/>
        <v>45.619999</v>
      </c>
      <c r="F627" s="22">
        <f ca="1"/>
        <v>45.91</v>
      </c>
      <c r="G627" s="22">
        <f ca="1"/>
        <v>40.616978000000003</v>
      </c>
      <c r="H627" s="69">
        <f ca="1"/>
        <v>25896500</v>
      </c>
      <c r="I627" s="23" t="str">
        <f t="shared" ca="1" si="19"/>
        <v/>
      </c>
    </row>
    <row r="628" spans="1:9" ht="13.8">
      <c r="A628" s="20">
        <f t="shared" ca="1" si="18"/>
        <v>42179</v>
      </c>
      <c r="B628" s="21" t="str">
        <f ca="1"/>
        <v>2015-06-24</v>
      </c>
      <c r="C628" s="22">
        <f ca="1"/>
        <v>45.669998</v>
      </c>
      <c r="D628" s="22">
        <f ca="1"/>
        <v>46.25</v>
      </c>
      <c r="E628" s="22">
        <f ca="1"/>
        <v>45.549999</v>
      </c>
      <c r="F628" s="22">
        <f ca="1"/>
        <v>45.639999000000003</v>
      </c>
      <c r="G628" s="22">
        <f ca="1"/>
        <v>40.378117000000003</v>
      </c>
      <c r="H628" s="69">
        <f ca="1"/>
        <v>34890900</v>
      </c>
      <c r="I628" s="23" t="str">
        <f t="shared" ca="1" si="19"/>
        <v/>
      </c>
    </row>
    <row r="629" spans="1:9" ht="13.8">
      <c r="A629" s="20">
        <f t="shared" ca="1" si="18"/>
        <v>42180</v>
      </c>
      <c r="B629" s="21" t="str">
        <f ca="1"/>
        <v>2015-06-25</v>
      </c>
      <c r="C629" s="22">
        <f ca="1"/>
        <v>46.029998999999997</v>
      </c>
      <c r="D629" s="22">
        <f ca="1"/>
        <v>46.060001</v>
      </c>
      <c r="E629" s="22">
        <f ca="1"/>
        <v>45.5</v>
      </c>
      <c r="F629" s="22">
        <f ca="1"/>
        <v>45.650002000000001</v>
      </c>
      <c r="G629" s="22">
        <f ca="1"/>
        <v>40.386958999999997</v>
      </c>
      <c r="H629" s="69">
        <f ca="1"/>
        <v>20616000</v>
      </c>
      <c r="I629" s="23" t="str">
        <f t="shared" ca="1" si="19"/>
        <v/>
      </c>
    </row>
    <row r="630" spans="1:9" ht="13.8">
      <c r="A630" s="20">
        <f t="shared" ca="1" si="18"/>
        <v>42181</v>
      </c>
      <c r="B630" s="21" t="str">
        <f ca="1"/>
        <v>2015-06-26</v>
      </c>
      <c r="C630" s="22">
        <f ca="1"/>
        <v>45.650002000000001</v>
      </c>
      <c r="D630" s="22">
        <f ca="1"/>
        <v>46.279998999999997</v>
      </c>
      <c r="E630" s="22">
        <f ca="1"/>
        <v>45.029998999999997</v>
      </c>
      <c r="F630" s="22">
        <f ca="1"/>
        <v>45.259998000000003</v>
      </c>
      <c r="G630" s="22">
        <f ca="1"/>
        <v>40.041916000000001</v>
      </c>
      <c r="H630" s="69">
        <f ca="1"/>
        <v>49835300</v>
      </c>
      <c r="I630" s="23" t="str">
        <f t="shared" ca="1" si="19"/>
        <v/>
      </c>
    </row>
    <row r="631" spans="1:9" ht="13.8">
      <c r="A631" s="20">
        <f t="shared" ca="1" si="18"/>
        <v>42184</v>
      </c>
      <c r="B631" s="21" t="str">
        <f ca="1"/>
        <v>2015-06-29</v>
      </c>
      <c r="C631" s="22">
        <f ca="1"/>
        <v>45.040000999999997</v>
      </c>
      <c r="D631" s="22">
        <f ca="1"/>
        <v>45.23</v>
      </c>
      <c r="E631" s="22">
        <f ca="1"/>
        <v>44.360000999999997</v>
      </c>
      <c r="F631" s="22">
        <f ca="1"/>
        <v>44.369999</v>
      </c>
      <c r="G631" s="22">
        <f ca="1"/>
        <v>39.254536000000002</v>
      </c>
      <c r="H631" s="69">
        <f ca="1"/>
        <v>34081700</v>
      </c>
      <c r="I631" s="23" t="str">
        <f t="shared" ca="1" si="19"/>
        <v/>
      </c>
    </row>
    <row r="632" spans="1:9" ht="13.8">
      <c r="A632" s="20">
        <f t="shared" ca="1" si="18"/>
        <v>42185</v>
      </c>
      <c r="B632" s="21" t="str">
        <f ca="1"/>
        <v>2015-06-30</v>
      </c>
      <c r="C632" s="22">
        <f ca="1"/>
        <v>44.709999000000003</v>
      </c>
      <c r="D632" s="22">
        <f ca="1"/>
        <v>44.720001000000003</v>
      </c>
      <c r="E632" s="22">
        <f ca="1"/>
        <v>43.939999</v>
      </c>
      <c r="F632" s="22">
        <f ca="1"/>
        <v>44.150002000000001</v>
      </c>
      <c r="G632" s="22">
        <f ca="1"/>
        <v>39.059897999999997</v>
      </c>
      <c r="H632" s="69">
        <f ca="1"/>
        <v>35945400</v>
      </c>
      <c r="I632" s="23" t="str">
        <f t="shared" ca="1" si="19"/>
        <v/>
      </c>
    </row>
    <row r="633" spans="1:9" ht="13.8">
      <c r="A633" s="20">
        <f t="shared" ca="1" si="18"/>
        <v>42186</v>
      </c>
      <c r="B633" s="21" t="str">
        <f ca="1"/>
        <v>2015-07-01</v>
      </c>
      <c r="C633" s="22">
        <f ca="1"/>
        <v>44.459999000000003</v>
      </c>
      <c r="D633" s="22">
        <f ca="1"/>
        <v>45.23</v>
      </c>
      <c r="E633" s="22">
        <f ca="1"/>
        <v>44.099997999999999</v>
      </c>
      <c r="F633" s="22">
        <f ca="1"/>
        <v>44.450001</v>
      </c>
      <c r="G633" s="22">
        <f ca="1"/>
        <v>39.325321000000002</v>
      </c>
      <c r="H633" s="69">
        <f ca="1"/>
        <v>28343900</v>
      </c>
      <c r="I633" s="23" t="str">
        <f t="shared" ca="1" si="19"/>
        <v/>
      </c>
    </row>
    <row r="634" spans="1:9" ht="13.8">
      <c r="A634" s="20">
        <f t="shared" ca="1" si="18"/>
        <v>42187</v>
      </c>
      <c r="B634" s="21" t="str">
        <f ca="1"/>
        <v>2015-07-02</v>
      </c>
      <c r="C634" s="22">
        <f ca="1"/>
        <v>44.48</v>
      </c>
      <c r="D634" s="22">
        <f ca="1"/>
        <v>44.75</v>
      </c>
      <c r="E634" s="22">
        <f ca="1"/>
        <v>44.060001</v>
      </c>
      <c r="F634" s="22">
        <f ca="1"/>
        <v>44.400002000000001</v>
      </c>
      <c r="G634" s="22">
        <f ca="1"/>
        <v>39.281081999999998</v>
      </c>
      <c r="H634" s="69">
        <f ca="1"/>
        <v>21752000</v>
      </c>
      <c r="I634" s="23" t="str">
        <f t="shared" ca="1" si="19"/>
        <v/>
      </c>
    </row>
    <row r="635" spans="1:9" ht="13.8">
      <c r="A635" s="20">
        <f t="shared" ca="1" si="18"/>
        <v>42191</v>
      </c>
      <c r="B635" s="21" t="str">
        <f ca="1"/>
        <v>2015-07-06</v>
      </c>
      <c r="C635" s="22">
        <f ca="1"/>
        <v>43.959999000000003</v>
      </c>
      <c r="D635" s="22">
        <f ca="1"/>
        <v>44.48</v>
      </c>
      <c r="E635" s="22">
        <f ca="1"/>
        <v>43.950001</v>
      </c>
      <c r="F635" s="22">
        <f ca="1"/>
        <v>44.389999000000003</v>
      </c>
      <c r="G635" s="22">
        <f ca="1"/>
        <v>39.272227999999998</v>
      </c>
      <c r="H635" s="69">
        <f ca="1"/>
        <v>23034000</v>
      </c>
      <c r="I635" s="23" t="str">
        <f t="shared" ca="1" si="19"/>
        <v/>
      </c>
    </row>
    <row r="636" spans="1:9" ht="13.8">
      <c r="A636" s="20">
        <f t="shared" ca="1" si="18"/>
        <v>42192</v>
      </c>
      <c r="B636" s="21" t="str">
        <f ca="1"/>
        <v>2015-07-07</v>
      </c>
      <c r="C636" s="22">
        <f ca="1"/>
        <v>44.34</v>
      </c>
      <c r="D636" s="22">
        <f ca="1"/>
        <v>44.490001999999997</v>
      </c>
      <c r="E636" s="22">
        <f ca="1"/>
        <v>43.32</v>
      </c>
      <c r="F636" s="22">
        <f ca="1"/>
        <v>44.299999</v>
      </c>
      <c r="G636" s="22">
        <f ca="1"/>
        <v>39.192599999999999</v>
      </c>
      <c r="H636" s="69">
        <f ca="1"/>
        <v>36435800</v>
      </c>
      <c r="I636" s="23" t="str">
        <f t="shared" ca="1" si="19"/>
        <v/>
      </c>
    </row>
    <row r="637" spans="1:9" ht="13.8">
      <c r="A637" s="20">
        <f t="shared" ca="1" si="18"/>
        <v>42193</v>
      </c>
      <c r="B637" s="21" t="str">
        <f ca="1"/>
        <v>2015-07-08</v>
      </c>
      <c r="C637" s="22">
        <f ca="1"/>
        <v>44.439999</v>
      </c>
      <c r="D637" s="22">
        <f ca="1"/>
        <v>44.900002000000001</v>
      </c>
      <c r="E637" s="22">
        <f ca="1"/>
        <v>44.029998999999997</v>
      </c>
      <c r="F637" s="22">
        <f ca="1"/>
        <v>44.240001999999997</v>
      </c>
      <c r="G637" s="22">
        <f ca="1"/>
        <v>39.139525999999996</v>
      </c>
      <c r="H637" s="69">
        <f ca="1"/>
        <v>39785900</v>
      </c>
      <c r="I637" s="23" t="str">
        <f t="shared" ca="1" si="19"/>
        <v/>
      </c>
    </row>
    <row r="638" spans="1:9" ht="13.8">
      <c r="A638" s="20">
        <f t="shared" ca="1" si="18"/>
        <v>42194</v>
      </c>
      <c r="B638" s="21" t="str">
        <f ca="1"/>
        <v>2015-07-09</v>
      </c>
      <c r="C638" s="22">
        <f ca="1"/>
        <v>44.75</v>
      </c>
      <c r="D638" s="22">
        <f ca="1"/>
        <v>45.220001000000003</v>
      </c>
      <c r="E638" s="22">
        <f ca="1"/>
        <v>44.5</v>
      </c>
      <c r="F638" s="22">
        <f ca="1"/>
        <v>44.52</v>
      </c>
      <c r="G638" s="22">
        <f ca="1"/>
        <v>39.387238000000004</v>
      </c>
      <c r="H638" s="69">
        <f ca="1"/>
        <v>32424700</v>
      </c>
      <c r="I638" s="23" t="str">
        <f t="shared" ca="1" si="19"/>
        <v/>
      </c>
    </row>
    <row r="639" spans="1:9" ht="13.8">
      <c r="A639" s="20">
        <f t="shared" ca="1" si="18"/>
        <v>42195</v>
      </c>
      <c r="B639" s="21" t="str">
        <f ca="1"/>
        <v>2015-07-10</v>
      </c>
      <c r="C639" s="22">
        <f ca="1"/>
        <v>45.009998000000003</v>
      </c>
      <c r="D639" s="22">
        <f ca="1"/>
        <v>45.139999000000003</v>
      </c>
      <c r="E639" s="22">
        <f ca="1"/>
        <v>44.57</v>
      </c>
      <c r="F639" s="22">
        <f ca="1"/>
        <v>44.610000999999997</v>
      </c>
      <c r="G639" s="22">
        <f ca="1"/>
        <v>39.466861999999999</v>
      </c>
      <c r="H639" s="69">
        <f ca="1"/>
        <v>25465800</v>
      </c>
      <c r="I639" s="23" t="str">
        <f t="shared" ca="1" si="19"/>
        <v/>
      </c>
    </row>
    <row r="640" spans="1:9" ht="13.8">
      <c r="A640" s="20">
        <f t="shared" ca="1" si="18"/>
        <v>42198</v>
      </c>
      <c r="B640" s="21" t="str">
        <f ca="1"/>
        <v>2015-07-13</v>
      </c>
      <c r="C640" s="22">
        <f ca="1"/>
        <v>44.98</v>
      </c>
      <c r="D640" s="22">
        <f ca="1"/>
        <v>45.619999</v>
      </c>
      <c r="E640" s="22">
        <f ca="1"/>
        <v>44.950001</v>
      </c>
      <c r="F640" s="22">
        <f ca="1"/>
        <v>45.540000999999997</v>
      </c>
      <c r="G640" s="22">
        <f ca="1"/>
        <v>40.289631</v>
      </c>
      <c r="H640" s="69">
        <f ca="1"/>
        <v>28178300</v>
      </c>
      <c r="I640" s="23" t="str">
        <f t="shared" ca="1" si="19"/>
        <v/>
      </c>
    </row>
    <row r="641" spans="1:11" ht="13.8">
      <c r="A641" s="20">
        <f t="shared" ca="1" si="18"/>
        <v>42199</v>
      </c>
      <c r="B641" s="21" t="str">
        <f ca="1"/>
        <v>2015-07-14</v>
      </c>
      <c r="C641" s="22">
        <f ca="1"/>
        <v>45.450001</v>
      </c>
      <c r="D641" s="22">
        <f ca="1"/>
        <v>45.959999000000003</v>
      </c>
      <c r="E641" s="22">
        <f ca="1"/>
        <v>45.310001</v>
      </c>
      <c r="F641" s="22">
        <f ca="1"/>
        <v>45.619999</v>
      </c>
      <c r="G641" s="22">
        <f ca="1"/>
        <v>40.360419999999998</v>
      </c>
      <c r="H641" s="69">
        <f ca="1"/>
        <v>22880300</v>
      </c>
      <c r="I641" s="23" t="str">
        <f t="shared" ca="1" si="19"/>
        <v/>
      </c>
    </row>
    <row r="642" spans="1:11" ht="13.8">
      <c r="A642" s="20">
        <f t="shared" ca="1" si="18"/>
        <v>42200</v>
      </c>
      <c r="B642" s="21" t="str">
        <f ca="1"/>
        <v>2015-07-15</v>
      </c>
      <c r="C642" s="22">
        <f ca="1"/>
        <v>45.68</v>
      </c>
      <c r="D642" s="22">
        <f ca="1"/>
        <v>45.889999000000003</v>
      </c>
      <c r="E642" s="22">
        <f ca="1"/>
        <v>45.43</v>
      </c>
      <c r="F642" s="22">
        <f ca="1"/>
        <v>45.759998000000003</v>
      </c>
      <c r="G642" s="22">
        <f ca="1"/>
        <v>40.484279999999998</v>
      </c>
      <c r="H642" s="69">
        <f ca="1"/>
        <v>26629600</v>
      </c>
      <c r="I642" s="23" t="str">
        <f t="shared" ca="1" si="19"/>
        <v/>
      </c>
    </row>
    <row r="643" spans="1:11" ht="13.8">
      <c r="A643" s="20">
        <f t="shared" ca="1" si="18"/>
        <v>42201</v>
      </c>
      <c r="B643" s="21" t="str">
        <f ca="1"/>
        <v>2015-07-16</v>
      </c>
      <c r="C643" s="22">
        <f ca="1"/>
        <v>46.009998000000003</v>
      </c>
      <c r="D643" s="22">
        <f ca="1"/>
        <v>46.689999</v>
      </c>
      <c r="E643" s="22">
        <f ca="1"/>
        <v>45.970001000000003</v>
      </c>
      <c r="F643" s="22">
        <f ca="1"/>
        <v>46.66</v>
      </c>
      <c r="G643" s="22">
        <f ca="1"/>
        <v>41.280506000000003</v>
      </c>
      <c r="H643" s="69">
        <f ca="1"/>
        <v>26271700</v>
      </c>
      <c r="I643" s="23" t="str">
        <f t="shared" ca="1" si="19"/>
        <v/>
      </c>
    </row>
    <row r="644" spans="1:11" ht="13.8">
      <c r="A644" s="20">
        <f t="shared" ca="1" si="18"/>
        <v>42202</v>
      </c>
      <c r="B644" s="21" t="str">
        <f ca="1"/>
        <v>2015-07-17</v>
      </c>
      <c r="C644" s="22">
        <f ca="1"/>
        <v>46.549999</v>
      </c>
      <c r="D644" s="22">
        <f ca="1"/>
        <v>46.779998999999997</v>
      </c>
      <c r="E644" s="22">
        <f ca="1"/>
        <v>46.259998000000003</v>
      </c>
      <c r="F644" s="22">
        <f ca="1"/>
        <v>46.619999</v>
      </c>
      <c r="G644" s="22">
        <f ca="1"/>
        <v>41.245125000000002</v>
      </c>
      <c r="H644" s="69">
        <f ca="1"/>
        <v>29467100</v>
      </c>
      <c r="I644" s="23" t="str">
        <f t="shared" ca="1" si="19"/>
        <v/>
      </c>
    </row>
    <row r="645" spans="1:11" ht="13.8">
      <c r="A645" s="20">
        <f t="shared" ca="1" si="18"/>
        <v>42205</v>
      </c>
      <c r="B645" s="21" t="str">
        <f ca="1"/>
        <v>2015-07-20</v>
      </c>
      <c r="C645" s="22">
        <f ca="1"/>
        <v>46.650002000000001</v>
      </c>
      <c r="D645" s="22">
        <f ca="1"/>
        <v>47.130001</v>
      </c>
      <c r="E645" s="22">
        <f ca="1"/>
        <v>46.439999</v>
      </c>
      <c r="F645" s="22">
        <f ca="1"/>
        <v>46.919998</v>
      </c>
      <c r="G645" s="22">
        <f ca="1"/>
        <v>41.510548</v>
      </c>
      <c r="H645" s="69">
        <f ca="1"/>
        <v>30631900</v>
      </c>
      <c r="I645" s="23" t="str">
        <f t="shared" ca="1" si="19"/>
        <v/>
      </c>
    </row>
    <row r="646" spans="1:11" ht="13.8">
      <c r="A646" s="20">
        <f t="shared" ref="A646:A709" ca="1" si="20">IFERROR(DATEVALUE($B646),"--")</f>
        <v>42206</v>
      </c>
      <c r="B646" s="21" t="str">
        <f ca="1"/>
        <v>2015-07-21</v>
      </c>
      <c r="C646" s="22">
        <f ca="1"/>
        <v>46.779998999999997</v>
      </c>
      <c r="D646" s="22">
        <f ca="1"/>
        <v>47.330002</v>
      </c>
      <c r="E646" s="22">
        <f ca="1"/>
        <v>46.48</v>
      </c>
      <c r="F646" s="22">
        <f ca="1"/>
        <v>47.279998999999997</v>
      </c>
      <c r="G646" s="22">
        <f ca="1"/>
        <v>41.829037</v>
      </c>
      <c r="H646" s="69">
        <f ca="1"/>
        <v>42781900</v>
      </c>
      <c r="I646" s="23" t="str">
        <f t="shared" ref="I646:I709" ca="1" si="21">IFERROR(IF(Ticker&lt;&gt;$Q$2,"",INDEX($P:$P,MATCH($A646,$O:$O,0))),"")</f>
        <v/>
      </c>
    </row>
    <row r="647" spans="1:11" ht="13.8">
      <c r="A647" s="20">
        <f t="shared" ca="1" si="20"/>
        <v>42207</v>
      </c>
      <c r="B647" s="21" t="str">
        <f ca="1"/>
        <v>2015-07-22</v>
      </c>
      <c r="C647" s="22">
        <f ca="1"/>
        <v>45.439999</v>
      </c>
      <c r="D647" s="22">
        <f ca="1"/>
        <v>46.93</v>
      </c>
      <c r="E647" s="22">
        <f ca="1"/>
        <v>45.200001</v>
      </c>
      <c r="F647" s="22">
        <f ca="1"/>
        <v>45.540000999999997</v>
      </c>
      <c r="G647" s="22">
        <f ca="1"/>
        <v>40.289631</v>
      </c>
      <c r="H647" s="69">
        <f ca="1"/>
        <v>59152400</v>
      </c>
      <c r="I647" s="23" t="str">
        <f t="shared" ca="1" si="21"/>
        <v/>
      </c>
    </row>
    <row r="648" spans="1:11" ht="13.8">
      <c r="A648" s="20">
        <f t="shared" ca="1" si="20"/>
        <v>42208</v>
      </c>
      <c r="B648" s="21" t="str">
        <f ca="1"/>
        <v>2015-07-23</v>
      </c>
      <c r="C648" s="22">
        <f ca="1"/>
        <v>45.27</v>
      </c>
      <c r="D648" s="22">
        <f ca="1"/>
        <v>46.23</v>
      </c>
      <c r="E648" s="22">
        <f ca="1"/>
        <v>45.099997999999999</v>
      </c>
      <c r="F648" s="22">
        <f ca="1"/>
        <v>46.110000999999997</v>
      </c>
      <c r="G648" s="22">
        <f ca="1"/>
        <v>40.793922000000002</v>
      </c>
      <c r="H648" s="69">
        <f ca="1"/>
        <v>33934000</v>
      </c>
      <c r="I648" s="23" t="str">
        <f t="shared" ca="1" si="21"/>
        <v/>
      </c>
    </row>
    <row r="649" spans="1:11" ht="13.8">
      <c r="A649" s="20">
        <f t="shared" ca="1" si="20"/>
        <v>42209</v>
      </c>
      <c r="B649" s="21" t="str">
        <f ca="1"/>
        <v>2015-07-24</v>
      </c>
      <c r="C649" s="22">
        <f ca="1"/>
        <v>45.91</v>
      </c>
      <c r="D649" s="22">
        <f ca="1"/>
        <v>46.32</v>
      </c>
      <c r="E649" s="22">
        <f ca="1"/>
        <v>45.799999</v>
      </c>
      <c r="F649" s="22">
        <f ca="1"/>
        <v>45.939999</v>
      </c>
      <c r="G649" s="22">
        <f ca="1"/>
        <v>40.643520000000002</v>
      </c>
      <c r="H649" s="69">
        <f ca="1"/>
        <v>32333200</v>
      </c>
      <c r="I649" s="23" t="str">
        <f t="shared" ca="1" si="21"/>
        <v/>
      </c>
    </row>
    <row r="650" spans="1:11" ht="13.8">
      <c r="A650" s="20">
        <f t="shared" ca="1" si="20"/>
        <v>42212</v>
      </c>
      <c r="B650" s="21" t="str">
        <f ca="1"/>
        <v>2015-07-27</v>
      </c>
      <c r="C650" s="22">
        <f ca="1"/>
        <v>45.939999</v>
      </c>
      <c r="D650" s="22">
        <f ca="1"/>
        <v>46.009998000000003</v>
      </c>
      <c r="E650" s="22">
        <f ca="1"/>
        <v>45.25</v>
      </c>
      <c r="F650" s="22">
        <f ca="1"/>
        <v>45.349997999999999</v>
      </c>
      <c r="G650" s="22">
        <f ca="1"/>
        <v>40.121544</v>
      </c>
      <c r="H650" s="69">
        <f ca="1"/>
        <v>39701400</v>
      </c>
      <c r="I650" s="23" t="str">
        <f t="shared" ca="1" si="21"/>
        <v/>
      </c>
    </row>
    <row r="651" spans="1:11" ht="13.8">
      <c r="A651" s="20">
        <f t="shared" ca="1" si="20"/>
        <v>42213</v>
      </c>
      <c r="B651" s="21" t="str">
        <f ca="1"/>
        <v>2015-07-28</v>
      </c>
      <c r="C651" s="22">
        <f ca="1"/>
        <v>45.580002</v>
      </c>
      <c r="D651" s="22">
        <f ca="1"/>
        <v>45.639999000000003</v>
      </c>
      <c r="E651" s="22">
        <f ca="1"/>
        <v>44.790000999999997</v>
      </c>
      <c r="F651" s="22">
        <f ca="1"/>
        <v>45.34</v>
      </c>
      <c r="G651" s="22">
        <f ca="1"/>
        <v>40.112701000000001</v>
      </c>
      <c r="H651" s="69">
        <f ca="1"/>
        <v>34328900</v>
      </c>
      <c r="I651" s="23" t="str">
        <f t="shared" ca="1" si="21"/>
        <v/>
      </c>
    </row>
    <row r="652" spans="1:11" ht="13.8">
      <c r="A652" s="20">
        <f t="shared" ca="1" si="20"/>
        <v>42214</v>
      </c>
      <c r="B652" s="21" t="str">
        <f ca="1"/>
        <v>2015-07-29</v>
      </c>
      <c r="C652" s="22">
        <f ca="1"/>
        <v>45.400002000000001</v>
      </c>
      <c r="D652" s="22">
        <f ca="1"/>
        <v>46.779998999999997</v>
      </c>
      <c r="E652" s="22">
        <f ca="1"/>
        <v>45.259998000000003</v>
      </c>
      <c r="F652" s="22">
        <f ca="1"/>
        <v>46.290000999999997</v>
      </c>
      <c r="G652" s="22">
        <f ca="1"/>
        <v>40.953170999999998</v>
      </c>
      <c r="H652" s="69">
        <f ca="1"/>
        <v>40945900</v>
      </c>
      <c r="I652" s="23" t="str">
        <f t="shared" ca="1" si="21"/>
        <v/>
      </c>
    </row>
    <row r="653" spans="1:11" ht="13.8">
      <c r="A653" s="20">
        <f t="shared" ca="1" si="20"/>
        <v>42215</v>
      </c>
      <c r="B653" s="21" t="str">
        <f ca="1"/>
        <v>2015-07-30</v>
      </c>
      <c r="C653" s="22">
        <f ca="1"/>
        <v>46.259998000000003</v>
      </c>
      <c r="D653" s="22">
        <f ca="1"/>
        <v>47.400002000000001</v>
      </c>
      <c r="E653" s="22">
        <f ca="1"/>
        <v>45.93</v>
      </c>
      <c r="F653" s="22">
        <f ca="1"/>
        <v>46.880001</v>
      </c>
      <c r="G653" s="22">
        <f ca="1"/>
        <v>41.475158999999998</v>
      </c>
      <c r="H653" s="69">
        <f ca="1"/>
        <v>39777900</v>
      </c>
      <c r="I653" s="23" t="str">
        <f t="shared" ca="1" si="21"/>
        <v/>
      </c>
      <c r="K653" s="67"/>
    </row>
    <row r="654" spans="1:11" ht="13.8">
      <c r="A654" s="20">
        <f t="shared" ca="1" si="20"/>
        <v>42216</v>
      </c>
      <c r="B654" s="21" t="str">
        <f ca="1"/>
        <v>2015-07-31</v>
      </c>
      <c r="C654" s="22">
        <f ca="1"/>
        <v>47.290000999999997</v>
      </c>
      <c r="D654" s="22">
        <f ca="1"/>
        <v>47.369999</v>
      </c>
      <c r="E654" s="22">
        <f ca="1"/>
        <v>46.5</v>
      </c>
      <c r="F654" s="22">
        <f ca="1"/>
        <v>46.700001</v>
      </c>
      <c r="G654" s="22">
        <f ca="1"/>
        <v>41.315907000000003</v>
      </c>
      <c r="H654" s="69">
        <f ca="1"/>
        <v>31201500</v>
      </c>
      <c r="I654" s="23" t="str">
        <f t="shared" ca="1" si="21"/>
        <v/>
      </c>
    </row>
    <row r="655" spans="1:11" ht="13.8">
      <c r="A655" s="20">
        <f t="shared" ca="1" si="20"/>
        <v>42219</v>
      </c>
      <c r="B655" s="21" t="str">
        <f ca="1"/>
        <v>2015-08-03</v>
      </c>
      <c r="C655" s="22">
        <f ca="1"/>
        <v>46.98</v>
      </c>
      <c r="D655" s="22">
        <f ca="1"/>
        <v>47</v>
      </c>
      <c r="E655" s="22">
        <f ca="1"/>
        <v>46.450001</v>
      </c>
      <c r="F655" s="22">
        <f ca="1"/>
        <v>46.810001</v>
      </c>
      <c r="G655" s="22">
        <f ca="1"/>
        <v>41.413223000000002</v>
      </c>
      <c r="H655" s="69">
        <f ca="1"/>
        <v>24125900</v>
      </c>
      <c r="I655" s="23" t="str">
        <f t="shared" ca="1" si="21"/>
        <v/>
      </c>
    </row>
    <row r="656" spans="1:11" ht="13.8">
      <c r="A656" s="20">
        <f t="shared" ca="1" si="20"/>
        <v>42220</v>
      </c>
      <c r="B656" s="21" t="str">
        <f ca="1"/>
        <v>2015-08-04</v>
      </c>
      <c r="C656" s="22">
        <f ca="1"/>
        <v>46.75</v>
      </c>
      <c r="D656" s="22">
        <f ca="1"/>
        <v>47.709999000000003</v>
      </c>
      <c r="E656" s="22">
        <f ca="1"/>
        <v>46.68</v>
      </c>
      <c r="F656" s="22">
        <f ca="1"/>
        <v>47.540000999999997</v>
      </c>
      <c r="G656" s="22">
        <f ca="1"/>
        <v>42.059058999999998</v>
      </c>
      <c r="H656" s="69">
        <f ca="1"/>
        <v>33403900</v>
      </c>
      <c r="I656" s="23" t="str">
        <f t="shared" ca="1" si="21"/>
        <v/>
      </c>
    </row>
    <row r="657" spans="1:9" ht="13.8">
      <c r="A657" s="20">
        <f t="shared" ca="1" si="20"/>
        <v>42221</v>
      </c>
      <c r="B657" s="21" t="str">
        <f ca="1"/>
        <v>2015-08-05</v>
      </c>
      <c r="C657" s="22">
        <f ca="1"/>
        <v>47.98</v>
      </c>
      <c r="D657" s="22">
        <f ca="1"/>
        <v>48.41</v>
      </c>
      <c r="E657" s="22">
        <f ca="1"/>
        <v>47.540000999999997</v>
      </c>
      <c r="F657" s="22">
        <f ca="1"/>
        <v>47.580002</v>
      </c>
      <c r="G657" s="22">
        <f ca="1"/>
        <v>42.094459999999998</v>
      </c>
      <c r="H657" s="69">
        <f ca="1"/>
        <v>26959700</v>
      </c>
      <c r="I657" s="23" t="str">
        <f t="shared" ca="1" si="21"/>
        <v/>
      </c>
    </row>
    <row r="658" spans="1:9" ht="13.8">
      <c r="A658" s="20">
        <f t="shared" ca="1" si="20"/>
        <v>42222</v>
      </c>
      <c r="B658" s="21" t="str">
        <f ca="1"/>
        <v>2015-08-06</v>
      </c>
      <c r="C658" s="22">
        <f ca="1"/>
        <v>47.709999000000003</v>
      </c>
      <c r="D658" s="22">
        <f ca="1"/>
        <v>47.77</v>
      </c>
      <c r="E658" s="22">
        <f ca="1"/>
        <v>46.330002</v>
      </c>
      <c r="F658" s="22">
        <f ca="1"/>
        <v>46.619999</v>
      </c>
      <c r="G658" s="22">
        <f ca="1"/>
        <v>41.245125000000002</v>
      </c>
      <c r="H658" s="69">
        <f ca="1"/>
        <v>27368000</v>
      </c>
      <c r="I658" s="23" t="str">
        <f t="shared" ca="1" si="21"/>
        <v/>
      </c>
    </row>
    <row r="659" spans="1:9" ht="13.8">
      <c r="A659" s="20">
        <f t="shared" ca="1" si="20"/>
        <v>42223</v>
      </c>
      <c r="B659" s="21" t="str">
        <f ca="1"/>
        <v>2015-08-07</v>
      </c>
      <c r="C659" s="22">
        <f ca="1"/>
        <v>46.389999000000003</v>
      </c>
      <c r="D659" s="22">
        <f ca="1"/>
        <v>46.779998999999997</v>
      </c>
      <c r="E659" s="22">
        <f ca="1"/>
        <v>46.259998000000003</v>
      </c>
      <c r="F659" s="22">
        <f ca="1"/>
        <v>46.740001999999997</v>
      </c>
      <c r="G659" s="22">
        <f ca="1"/>
        <v>41.351298999999997</v>
      </c>
      <c r="H659" s="69">
        <f ca="1"/>
        <v>19163000</v>
      </c>
      <c r="I659" s="23" t="str">
        <f t="shared" ca="1" si="21"/>
        <v/>
      </c>
    </row>
    <row r="660" spans="1:9" ht="13.8">
      <c r="A660" s="20">
        <f t="shared" ca="1" si="20"/>
        <v>42226</v>
      </c>
      <c r="B660" s="21" t="str">
        <f ca="1"/>
        <v>2015-08-10</v>
      </c>
      <c r="C660" s="22">
        <f ca="1"/>
        <v>46.950001</v>
      </c>
      <c r="D660" s="22">
        <f ca="1"/>
        <v>47.490001999999997</v>
      </c>
      <c r="E660" s="22">
        <f ca="1"/>
        <v>46.84</v>
      </c>
      <c r="F660" s="22">
        <f ca="1"/>
        <v>47.330002</v>
      </c>
      <c r="G660" s="22">
        <f ca="1"/>
        <v>41.873280000000001</v>
      </c>
      <c r="H660" s="69">
        <f ca="1"/>
        <v>23079900</v>
      </c>
      <c r="I660" s="23" t="str">
        <f t="shared" ca="1" si="21"/>
        <v/>
      </c>
    </row>
    <row r="661" spans="1:9" ht="13.8">
      <c r="A661" s="20">
        <f t="shared" ca="1" si="20"/>
        <v>42227</v>
      </c>
      <c r="B661" s="21" t="str">
        <f ca="1"/>
        <v>2015-08-11</v>
      </c>
      <c r="C661" s="22">
        <f ca="1"/>
        <v>46.82</v>
      </c>
      <c r="D661" s="22">
        <f ca="1"/>
        <v>46.939999</v>
      </c>
      <c r="E661" s="22">
        <f ca="1"/>
        <v>45.900002000000001</v>
      </c>
      <c r="F661" s="22">
        <f ca="1"/>
        <v>46.41</v>
      </c>
      <c r="G661" s="22">
        <f ca="1"/>
        <v>41.059345</v>
      </c>
      <c r="H661" s="69">
        <f ca="1"/>
        <v>29237400</v>
      </c>
      <c r="I661" s="23" t="str">
        <f t="shared" ca="1" si="21"/>
        <v/>
      </c>
    </row>
    <row r="662" spans="1:9" ht="13.8">
      <c r="A662" s="20">
        <f t="shared" ca="1" si="20"/>
        <v>42228</v>
      </c>
      <c r="B662" s="21" t="str">
        <f ca="1"/>
        <v>2015-08-12</v>
      </c>
      <c r="C662" s="22">
        <f ca="1"/>
        <v>46.189999</v>
      </c>
      <c r="D662" s="22">
        <f ca="1"/>
        <v>46.900002000000001</v>
      </c>
      <c r="E662" s="22">
        <f ca="1"/>
        <v>45.709999000000003</v>
      </c>
      <c r="F662" s="22">
        <f ca="1"/>
        <v>46.740001999999997</v>
      </c>
      <c r="G662" s="22">
        <f ca="1"/>
        <v>41.351298999999997</v>
      </c>
      <c r="H662" s="69">
        <f ca="1"/>
        <v>30181400</v>
      </c>
      <c r="I662" s="23" t="str">
        <f t="shared" ca="1" si="21"/>
        <v/>
      </c>
    </row>
    <row r="663" spans="1:9" ht="13.8">
      <c r="A663" s="20">
        <f t="shared" ca="1" si="20"/>
        <v>42229</v>
      </c>
      <c r="B663" s="21" t="str">
        <f ca="1"/>
        <v>2015-08-13</v>
      </c>
      <c r="C663" s="22">
        <f ca="1"/>
        <v>47.060001</v>
      </c>
      <c r="D663" s="22">
        <f ca="1"/>
        <v>47.099997999999999</v>
      </c>
      <c r="E663" s="22">
        <f ca="1"/>
        <v>46.490001999999997</v>
      </c>
      <c r="F663" s="22">
        <f ca="1"/>
        <v>46.73</v>
      </c>
      <c r="G663" s="22">
        <f ca="1"/>
        <v>41.342444999999998</v>
      </c>
      <c r="H663" s="69">
        <f ca="1"/>
        <v>22627200</v>
      </c>
      <c r="I663" s="23" t="str">
        <f t="shared" ca="1" si="21"/>
        <v/>
      </c>
    </row>
    <row r="664" spans="1:9" ht="13.8">
      <c r="A664" s="20">
        <f t="shared" ca="1" si="20"/>
        <v>42230</v>
      </c>
      <c r="B664" s="21" t="str">
        <f ca="1"/>
        <v>2015-08-14</v>
      </c>
      <c r="C664" s="22">
        <f ca="1"/>
        <v>46.529998999999997</v>
      </c>
      <c r="D664" s="22">
        <f ca="1"/>
        <v>47.099997999999999</v>
      </c>
      <c r="E664" s="22">
        <f ca="1"/>
        <v>46.52</v>
      </c>
      <c r="F664" s="22">
        <f ca="1"/>
        <v>47</v>
      </c>
      <c r="G664" s="22">
        <f ca="1"/>
        <v>41.581313999999999</v>
      </c>
      <c r="H664" s="69">
        <f ca="1"/>
        <v>21473400</v>
      </c>
      <c r="I664" s="23" t="str">
        <f t="shared" ca="1" si="21"/>
        <v/>
      </c>
    </row>
    <row r="665" spans="1:9" ht="13.8">
      <c r="A665" s="20">
        <f t="shared" ca="1" si="20"/>
        <v>42233</v>
      </c>
      <c r="B665" s="21" t="str">
        <f ca="1"/>
        <v>2015-08-17</v>
      </c>
      <c r="C665" s="22">
        <f ca="1"/>
        <v>46.810001</v>
      </c>
      <c r="D665" s="22">
        <f ca="1"/>
        <v>47.450001</v>
      </c>
      <c r="E665" s="22">
        <f ca="1"/>
        <v>46.57</v>
      </c>
      <c r="F665" s="22">
        <f ca="1"/>
        <v>47.32</v>
      </c>
      <c r="G665" s="22">
        <f ca="1"/>
        <v>41.864429000000001</v>
      </c>
      <c r="H665" s="69">
        <f ca="1"/>
        <v>21099700</v>
      </c>
      <c r="I665" s="23" t="str">
        <f t="shared" ca="1" si="21"/>
        <v/>
      </c>
    </row>
    <row r="666" spans="1:9" ht="13.8">
      <c r="A666" s="20">
        <f t="shared" ca="1" si="20"/>
        <v>42234</v>
      </c>
      <c r="B666" s="21" t="str">
        <f ca="1"/>
        <v>2015-08-18</v>
      </c>
      <c r="C666" s="22">
        <f ca="1"/>
        <v>46.84</v>
      </c>
      <c r="D666" s="22">
        <f ca="1"/>
        <v>47.43</v>
      </c>
      <c r="E666" s="22">
        <f ca="1"/>
        <v>46.700001</v>
      </c>
      <c r="F666" s="22">
        <f ca="1"/>
        <v>47.27</v>
      </c>
      <c r="G666" s="22">
        <f ca="1"/>
        <v>42.095962999999998</v>
      </c>
      <c r="H666" s="69">
        <f ca="1"/>
        <v>23574100</v>
      </c>
      <c r="I666" s="23">
        <f t="shared" ca="1" si="21"/>
        <v>0.31</v>
      </c>
    </row>
    <row r="667" spans="1:9" ht="13.8">
      <c r="A667" s="20">
        <f t="shared" ca="1" si="20"/>
        <v>42235</v>
      </c>
      <c r="B667" s="21" t="str">
        <f ca="1"/>
        <v>2015-08-19</v>
      </c>
      <c r="C667" s="22">
        <f ca="1"/>
        <v>46.779998999999997</v>
      </c>
      <c r="D667" s="22">
        <f ca="1"/>
        <v>47.080002</v>
      </c>
      <c r="E667" s="22">
        <f ca="1"/>
        <v>46.299999</v>
      </c>
      <c r="F667" s="22">
        <f ca="1"/>
        <v>46.610000999999997</v>
      </c>
      <c r="G667" s="22">
        <f ca="1"/>
        <v>41.508212999999998</v>
      </c>
      <c r="H667" s="69">
        <f ca="1"/>
        <v>31485500</v>
      </c>
      <c r="I667" s="23" t="str">
        <f t="shared" ca="1" si="21"/>
        <v/>
      </c>
    </row>
    <row r="668" spans="1:9" ht="13.8">
      <c r="A668" s="20">
        <f t="shared" ca="1" si="20"/>
        <v>42236</v>
      </c>
      <c r="B668" s="21" t="str">
        <f ca="1"/>
        <v>2015-08-20</v>
      </c>
      <c r="C668" s="22">
        <f ca="1"/>
        <v>46.07</v>
      </c>
      <c r="D668" s="22">
        <f ca="1"/>
        <v>46.470001000000003</v>
      </c>
      <c r="E668" s="22">
        <f ca="1"/>
        <v>45.66</v>
      </c>
      <c r="F668" s="22">
        <f ca="1"/>
        <v>45.66</v>
      </c>
      <c r="G668" s="22">
        <f ca="1"/>
        <v>40.662188999999998</v>
      </c>
      <c r="H668" s="69">
        <f ca="1"/>
        <v>36238200</v>
      </c>
      <c r="I668" s="23" t="str">
        <f t="shared" ca="1" si="21"/>
        <v/>
      </c>
    </row>
    <row r="669" spans="1:9" ht="13.8">
      <c r="A669" s="20">
        <f t="shared" ca="1" si="20"/>
        <v>42237</v>
      </c>
      <c r="B669" s="21" t="str">
        <f ca="1"/>
        <v>2015-08-21</v>
      </c>
      <c r="C669" s="22">
        <f ca="1"/>
        <v>45.299999</v>
      </c>
      <c r="D669" s="22">
        <f ca="1"/>
        <v>45.48</v>
      </c>
      <c r="E669" s="22">
        <f ca="1"/>
        <v>43.07</v>
      </c>
      <c r="F669" s="22">
        <f ca="1"/>
        <v>43.07</v>
      </c>
      <c r="G669" s="22">
        <f ca="1"/>
        <v>38.355685999999999</v>
      </c>
      <c r="H669" s="69">
        <f ca="1"/>
        <v>70053100</v>
      </c>
      <c r="I669" s="23" t="str">
        <f t="shared" ca="1" si="21"/>
        <v/>
      </c>
    </row>
    <row r="670" spans="1:9" ht="13.8">
      <c r="A670" s="20">
        <f t="shared" ca="1" si="20"/>
        <v>42240</v>
      </c>
      <c r="B670" s="21" t="str">
        <f ca="1"/>
        <v>2015-08-24</v>
      </c>
      <c r="C670" s="22">
        <f ca="1"/>
        <v>40.450001</v>
      </c>
      <c r="D670" s="22">
        <f ca="1"/>
        <v>42.689999</v>
      </c>
      <c r="E670" s="22">
        <f ca="1"/>
        <v>39.720001000000003</v>
      </c>
      <c r="F670" s="22">
        <f ca="1"/>
        <v>41.68</v>
      </c>
      <c r="G670" s="22">
        <f ca="1"/>
        <v>37.117828000000003</v>
      </c>
      <c r="H670" s="69">
        <f ca="1"/>
        <v>88753700</v>
      </c>
      <c r="I670" s="23" t="str">
        <f t="shared" ca="1" si="21"/>
        <v/>
      </c>
    </row>
    <row r="671" spans="1:9" ht="13.8">
      <c r="A671" s="20">
        <f t="shared" ca="1" si="20"/>
        <v>42241</v>
      </c>
      <c r="B671" s="21" t="str">
        <f ca="1"/>
        <v>2015-08-25</v>
      </c>
      <c r="C671" s="22">
        <f ca="1"/>
        <v>42.57</v>
      </c>
      <c r="D671" s="22">
        <f ca="1"/>
        <v>43.240001999999997</v>
      </c>
      <c r="E671" s="22">
        <f ca="1"/>
        <v>40.389999000000003</v>
      </c>
      <c r="F671" s="22">
        <f ca="1"/>
        <v>40.470001000000003</v>
      </c>
      <c r="G671" s="22">
        <f ca="1"/>
        <v>36.040283000000002</v>
      </c>
      <c r="H671" s="69">
        <f ca="1"/>
        <v>70616600</v>
      </c>
      <c r="I671" s="23" t="str">
        <f t="shared" ca="1" si="21"/>
        <v/>
      </c>
    </row>
    <row r="672" spans="1:9" ht="13.8">
      <c r="A672" s="20">
        <f t="shared" ca="1" si="20"/>
        <v>42242</v>
      </c>
      <c r="B672" s="21" t="str">
        <f ca="1"/>
        <v>2015-08-26</v>
      </c>
      <c r="C672" s="22">
        <f ca="1"/>
        <v>42.009998000000003</v>
      </c>
      <c r="D672" s="22">
        <f ca="1"/>
        <v>42.84</v>
      </c>
      <c r="E672" s="22">
        <f ca="1"/>
        <v>41.060001</v>
      </c>
      <c r="F672" s="22">
        <f ca="1"/>
        <v>42.709999000000003</v>
      </c>
      <c r="G672" s="22">
        <f ca="1"/>
        <v>38.035080000000001</v>
      </c>
      <c r="H672" s="69">
        <f ca="1"/>
        <v>63408000</v>
      </c>
      <c r="I672" s="23" t="str">
        <f t="shared" ca="1" si="21"/>
        <v/>
      </c>
    </row>
    <row r="673" spans="1:9" ht="13.8">
      <c r="A673" s="20">
        <f t="shared" ca="1" si="20"/>
        <v>42243</v>
      </c>
      <c r="B673" s="21" t="str">
        <f ca="1"/>
        <v>2015-08-27</v>
      </c>
      <c r="C673" s="22">
        <f ca="1"/>
        <v>43.23</v>
      </c>
      <c r="D673" s="22">
        <f ca="1"/>
        <v>43.950001</v>
      </c>
      <c r="E673" s="22">
        <f ca="1"/>
        <v>42.93</v>
      </c>
      <c r="F673" s="22">
        <f ca="1"/>
        <v>43.900002000000001</v>
      </c>
      <c r="G673" s="22">
        <f ca="1"/>
        <v>39.094836999999998</v>
      </c>
      <c r="H673" s="69">
        <f ca="1"/>
        <v>50943200</v>
      </c>
      <c r="I673" s="23" t="str">
        <f t="shared" ca="1" si="21"/>
        <v/>
      </c>
    </row>
    <row r="674" spans="1:9" ht="13.8">
      <c r="A674" s="20">
        <f t="shared" ca="1" si="20"/>
        <v>42244</v>
      </c>
      <c r="B674" s="21" t="str">
        <f ca="1"/>
        <v>2015-08-28</v>
      </c>
      <c r="C674" s="22">
        <f ca="1"/>
        <v>43.400002000000001</v>
      </c>
      <c r="D674" s="22">
        <f ca="1"/>
        <v>44.150002000000001</v>
      </c>
      <c r="E674" s="22">
        <f ca="1"/>
        <v>43.389999000000003</v>
      </c>
      <c r="F674" s="22">
        <f ca="1"/>
        <v>43.93</v>
      </c>
      <c r="G674" s="22">
        <f ca="1"/>
        <v>39.121552000000001</v>
      </c>
      <c r="H674" s="69">
        <f ca="1"/>
        <v>28246700</v>
      </c>
      <c r="I674" s="23" t="str">
        <f t="shared" ca="1" si="21"/>
        <v/>
      </c>
    </row>
    <row r="675" spans="1:9" ht="13.8">
      <c r="A675" s="20">
        <f t="shared" ca="1" si="20"/>
        <v>42247</v>
      </c>
      <c r="B675" s="21" t="str">
        <f ca="1"/>
        <v>2015-08-31</v>
      </c>
      <c r="C675" s="22">
        <f ca="1"/>
        <v>43.560001</v>
      </c>
      <c r="D675" s="22">
        <f ca="1"/>
        <v>43.93</v>
      </c>
      <c r="E675" s="22">
        <f ca="1"/>
        <v>43.099997999999999</v>
      </c>
      <c r="F675" s="22">
        <f ca="1"/>
        <v>43.52</v>
      </c>
      <c r="G675" s="22">
        <f ca="1"/>
        <v>38.756424000000003</v>
      </c>
      <c r="H675" s="69">
        <f ca="1"/>
        <v>34441700</v>
      </c>
      <c r="I675" s="23" t="str">
        <f t="shared" ca="1" si="21"/>
        <v/>
      </c>
    </row>
    <row r="676" spans="1:9" ht="13.8">
      <c r="A676" s="20">
        <f t="shared" ca="1" si="20"/>
        <v>42248</v>
      </c>
      <c r="B676" s="21" t="str">
        <f ca="1"/>
        <v>2015-09-01</v>
      </c>
      <c r="C676" s="22">
        <f ca="1"/>
        <v>42.169998</v>
      </c>
      <c r="D676" s="22">
        <f ca="1"/>
        <v>42.59</v>
      </c>
      <c r="E676" s="22">
        <f ca="1"/>
        <v>41.66</v>
      </c>
      <c r="F676" s="22">
        <f ca="1"/>
        <v>41.82</v>
      </c>
      <c r="G676" s="22">
        <f ca="1"/>
        <v>37.242516000000002</v>
      </c>
      <c r="H676" s="69">
        <f ca="1"/>
        <v>49688900</v>
      </c>
      <c r="I676" s="23" t="str">
        <f t="shared" ca="1" si="21"/>
        <v/>
      </c>
    </row>
    <row r="677" spans="1:9" ht="13.8">
      <c r="A677" s="20">
        <f t="shared" ca="1" si="20"/>
        <v>42249</v>
      </c>
      <c r="B677" s="21" t="str">
        <f ca="1"/>
        <v>2015-09-02</v>
      </c>
      <c r="C677" s="22">
        <f ca="1"/>
        <v>42.360000999999997</v>
      </c>
      <c r="D677" s="22">
        <f ca="1"/>
        <v>43.380001</v>
      </c>
      <c r="E677" s="22">
        <f ca="1"/>
        <v>41.880001</v>
      </c>
      <c r="F677" s="22">
        <f ca="1"/>
        <v>43.360000999999997</v>
      </c>
      <c r="G677" s="22">
        <f ca="1"/>
        <v>38.613948999999998</v>
      </c>
      <c r="H677" s="69">
        <f ca="1"/>
        <v>37671500</v>
      </c>
      <c r="I677" s="23" t="str">
        <f t="shared" ca="1" si="21"/>
        <v/>
      </c>
    </row>
    <row r="678" spans="1:9" ht="13.8">
      <c r="A678" s="20">
        <f t="shared" ca="1" si="20"/>
        <v>42250</v>
      </c>
      <c r="B678" s="21" t="str">
        <f ca="1"/>
        <v>2015-09-03</v>
      </c>
      <c r="C678" s="22">
        <f ca="1"/>
        <v>43.41</v>
      </c>
      <c r="D678" s="22">
        <f ca="1"/>
        <v>43.98</v>
      </c>
      <c r="E678" s="22">
        <f ca="1"/>
        <v>43.279998999999997</v>
      </c>
      <c r="F678" s="22">
        <f ca="1"/>
        <v>43.5</v>
      </c>
      <c r="G678" s="22">
        <f ca="1"/>
        <v>38.738613000000001</v>
      </c>
      <c r="H678" s="69">
        <f ca="1"/>
        <v>28285200</v>
      </c>
      <c r="I678" s="23" t="str">
        <f t="shared" ca="1" si="21"/>
        <v/>
      </c>
    </row>
    <row r="679" spans="1:9" ht="13.8">
      <c r="A679" s="20">
        <f t="shared" ca="1" si="20"/>
        <v>42251</v>
      </c>
      <c r="B679" s="21" t="str">
        <f ca="1"/>
        <v>2015-09-04</v>
      </c>
      <c r="C679" s="22">
        <f ca="1"/>
        <v>42.810001</v>
      </c>
      <c r="D679" s="22">
        <f ca="1"/>
        <v>43.040000999999997</v>
      </c>
      <c r="E679" s="22">
        <f ca="1"/>
        <v>42.200001</v>
      </c>
      <c r="F679" s="22">
        <f ca="1"/>
        <v>42.610000999999997</v>
      </c>
      <c r="G679" s="22">
        <f ca="1"/>
        <v>37.946036999999997</v>
      </c>
      <c r="H679" s="69">
        <f ca="1"/>
        <v>37138800</v>
      </c>
      <c r="I679" s="23" t="str">
        <f t="shared" ca="1" si="21"/>
        <v/>
      </c>
    </row>
    <row r="680" spans="1:9" ht="13.8">
      <c r="A680" s="20">
        <f t="shared" ca="1" si="20"/>
        <v>42255</v>
      </c>
      <c r="B680" s="21" t="str">
        <f ca="1"/>
        <v>2015-09-08</v>
      </c>
      <c r="C680" s="22">
        <f ca="1"/>
        <v>43.299999</v>
      </c>
      <c r="D680" s="22">
        <f ca="1"/>
        <v>44</v>
      </c>
      <c r="E680" s="22">
        <f ca="1"/>
        <v>43.200001</v>
      </c>
      <c r="F680" s="22">
        <f ca="1"/>
        <v>43.889999000000003</v>
      </c>
      <c r="G680" s="22">
        <f ca="1"/>
        <v>39.085929999999998</v>
      </c>
      <c r="H680" s="69">
        <f ca="1"/>
        <v>32469800</v>
      </c>
      <c r="I680" s="23" t="str">
        <f t="shared" ca="1" si="21"/>
        <v/>
      </c>
    </row>
    <row r="681" spans="1:9" ht="13.8">
      <c r="A681" s="20">
        <f t="shared" ca="1" si="20"/>
        <v>42256</v>
      </c>
      <c r="B681" s="21" t="str">
        <f ca="1"/>
        <v>2015-09-09</v>
      </c>
      <c r="C681" s="22">
        <f ca="1"/>
        <v>44.209999000000003</v>
      </c>
      <c r="D681" s="22">
        <f ca="1"/>
        <v>44.400002000000001</v>
      </c>
      <c r="E681" s="22">
        <f ca="1"/>
        <v>42.91</v>
      </c>
      <c r="F681" s="22">
        <f ca="1"/>
        <v>43.07</v>
      </c>
      <c r="G681" s="22">
        <f ca="1"/>
        <v>38.355685999999999</v>
      </c>
      <c r="H681" s="69">
        <f ca="1"/>
        <v>33469500</v>
      </c>
      <c r="I681" s="23" t="str">
        <f t="shared" ca="1" si="21"/>
        <v/>
      </c>
    </row>
    <row r="682" spans="1:9" ht="13.8">
      <c r="A682" s="20">
        <f t="shared" ca="1" si="20"/>
        <v>42257</v>
      </c>
      <c r="B682" s="21" t="str">
        <f ca="1"/>
        <v>2015-09-10</v>
      </c>
      <c r="C682" s="22">
        <f ca="1"/>
        <v>43.119999</v>
      </c>
      <c r="D682" s="22">
        <f ca="1"/>
        <v>43.790000999999997</v>
      </c>
      <c r="E682" s="22">
        <f ca="1"/>
        <v>42.75</v>
      </c>
      <c r="F682" s="22">
        <f ca="1"/>
        <v>43.290000999999997</v>
      </c>
      <c r="G682" s="22">
        <f ca="1"/>
        <v>38.551605000000002</v>
      </c>
      <c r="H682" s="69">
        <f ca="1"/>
        <v>31366600</v>
      </c>
      <c r="I682" s="23" t="str">
        <f t="shared" ca="1" si="21"/>
        <v/>
      </c>
    </row>
    <row r="683" spans="1:9" ht="13.8">
      <c r="A683" s="20">
        <f t="shared" ca="1" si="20"/>
        <v>42258</v>
      </c>
      <c r="B683" s="21" t="str">
        <f ca="1"/>
        <v>2015-09-11</v>
      </c>
      <c r="C683" s="22">
        <f ca="1"/>
        <v>43.139999000000003</v>
      </c>
      <c r="D683" s="22">
        <f ca="1"/>
        <v>43.59</v>
      </c>
      <c r="E683" s="22">
        <f ca="1"/>
        <v>42.939999</v>
      </c>
      <c r="F683" s="22">
        <f ca="1"/>
        <v>43.48</v>
      </c>
      <c r="G683" s="22">
        <f ca="1"/>
        <v>38.720806000000003</v>
      </c>
      <c r="H683" s="69">
        <f ca="1"/>
        <v>27132500</v>
      </c>
      <c r="I683" s="23" t="str">
        <f t="shared" ca="1" si="21"/>
        <v/>
      </c>
    </row>
    <row r="684" spans="1:9" ht="13.8">
      <c r="A684" s="20">
        <f t="shared" ca="1" si="20"/>
        <v>42261</v>
      </c>
      <c r="B684" s="21" t="str">
        <f ca="1"/>
        <v>2015-09-14</v>
      </c>
      <c r="C684" s="22">
        <f ca="1"/>
        <v>43.43</v>
      </c>
      <c r="D684" s="22">
        <f ca="1"/>
        <v>43.439999</v>
      </c>
      <c r="E684" s="22">
        <f ca="1"/>
        <v>42.860000999999997</v>
      </c>
      <c r="F684" s="22">
        <f ca="1"/>
        <v>43.040000999999997</v>
      </c>
      <c r="G684" s="22">
        <f ca="1"/>
        <v>38.328963999999999</v>
      </c>
      <c r="H684" s="69">
        <f ca="1"/>
        <v>23656000</v>
      </c>
      <c r="I684" s="23" t="str">
        <f t="shared" ca="1" si="21"/>
        <v/>
      </c>
    </row>
    <row r="685" spans="1:9" ht="13.8">
      <c r="A685" s="20">
        <f t="shared" ca="1" si="20"/>
        <v>42262</v>
      </c>
      <c r="B685" s="21" t="str">
        <f ca="1"/>
        <v>2015-09-15</v>
      </c>
      <c r="C685" s="22">
        <f ca="1"/>
        <v>43.189999</v>
      </c>
      <c r="D685" s="22">
        <f ca="1"/>
        <v>44.290000999999997</v>
      </c>
      <c r="E685" s="22">
        <f ca="1"/>
        <v>43.080002</v>
      </c>
      <c r="F685" s="22">
        <f ca="1"/>
        <v>43.98</v>
      </c>
      <c r="G685" s="22">
        <f ca="1"/>
        <v>39.166083999999998</v>
      </c>
      <c r="H685" s="69">
        <f ca="1"/>
        <v>28882200</v>
      </c>
      <c r="I685" s="23" t="str">
        <f t="shared" ca="1" si="21"/>
        <v/>
      </c>
    </row>
    <row r="686" spans="1:9" ht="13.8">
      <c r="A686" s="20">
        <f t="shared" ca="1" si="20"/>
        <v>42263</v>
      </c>
      <c r="B686" s="21" t="str">
        <f ca="1"/>
        <v>2015-09-16</v>
      </c>
      <c r="C686" s="22">
        <f ca="1"/>
        <v>43.970001000000003</v>
      </c>
      <c r="D686" s="22">
        <f ca="1"/>
        <v>44.380001</v>
      </c>
      <c r="E686" s="22">
        <f ca="1"/>
        <v>43.84</v>
      </c>
      <c r="F686" s="22">
        <f ca="1"/>
        <v>44.299999</v>
      </c>
      <c r="G686" s="22">
        <f ca="1"/>
        <v>39.451050000000002</v>
      </c>
      <c r="H686" s="69">
        <f ca="1"/>
        <v>23372200</v>
      </c>
      <c r="I686" s="23" t="str">
        <f t="shared" ca="1" si="21"/>
        <v/>
      </c>
    </row>
    <row r="687" spans="1:9" ht="13.8">
      <c r="A687" s="20">
        <f t="shared" ca="1" si="20"/>
        <v>42264</v>
      </c>
      <c r="B687" s="21" t="str">
        <f ca="1"/>
        <v>2015-09-17</v>
      </c>
      <c r="C687" s="22">
        <f ca="1"/>
        <v>44.290000999999997</v>
      </c>
      <c r="D687" s="22">
        <f ca="1"/>
        <v>45</v>
      </c>
      <c r="E687" s="22">
        <f ca="1"/>
        <v>44.080002</v>
      </c>
      <c r="F687" s="22">
        <f ca="1"/>
        <v>44.25</v>
      </c>
      <c r="G687" s="22">
        <f ca="1"/>
        <v>39.406531999999999</v>
      </c>
      <c r="H687" s="69">
        <f ca="1"/>
        <v>32768200</v>
      </c>
      <c r="I687" s="23" t="str">
        <f t="shared" ca="1" si="21"/>
        <v/>
      </c>
    </row>
    <row r="688" spans="1:9" ht="13.8">
      <c r="A688" s="20">
        <f t="shared" ca="1" si="20"/>
        <v>42265</v>
      </c>
      <c r="B688" s="21" t="str">
        <f ca="1"/>
        <v>2015-09-18</v>
      </c>
      <c r="C688" s="22">
        <f ca="1"/>
        <v>43.5</v>
      </c>
      <c r="D688" s="22">
        <f ca="1"/>
        <v>43.990001999999997</v>
      </c>
      <c r="E688" s="22">
        <f ca="1"/>
        <v>43.330002</v>
      </c>
      <c r="F688" s="22">
        <f ca="1"/>
        <v>43.48</v>
      </c>
      <c r="G688" s="22">
        <f ca="1"/>
        <v>38.720806000000003</v>
      </c>
      <c r="H688" s="69">
        <f ca="1"/>
        <v>63143700</v>
      </c>
      <c r="I688" s="23" t="str">
        <f t="shared" ca="1" si="21"/>
        <v/>
      </c>
    </row>
    <row r="689" spans="1:9" ht="13.8">
      <c r="A689" s="20">
        <f t="shared" ca="1" si="20"/>
        <v>42268</v>
      </c>
      <c r="B689" s="21" t="str">
        <f ca="1"/>
        <v>2015-09-21</v>
      </c>
      <c r="C689" s="22">
        <f ca="1"/>
        <v>43.619999</v>
      </c>
      <c r="D689" s="22">
        <f ca="1"/>
        <v>44.470001000000003</v>
      </c>
      <c r="E689" s="22">
        <f ca="1"/>
        <v>43.599997999999999</v>
      </c>
      <c r="F689" s="22">
        <f ca="1"/>
        <v>44.110000999999997</v>
      </c>
      <c r="G689" s="22">
        <f ca="1"/>
        <v>39.281834000000003</v>
      </c>
      <c r="H689" s="69">
        <f ca="1"/>
        <v>26177200</v>
      </c>
      <c r="I689" s="23" t="str">
        <f t="shared" ca="1" si="21"/>
        <v/>
      </c>
    </row>
    <row r="690" spans="1:9" ht="13.8">
      <c r="A690" s="20">
        <f t="shared" ca="1" si="20"/>
        <v>42269</v>
      </c>
      <c r="B690" s="21" t="str">
        <f ca="1"/>
        <v>2015-09-22</v>
      </c>
      <c r="C690" s="22">
        <f ca="1"/>
        <v>43.380001</v>
      </c>
      <c r="D690" s="22">
        <f ca="1"/>
        <v>44.049999</v>
      </c>
      <c r="E690" s="22">
        <f ca="1"/>
        <v>43.310001</v>
      </c>
      <c r="F690" s="22">
        <f ca="1"/>
        <v>43.900002000000001</v>
      </c>
      <c r="G690" s="22">
        <f ca="1"/>
        <v>39.094836999999998</v>
      </c>
      <c r="H690" s="69">
        <f ca="1"/>
        <v>28085900</v>
      </c>
      <c r="I690" s="23" t="str">
        <f t="shared" ca="1" si="21"/>
        <v/>
      </c>
    </row>
    <row r="691" spans="1:9" ht="13.8">
      <c r="A691" s="20">
        <f t="shared" ca="1" si="20"/>
        <v>42270</v>
      </c>
      <c r="B691" s="21" t="str">
        <f ca="1"/>
        <v>2015-09-23</v>
      </c>
      <c r="C691" s="22">
        <f ca="1"/>
        <v>43.93</v>
      </c>
      <c r="D691" s="22">
        <f ca="1"/>
        <v>44.169998</v>
      </c>
      <c r="E691" s="22">
        <f ca="1"/>
        <v>43.509998000000003</v>
      </c>
      <c r="F691" s="22">
        <f ca="1"/>
        <v>43.869999</v>
      </c>
      <c r="G691" s="22">
        <f ca="1"/>
        <v>39.068123</v>
      </c>
      <c r="H691" s="69">
        <f ca="1"/>
        <v>17145200</v>
      </c>
      <c r="I691" s="23" t="str">
        <f t="shared" ca="1" si="21"/>
        <v/>
      </c>
    </row>
    <row r="692" spans="1:9" ht="13.8">
      <c r="A692" s="20">
        <f t="shared" ca="1" si="20"/>
        <v>42271</v>
      </c>
      <c r="B692" s="21" t="str">
        <f ca="1"/>
        <v>2015-09-24</v>
      </c>
      <c r="C692" s="22">
        <f ca="1"/>
        <v>43.450001</v>
      </c>
      <c r="D692" s="22">
        <f ca="1"/>
        <v>44.130001</v>
      </c>
      <c r="E692" s="22">
        <f ca="1"/>
        <v>43.27</v>
      </c>
      <c r="F692" s="22">
        <f ca="1"/>
        <v>43.91</v>
      </c>
      <c r="G692" s="22">
        <f ca="1"/>
        <v>39.103745000000004</v>
      </c>
      <c r="H692" s="69">
        <f ca="1"/>
        <v>27905600</v>
      </c>
      <c r="I692" s="23" t="str">
        <f t="shared" ca="1" si="21"/>
        <v/>
      </c>
    </row>
    <row r="693" spans="1:9" ht="13.8">
      <c r="A693" s="20">
        <f t="shared" ca="1" si="20"/>
        <v>42272</v>
      </c>
      <c r="B693" s="21" t="str">
        <f ca="1"/>
        <v>2015-09-25</v>
      </c>
      <c r="C693" s="22">
        <f ca="1"/>
        <v>44.48</v>
      </c>
      <c r="D693" s="22">
        <f ca="1"/>
        <v>44.73</v>
      </c>
      <c r="E693" s="22">
        <f ca="1"/>
        <v>43.759998000000003</v>
      </c>
      <c r="F693" s="22">
        <f ca="1"/>
        <v>43.939999</v>
      </c>
      <c r="G693" s="22">
        <f ca="1"/>
        <v>39.130459000000002</v>
      </c>
      <c r="H693" s="69">
        <f ca="1"/>
        <v>29384600</v>
      </c>
      <c r="I693" s="23" t="str">
        <f t="shared" ca="1" si="21"/>
        <v/>
      </c>
    </row>
    <row r="694" spans="1:9" ht="13.8">
      <c r="A694" s="20">
        <f t="shared" ca="1" si="20"/>
        <v>42275</v>
      </c>
      <c r="B694" s="21" t="str">
        <f ca="1"/>
        <v>2015-09-28</v>
      </c>
      <c r="C694" s="22">
        <f ca="1"/>
        <v>43.830002</v>
      </c>
      <c r="D694" s="22">
        <f ca="1"/>
        <v>44.09</v>
      </c>
      <c r="E694" s="22">
        <f ca="1"/>
        <v>43.209999000000003</v>
      </c>
      <c r="F694" s="22">
        <f ca="1"/>
        <v>43.290000999999997</v>
      </c>
      <c r="G694" s="22">
        <f ca="1"/>
        <v>38.551605000000002</v>
      </c>
      <c r="H694" s="69">
        <f ca="1"/>
        <v>27613800</v>
      </c>
      <c r="I694" s="23" t="str">
        <f t="shared" ca="1" si="21"/>
        <v/>
      </c>
    </row>
    <row r="695" spans="1:9" ht="13.8">
      <c r="A695" s="20">
        <f t="shared" ca="1" si="20"/>
        <v>42276</v>
      </c>
      <c r="B695" s="21" t="str">
        <f ca="1"/>
        <v>2015-09-29</v>
      </c>
      <c r="C695" s="22">
        <f ca="1"/>
        <v>43.369999</v>
      </c>
      <c r="D695" s="22">
        <f ca="1"/>
        <v>43.57</v>
      </c>
      <c r="E695" s="22">
        <f ca="1"/>
        <v>43.049999</v>
      </c>
      <c r="F695" s="22">
        <f ca="1"/>
        <v>43.439999</v>
      </c>
      <c r="G695" s="22">
        <f ca="1"/>
        <v>38.685177000000003</v>
      </c>
      <c r="H695" s="69">
        <f ca="1"/>
        <v>32763600</v>
      </c>
      <c r="I695" s="23" t="str">
        <f t="shared" ca="1" si="21"/>
        <v/>
      </c>
    </row>
    <row r="696" spans="1:9" ht="13.8">
      <c r="A696" s="20">
        <f t="shared" ca="1" si="20"/>
        <v>42277</v>
      </c>
      <c r="B696" s="21" t="str">
        <f ca="1"/>
        <v>2015-09-30</v>
      </c>
      <c r="C696" s="22">
        <f ca="1"/>
        <v>43.880001</v>
      </c>
      <c r="D696" s="22">
        <f ca="1"/>
        <v>44.299999</v>
      </c>
      <c r="E696" s="22">
        <f ca="1"/>
        <v>43.66</v>
      </c>
      <c r="F696" s="22">
        <f ca="1"/>
        <v>44.259998000000003</v>
      </c>
      <c r="G696" s="22">
        <f ca="1"/>
        <v>39.415427999999999</v>
      </c>
      <c r="H696" s="69">
        <f ca="1"/>
        <v>34958900</v>
      </c>
      <c r="I696" s="23" t="str">
        <f t="shared" ca="1" si="21"/>
        <v/>
      </c>
    </row>
    <row r="697" spans="1:9" ht="13.8">
      <c r="A697" s="20">
        <f t="shared" ca="1" si="20"/>
        <v>42278</v>
      </c>
      <c r="B697" s="21" t="str">
        <f ca="1"/>
        <v>2015-10-01</v>
      </c>
      <c r="C697" s="22">
        <f ca="1"/>
        <v>44.75</v>
      </c>
      <c r="D697" s="22">
        <f ca="1"/>
        <v>44.75</v>
      </c>
      <c r="E697" s="22">
        <f ca="1"/>
        <v>43.75</v>
      </c>
      <c r="F697" s="22">
        <f ca="1"/>
        <v>44.610000999999997</v>
      </c>
      <c r="G697" s="22">
        <f ca="1"/>
        <v>39.727119000000002</v>
      </c>
      <c r="H697" s="69">
        <f ca="1"/>
        <v>28657900</v>
      </c>
      <c r="I697" s="23" t="str">
        <f t="shared" ca="1" si="21"/>
        <v/>
      </c>
    </row>
    <row r="698" spans="1:9" ht="13.8">
      <c r="A698" s="20">
        <f t="shared" ca="1" si="20"/>
        <v>42279</v>
      </c>
      <c r="B698" s="21" t="str">
        <f ca="1"/>
        <v>2015-10-02</v>
      </c>
      <c r="C698" s="22">
        <f ca="1"/>
        <v>44.27</v>
      </c>
      <c r="D698" s="22">
        <f ca="1"/>
        <v>45.57</v>
      </c>
      <c r="E698" s="22">
        <f ca="1"/>
        <v>43.919998</v>
      </c>
      <c r="F698" s="22">
        <f ca="1"/>
        <v>45.57</v>
      </c>
      <c r="G698" s="22">
        <f ca="1"/>
        <v>40.582034999999998</v>
      </c>
      <c r="H698" s="69">
        <f ca="1"/>
        <v>41839000</v>
      </c>
      <c r="I698" s="23" t="str">
        <f t="shared" ca="1" si="21"/>
        <v/>
      </c>
    </row>
    <row r="699" spans="1:9" ht="13.8">
      <c r="A699" s="20">
        <f t="shared" ca="1" si="20"/>
        <v>42282</v>
      </c>
      <c r="B699" s="21" t="str">
        <f ca="1"/>
        <v>2015-10-05</v>
      </c>
      <c r="C699" s="22">
        <f ca="1"/>
        <v>45.75</v>
      </c>
      <c r="D699" s="22">
        <f ca="1"/>
        <v>46.889999000000003</v>
      </c>
      <c r="E699" s="22">
        <f ca="1"/>
        <v>45.700001</v>
      </c>
      <c r="F699" s="22">
        <f ca="1"/>
        <v>46.630001</v>
      </c>
      <c r="G699" s="22">
        <f ca="1"/>
        <v>41.526004999999998</v>
      </c>
      <c r="H699" s="69">
        <f ca="1"/>
        <v>34369300</v>
      </c>
      <c r="I699" s="23" t="str">
        <f t="shared" ca="1" si="21"/>
        <v/>
      </c>
    </row>
    <row r="700" spans="1:9" ht="13.8">
      <c r="A700" s="20">
        <f t="shared" ca="1" si="20"/>
        <v>42283</v>
      </c>
      <c r="B700" s="21" t="str">
        <f ca="1"/>
        <v>2015-10-06</v>
      </c>
      <c r="C700" s="22">
        <f ca="1"/>
        <v>46.330002</v>
      </c>
      <c r="D700" s="22">
        <f ca="1"/>
        <v>47.18</v>
      </c>
      <c r="E700" s="22">
        <f ca="1"/>
        <v>46.220001000000003</v>
      </c>
      <c r="F700" s="22">
        <f ca="1"/>
        <v>46.75</v>
      </c>
      <c r="G700" s="22">
        <f ca="1"/>
        <v>41.632896000000002</v>
      </c>
      <c r="H700" s="69">
        <f ca="1"/>
        <v>27017200</v>
      </c>
      <c r="I700" s="23" t="str">
        <f t="shared" ca="1" si="21"/>
        <v/>
      </c>
    </row>
    <row r="701" spans="1:9" ht="13.8">
      <c r="A701" s="20">
        <f t="shared" ca="1" si="20"/>
        <v>42284</v>
      </c>
      <c r="B701" s="21" t="str">
        <f ca="1"/>
        <v>2015-10-07</v>
      </c>
      <c r="C701" s="22">
        <f ca="1"/>
        <v>47.099997999999999</v>
      </c>
      <c r="D701" s="22">
        <f ca="1"/>
        <v>47.349997999999999</v>
      </c>
      <c r="E701" s="22">
        <f ca="1"/>
        <v>45.950001</v>
      </c>
      <c r="F701" s="22">
        <f ca="1"/>
        <v>46.799999</v>
      </c>
      <c r="G701" s="22">
        <f ca="1"/>
        <v>41.677410000000002</v>
      </c>
      <c r="H701" s="69">
        <f ca="1"/>
        <v>27711500</v>
      </c>
      <c r="I701" s="23" t="str">
        <f t="shared" ca="1" si="21"/>
        <v/>
      </c>
    </row>
    <row r="702" spans="1:9" ht="13.8">
      <c r="A702" s="20">
        <f t="shared" ca="1" si="20"/>
        <v>42285</v>
      </c>
      <c r="B702" s="21" t="str">
        <f ca="1"/>
        <v>2015-10-08</v>
      </c>
      <c r="C702" s="22">
        <f ca="1"/>
        <v>46.560001</v>
      </c>
      <c r="D702" s="22">
        <f ca="1"/>
        <v>47.52</v>
      </c>
      <c r="E702" s="22">
        <f ca="1"/>
        <v>46.5</v>
      </c>
      <c r="F702" s="22">
        <f ca="1"/>
        <v>47.450001</v>
      </c>
      <c r="G702" s="22">
        <f ca="1"/>
        <v>42.256259999999997</v>
      </c>
      <c r="H702" s="69">
        <f ca="1"/>
        <v>33772700</v>
      </c>
      <c r="I702" s="23" t="str">
        <f t="shared" ca="1" si="21"/>
        <v/>
      </c>
    </row>
    <row r="703" spans="1:9" ht="13.8">
      <c r="A703" s="20">
        <f t="shared" ca="1" si="20"/>
        <v>42286</v>
      </c>
      <c r="B703" s="21" t="str">
        <f ca="1"/>
        <v>2015-10-09</v>
      </c>
      <c r="C703" s="22">
        <f ca="1"/>
        <v>47.450001</v>
      </c>
      <c r="D703" s="22">
        <f ca="1"/>
        <v>47.540000999999997</v>
      </c>
      <c r="E703" s="22">
        <f ca="1"/>
        <v>46.919998</v>
      </c>
      <c r="F703" s="22">
        <f ca="1"/>
        <v>47.110000999999997</v>
      </c>
      <c r="G703" s="22">
        <f ca="1"/>
        <v>41.953476000000002</v>
      </c>
      <c r="H703" s="69">
        <f ca="1"/>
        <v>28600600</v>
      </c>
      <c r="I703" s="23" t="str">
        <f t="shared" ca="1" si="21"/>
        <v/>
      </c>
    </row>
    <row r="704" spans="1:9" ht="13.8">
      <c r="A704" s="20">
        <f t="shared" ca="1" si="20"/>
        <v>42289</v>
      </c>
      <c r="B704" s="21" t="str">
        <f ca="1"/>
        <v>2015-10-12</v>
      </c>
      <c r="C704" s="22">
        <f ca="1"/>
        <v>46.98</v>
      </c>
      <c r="D704" s="22">
        <f ca="1"/>
        <v>47.07</v>
      </c>
      <c r="E704" s="22">
        <f ca="1"/>
        <v>46.5</v>
      </c>
      <c r="F704" s="22">
        <f ca="1"/>
        <v>47</v>
      </c>
      <c r="G704" s="22">
        <f ca="1"/>
        <v>41.855518000000004</v>
      </c>
      <c r="H704" s="69">
        <f ca="1"/>
        <v>19769100</v>
      </c>
      <c r="I704" s="23" t="str">
        <f t="shared" ca="1" si="21"/>
        <v/>
      </c>
    </row>
    <row r="705" spans="1:9" ht="13.8">
      <c r="A705" s="20">
        <f t="shared" ca="1" si="20"/>
        <v>42290</v>
      </c>
      <c r="B705" s="21" t="str">
        <f ca="1"/>
        <v>2015-10-13</v>
      </c>
      <c r="C705" s="22">
        <f ca="1"/>
        <v>46.560001</v>
      </c>
      <c r="D705" s="22">
        <f ca="1"/>
        <v>47.130001</v>
      </c>
      <c r="E705" s="22">
        <f ca="1"/>
        <v>46.560001</v>
      </c>
      <c r="F705" s="22">
        <f ca="1"/>
        <v>46.889999000000003</v>
      </c>
      <c r="G705" s="22">
        <f ca="1"/>
        <v>41.757556999999998</v>
      </c>
      <c r="H705" s="69">
        <f ca="1"/>
        <v>19987800</v>
      </c>
      <c r="I705" s="23" t="str">
        <f t="shared" ca="1" si="21"/>
        <v/>
      </c>
    </row>
    <row r="706" spans="1:9" ht="13.8">
      <c r="A706" s="20">
        <f t="shared" ca="1" si="20"/>
        <v>42291</v>
      </c>
      <c r="B706" s="21" t="str">
        <f ca="1"/>
        <v>2015-10-14</v>
      </c>
      <c r="C706" s="22">
        <f ca="1"/>
        <v>46.650002000000001</v>
      </c>
      <c r="D706" s="22">
        <f ca="1"/>
        <v>47.099997999999999</v>
      </c>
      <c r="E706" s="22">
        <f ca="1"/>
        <v>46.529998999999997</v>
      </c>
      <c r="F706" s="22">
        <f ca="1"/>
        <v>46.68</v>
      </c>
      <c r="G706" s="22">
        <f ca="1"/>
        <v>41.570552999999997</v>
      </c>
      <c r="H706" s="69">
        <f ca="1"/>
        <v>24697800</v>
      </c>
      <c r="I706" s="23" t="str">
        <f t="shared" ca="1" si="21"/>
        <v/>
      </c>
    </row>
    <row r="707" spans="1:9" ht="13.8">
      <c r="A707" s="20">
        <f t="shared" ca="1" si="20"/>
        <v>42292</v>
      </c>
      <c r="B707" s="21" t="str">
        <f ca="1"/>
        <v>2015-10-15</v>
      </c>
      <c r="C707" s="22">
        <f ca="1"/>
        <v>47.009998000000003</v>
      </c>
      <c r="D707" s="22">
        <f ca="1"/>
        <v>47.029998999999997</v>
      </c>
      <c r="E707" s="22">
        <f ca="1"/>
        <v>46.529998999999997</v>
      </c>
      <c r="F707" s="22">
        <f ca="1"/>
        <v>47.009998000000003</v>
      </c>
      <c r="G707" s="22">
        <f ca="1"/>
        <v>41.864429000000001</v>
      </c>
      <c r="H707" s="69">
        <f ca="1"/>
        <v>27189400</v>
      </c>
      <c r="I707" s="23" t="str">
        <f t="shared" ca="1" si="21"/>
        <v/>
      </c>
    </row>
    <row r="708" spans="1:9" ht="13.8">
      <c r="A708" s="20">
        <f t="shared" ca="1" si="20"/>
        <v>42293</v>
      </c>
      <c r="B708" s="21" t="str">
        <f ca="1"/>
        <v>2015-10-16</v>
      </c>
      <c r="C708" s="22">
        <f ca="1"/>
        <v>47.02</v>
      </c>
      <c r="D708" s="22">
        <f ca="1"/>
        <v>47.540000999999997</v>
      </c>
      <c r="E708" s="22">
        <f ca="1"/>
        <v>46.900002000000001</v>
      </c>
      <c r="F708" s="22">
        <f ca="1"/>
        <v>47.509998000000003</v>
      </c>
      <c r="G708" s="22">
        <f ca="1"/>
        <v>42.309699999999999</v>
      </c>
      <c r="H708" s="69">
        <f ca="1"/>
        <v>26450300</v>
      </c>
      <c r="I708" s="23" t="str">
        <f t="shared" ca="1" si="21"/>
        <v/>
      </c>
    </row>
    <row r="709" spans="1:9" ht="13.8">
      <c r="A709" s="20">
        <f t="shared" ca="1" si="20"/>
        <v>42296</v>
      </c>
      <c r="B709" s="21" t="str">
        <f ca="1"/>
        <v>2015-10-19</v>
      </c>
      <c r="C709" s="22">
        <f ca="1"/>
        <v>47.419998</v>
      </c>
      <c r="D709" s="22">
        <f ca="1"/>
        <v>47.880001</v>
      </c>
      <c r="E709" s="22">
        <f ca="1"/>
        <v>47.02</v>
      </c>
      <c r="F709" s="22">
        <f ca="1"/>
        <v>47.619999</v>
      </c>
      <c r="G709" s="22">
        <f ca="1"/>
        <v>42.407665000000001</v>
      </c>
      <c r="H709" s="69">
        <f ca="1"/>
        <v>29387600</v>
      </c>
      <c r="I709" s="23" t="str">
        <f t="shared" ca="1" si="21"/>
        <v/>
      </c>
    </row>
    <row r="710" spans="1:9" ht="13.8">
      <c r="A710" s="20">
        <f t="shared" ref="A710:A773" ca="1" si="22">IFERROR(DATEVALUE($B710),"--")</f>
        <v>42297</v>
      </c>
      <c r="B710" s="21" t="str">
        <f ca="1"/>
        <v>2015-10-20</v>
      </c>
      <c r="C710" s="22">
        <f ca="1"/>
        <v>47.439999</v>
      </c>
      <c r="D710" s="22">
        <f ca="1"/>
        <v>47.810001</v>
      </c>
      <c r="E710" s="22">
        <f ca="1"/>
        <v>47.02</v>
      </c>
      <c r="F710" s="22">
        <f ca="1"/>
        <v>47.77</v>
      </c>
      <c r="G710" s="22">
        <f ca="1"/>
        <v>42.541240999999999</v>
      </c>
      <c r="H710" s="69">
        <f ca="1"/>
        <v>30802200</v>
      </c>
      <c r="I710" s="23" t="str">
        <f t="shared" ref="I710:I773" ca="1" si="23">IFERROR(IF(Ticker&lt;&gt;$Q$2,"",INDEX($P:$P,MATCH($A710,$O:$O,0))),"")</f>
        <v/>
      </c>
    </row>
    <row r="711" spans="1:9" ht="13.8">
      <c r="A711" s="20">
        <f t="shared" ca="1" si="22"/>
        <v>42298</v>
      </c>
      <c r="B711" s="21" t="str">
        <f ca="1"/>
        <v>2015-10-21</v>
      </c>
      <c r="C711" s="22">
        <f ca="1"/>
        <v>47.919998</v>
      </c>
      <c r="D711" s="22">
        <f ca="1"/>
        <v>47.990001999999997</v>
      </c>
      <c r="E711" s="22">
        <f ca="1"/>
        <v>47.110000999999997</v>
      </c>
      <c r="F711" s="22">
        <f ca="1"/>
        <v>47.200001</v>
      </c>
      <c r="G711" s="22">
        <f ca="1"/>
        <v>42.033627000000003</v>
      </c>
      <c r="H711" s="69">
        <f ca="1"/>
        <v>25144300</v>
      </c>
      <c r="I711" s="23" t="str">
        <f t="shared" ca="1" si="23"/>
        <v/>
      </c>
    </row>
    <row r="712" spans="1:9" ht="13.8">
      <c r="A712" s="20">
        <f t="shared" ca="1" si="22"/>
        <v>42299</v>
      </c>
      <c r="B712" s="21" t="str">
        <f ca="1"/>
        <v>2015-10-22</v>
      </c>
      <c r="C712" s="22">
        <f ca="1"/>
        <v>47.529998999999997</v>
      </c>
      <c r="D712" s="22">
        <f ca="1"/>
        <v>48.950001</v>
      </c>
      <c r="E712" s="22">
        <f ca="1"/>
        <v>47.09</v>
      </c>
      <c r="F712" s="22">
        <f ca="1"/>
        <v>48.029998999999997</v>
      </c>
      <c r="G712" s="22">
        <f ca="1"/>
        <v>42.772784999999999</v>
      </c>
      <c r="H712" s="69">
        <f ca="1"/>
        <v>56637100</v>
      </c>
      <c r="I712" s="23" t="str">
        <f t="shared" ca="1" si="23"/>
        <v/>
      </c>
    </row>
    <row r="713" spans="1:9" ht="13.8">
      <c r="A713" s="20">
        <f t="shared" ca="1" si="22"/>
        <v>42300</v>
      </c>
      <c r="B713" s="21" t="str">
        <f ca="1"/>
        <v>2015-10-23</v>
      </c>
      <c r="C713" s="22">
        <f ca="1"/>
        <v>52.299999</v>
      </c>
      <c r="D713" s="22">
        <f ca="1"/>
        <v>54.07</v>
      </c>
      <c r="E713" s="22">
        <f ca="1"/>
        <v>52.25</v>
      </c>
      <c r="F713" s="22">
        <f ca="1"/>
        <v>52.869999</v>
      </c>
      <c r="G713" s="22">
        <f ca="1"/>
        <v>47.083004000000003</v>
      </c>
      <c r="H713" s="69">
        <f ca="1"/>
        <v>135227100</v>
      </c>
      <c r="I713" s="23" t="str">
        <f t="shared" ca="1" si="23"/>
        <v/>
      </c>
    </row>
    <row r="714" spans="1:9" ht="13.8">
      <c r="A714" s="20">
        <f t="shared" ca="1" si="22"/>
        <v>42303</v>
      </c>
      <c r="B714" s="21" t="str">
        <f ca="1"/>
        <v>2015-10-26</v>
      </c>
      <c r="C714" s="22">
        <f ca="1"/>
        <v>52.529998999999997</v>
      </c>
      <c r="D714" s="22">
        <f ca="1"/>
        <v>54.32</v>
      </c>
      <c r="E714" s="22">
        <f ca="1"/>
        <v>52.5</v>
      </c>
      <c r="F714" s="22">
        <f ca="1"/>
        <v>54.25</v>
      </c>
      <c r="G714" s="22">
        <f ca="1"/>
        <v>48.311951000000001</v>
      </c>
      <c r="H714" s="69">
        <f ca="1"/>
        <v>64633300</v>
      </c>
      <c r="I714" s="23" t="str">
        <f t="shared" ca="1" si="23"/>
        <v/>
      </c>
    </row>
    <row r="715" spans="1:9" ht="13.8">
      <c r="A715" s="20">
        <f t="shared" ca="1" si="22"/>
        <v>42304</v>
      </c>
      <c r="B715" s="21" t="str">
        <f ca="1"/>
        <v>2015-10-27</v>
      </c>
      <c r="C715" s="22">
        <f ca="1"/>
        <v>53.990001999999997</v>
      </c>
      <c r="D715" s="22">
        <f ca="1"/>
        <v>54.369999</v>
      </c>
      <c r="E715" s="22">
        <f ca="1"/>
        <v>53.580002</v>
      </c>
      <c r="F715" s="22">
        <f ca="1"/>
        <v>53.689999</v>
      </c>
      <c r="G715" s="22">
        <f ca="1"/>
        <v>47.813248000000002</v>
      </c>
      <c r="H715" s="69">
        <f ca="1"/>
        <v>50999900</v>
      </c>
      <c r="I715" s="23" t="str">
        <f t="shared" ca="1" si="23"/>
        <v/>
      </c>
    </row>
    <row r="716" spans="1:9" ht="13.8">
      <c r="A716" s="20">
        <f t="shared" ca="1" si="22"/>
        <v>42305</v>
      </c>
      <c r="B716" s="21" t="str">
        <f ca="1"/>
        <v>2015-10-28</v>
      </c>
      <c r="C716" s="22">
        <f ca="1"/>
        <v>53.540000999999997</v>
      </c>
      <c r="D716" s="22">
        <f ca="1"/>
        <v>53.98</v>
      </c>
      <c r="E716" s="22">
        <f ca="1"/>
        <v>52.860000999999997</v>
      </c>
      <c r="F716" s="22">
        <f ca="1"/>
        <v>53.98</v>
      </c>
      <c r="G716" s="22">
        <f ca="1"/>
        <v>48.071506999999997</v>
      </c>
      <c r="H716" s="69">
        <f ca="1"/>
        <v>47000800</v>
      </c>
      <c r="I716" s="23" t="str">
        <f t="shared" ca="1" si="23"/>
        <v/>
      </c>
    </row>
    <row r="717" spans="1:9" ht="13.8">
      <c r="A717" s="20">
        <f t="shared" ca="1" si="22"/>
        <v>42306</v>
      </c>
      <c r="B717" s="21" t="str">
        <f ca="1"/>
        <v>2015-10-29</v>
      </c>
      <c r="C717" s="22">
        <f ca="1"/>
        <v>53.540000999999997</v>
      </c>
      <c r="D717" s="22">
        <f ca="1"/>
        <v>53.830002</v>
      </c>
      <c r="E717" s="22">
        <f ca="1"/>
        <v>53.220001000000003</v>
      </c>
      <c r="F717" s="22">
        <f ca="1"/>
        <v>53.360000999999997</v>
      </c>
      <c r="G717" s="22">
        <f ca="1"/>
        <v>47.519379000000001</v>
      </c>
      <c r="H717" s="69">
        <f ca="1"/>
        <v>30202100</v>
      </c>
      <c r="I717" s="23" t="str">
        <f t="shared" ca="1" si="23"/>
        <v/>
      </c>
    </row>
    <row r="718" spans="1:9" ht="13.8">
      <c r="A718" s="20">
        <f t="shared" ca="1" si="22"/>
        <v>42307</v>
      </c>
      <c r="B718" s="21" t="str">
        <f ca="1"/>
        <v>2015-10-30</v>
      </c>
      <c r="C718" s="22">
        <f ca="1"/>
        <v>53.32</v>
      </c>
      <c r="D718" s="22">
        <f ca="1"/>
        <v>53.990001999999997</v>
      </c>
      <c r="E718" s="22">
        <f ca="1"/>
        <v>52.619999</v>
      </c>
      <c r="F718" s="22">
        <f ca="1"/>
        <v>52.639999000000003</v>
      </c>
      <c r="G718" s="22">
        <f ca="1"/>
        <v>46.878177999999998</v>
      </c>
      <c r="H718" s="69">
        <f ca="1"/>
        <v>46619800</v>
      </c>
      <c r="I718" s="23" t="str">
        <f t="shared" ca="1" si="23"/>
        <v/>
      </c>
    </row>
    <row r="719" spans="1:9" ht="13.8">
      <c r="A719" s="20">
        <f t="shared" ca="1" si="22"/>
        <v>42310</v>
      </c>
      <c r="B719" s="21" t="str">
        <f ca="1"/>
        <v>2015-11-02</v>
      </c>
      <c r="C719" s="22">
        <f ca="1"/>
        <v>52.849997999999999</v>
      </c>
      <c r="D719" s="22">
        <f ca="1"/>
        <v>53.360000999999997</v>
      </c>
      <c r="E719" s="22">
        <f ca="1"/>
        <v>52.619999</v>
      </c>
      <c r="F719" s="22">
        <f ca="1"/>
        <v>53.240001999999997</v>
      </c>
      <c r="G719" s="22">
        <f ca="1"/>
        <v>47.412509999999997</v>
      </c>
      <c r="H719" s="69">
        <f ca="1"/>
        <v>30285000</v>
      </c>
      <c r="I719" s="23" t="str">
        <f t="shared" ca="1" si="23"/>
        <v/>
      </c>
    </row>
    <row r="720" spans="1:9" ht="13.8">
      <c r="A720" s="20">
        <f t="shared" ca="1" si="22"/>
        <v>42311</v>
      </c>
      <c r="B720" s="21" t="str">
        <f ca="1"/>
        <v>2015-11-03</v>
      </c>
      <c r="C720" s="22">
        <f ca="1"/>
        <v>52.93</v>
      </c>
      <c r="D720" s="22">
        <f ca="1"/>
        <v>54.389999000000003</v>
      </c>
      <c r="E720" s="22">
        <f ca="1"/>
        <v>52.900002000000001</v>
      </c>
      <c r="F720" s="22">
        <f ca="1"/>
        <v>54.150002000000001</v>
      </c>
      <c r="G720" s="22">
        <f ca="1"/>
        <v>48.222904</v>
      </c>
      <c r="H720" s="69">
        <f ca="1"/>
        <v>36596900</v>
      </c>
      <c r="I720" s="23" t="str">
        <f t="shared" ca="1" si="23"/>
        <v/>
      </c>
    </row>
    <row r="721" spans="1:9" ht="13.8">
      <c r="A721" s="20">
        <f t="shared" ca="1" si="22"/>
        <v>42312</v>
      </c>
      <c r="B721" s="21" t="str">
        <f ca="1"/>
        <v>2015-11-04</v>
      </c>
      <c r="C721" s="22">
        <f ca="1"/>
        <v>54.18</v>
      </c>
      <c r="D721" s="22">
        <f ca="1"/>
        <v>54.880001</v>
      </c>
      <c r="E721" s="22">
        <f ca="1"/>
        <v>54.060001</v>
      </c>
      <c r="F721" s="22">
        <f ca="1"/>
        <v>54.400002000000001</v>
      </c>
      <c r="G721" s="22">
        <f ca="1"/>
        <v>48.445537999999999</v>
      </c>
      <c r="H721" s="69">
        <f ca="1"/>
        <v>37087800</v>
      </c>
      <c r="I721" s="23" t="str">
        <f t="shared" ca="1" si="23"/>
        <v/>
      </c>
    </row>
    <row r="722" spans="1:9" ht="13.8">
      <c r="A722" s="20">
        <f t="shared" ca="1" si="22"/>
        <v>42313</v>
      </c>
      <c r="B722" s="21" t="str">
        <f ca="1"/>
        <v>2015-11-05</v>
      </c>
      <c r="C722" s="22">
        <f ca="1"/>
        <v>54.490001999999997</v>
      </c>
      <c r="D722" s="22">
        <f ca="1"/>
        <v>54.700001</v>
      </c>
      <c r="E722" s="22">
        <f ca="1"/>
        <v>54</v>
      </c>
      <c r="F722" s="22">
        <f ca="1"/>
        <v>54.380001</v>
      </c>
      <c r="G722" s="22">
        <f ca="1"/>
        <v>48.427731000000001</v>
      </c>
      <c r="H722" s="69">
        <f ca="1"/>
        <v>31468500</v>
      </c>
      <c r="I722" s="23" t="str">
        <f t="shared" ca="1" si="23"/>
        <v/>
      </c>
    </row>
    <row r="723" spans="1:9" ht="13.8">
      <c r="A723" s="20">
        <f t="shared" ca="1" si="22"/>
        <v>42314</v>
      </c>
      <c r="B723" s="21" t="str">
        <f ca="1"/>
        <v>2015-11-06</v>
      </c>
      <c r="C723" s="22">
        <f ca="1"/>
        <v>54.09</v>
      </c>
      <c r="D723" s="22">
        <f ca="1"/>
        <v>54.98</v>
      </c>
      <c r="E723" s="22">
        <f ca="1"/>
        <v>53.959999000000003</v>
      </c>
      <c r="F723" s="22">
        <f ca="1"/>
        <v>54.919998</v>
      </c>
      <c r="G723" s="22">
        <f ca="1"/>
        <v>48.908611000000001</v>
      </c>
      <c r="H723" s="69">
        <f ca="1"/>
        <v>32851200</v>
      </c>
      <c r="I723" s="23" t="str">
        <f t="shared" ca="1" si="23"/>
        <v/>
      </c>
    </row>
    <row r="724" spans="1:9" ht="13.8">
      <c r="A724" s="20">
        <f t="shared" ca="1" si="22"/>
        <v>42317</v>
      </c>
      <c r="B724" s="21" t="str">
        <f ca="1"/>
        <v>2015-11-09</v>
      </c>
      <c r="C724" s="22">
        <f ca="1"/>
        <v>54.549999</v>
      </c>
      <c r="D724" s="22">
        <f ca="1"/>
        <v>54.869999</v>
      </c>
      <c r="E724" s="22">
        <f ca="1"/>
        <v>53.560001</v>
      </c>
      <c r="F724" s="22">
        <f ca="1"/>
        <v>54.16</v>
      </c>
      <c r="G724" s="22">
        <f ca="1"/>
        <v>48.231808000000001</v>
      </c>
      <c r="H724" s="69">
        <f ca="1"/>
        <v>32513100</v>
      </c>
      <c r="I724" s="23" t="str">
        <f t="shared" ca="1" si="23"/>
        <v/>
      </c>
    </row>
    <row r="725" spans="1:9" ht="13.8">
      <c r="A725" s="20">
        <f t="shared" ca="1" si="22"/>
        <v>42318</v>
      </c>
      <c r="B725" s="21" t="str">
        <f ca="1"/>
        <v>2015-11-10</v>
      </c>
      <c r="C725" s="22">
        <f ca="1"/>
        <v>54.07</v>
      </c>
      <c r="D725" s="22">
        <f ca="1"/>
        <v>54.130001</v>
      </c>
      <c r="E725" s="22">
        <f ca="1"/>
        <v>53.27</v>
      </c>
      <c r="F725" s="22">
        <f ca="1"/>
        <v>53.509998000000003</v>
      </c>
      <c r="G725" s="22">
        <f ca="1"/>
        <v>47.652949999999997</v>
      </c>
      <c r="H725" s="69">
        <f ca="1"/>
        <v>55283700</v>
      </c>
      <c r="I725" s="23" t="str">
        <f t="shared" ca="1" si="23"/>
        <v/>
      </c>
    </row>
    <row r="726" spans="1:9" ht="13.8">
      <c r="A726" s="20">
        <f t="shared" ca="1" si="22"/>
        <v>42319</v>
      </c>
      <c r="B726" s="21" t="str">
        <f ca="1"/>
        <v>2015-11-11</v>
      </c>
      <c r="C726" s="22">
        <f ca="1"/>
        <v>53.700001</v>
      </c>
      <c r="D726" s="22">
        <f ca="1"/>
        <v>54.200001</v>
      </c>
      <c r="E726" s="22">
        <f ca="1"/>
        <v>53.459999000000003</v>
      </c>
      <c r="F726" s="22">
        <f ca="1"/>
        <v>53.650002000000001</v>
      </c>
      <c r="G726" s="22">
        <f ca="1"/>
        <v>47.777625999999998</v>
      </c>
      <c r="H726" s="69">
        <f ca="1"/>
        <v>36516300</v>
      </c>
      <c r="I726" s="23" t="str">
        <f t="shared" ca="1" si="23"/>
        <v/>
      </c>
    </row>
    <row r="727" spans="1:9" ht="13.8">
      <c r="A727" s="20">
        <f t="shared" ca="1" si="22"/>
        <v>42320</v>
      </c>
      <c r="B727" s="21" t="str">
        <f ca="1"/>
        <v>2015-11-12</v>
      </c>
      <c r="C727" s="22">
        <f ca="1"/>
        <v>53.48</v>
      </c>
      <c r="D727" s="22">
        <f ca="1"/>
        <v>53.98</v>
      </c>
      <c r="E727" s="22">
        <f ca="1"/>
        <v>53.189999</v>
      </c>
      <c r="F727" s="22">
        <f ca="1"/>
        <v>53.32</v>
      </c>
      <c r="G727" s="22">
        <f ca="1"/>
        <v>47.483741999999999</v>
      </c>
      <c r="H727" s="69">
        <f ca="1"/>
        <v>35361100</v>
      </c>
      <c r="I727" s="23" t="str">
        <f t="shared" ca="1" si="23"/>
        <v/>
      </c>
    </row>
    <row r="728" spans="1:9" ht="13.8">
      <c r="A728" s="20">
        <f t="shared" ca="1" si="22"/>
        <v>42321</v>
      </c>
      <c r="B728" s="21" t="str">
        <f ca="1"/>
        <v>2015-11-13</v>
      </c>
      <c r="C728" s="22">
        <f ca="1"/>
        <v>53.07</v>
      </c>
      <c r="D728" s="22">
        <f ca="1"/>
        <v>53.290000999999997</v>
      </c>
      <c r="E728" s="22">
        <f ca="1"/>
        <v>52.529998999999997</v>
      </c>
      <c r="F728" s="22">
        <f ca="1"/>
        <v>52.84</v>
      </c>
      <c r="G728" s="22">
        <f ca="1"/>
        <v>47.056292999999997</v>
      </c>
      <c r="H728" s="69">
        <f ca="1"/>
        <v>36848200</v>
      </c>
      <c r="I728" s="23" t="str">
        <f t="shared" ca="1" si="23"/>
        <v/>
      </c>
    </row>
    <row r="729" spans="1:9" ht="13.8">
      <c r="A729" s="20">
        <f t="shared" ca="1" si="22"/>
        <v>42324</v>
      </c>
      <c r="B729" s="21" t="str">
        <f ca="1"/>
        <v>2015-11-16</v>
      </c>
      <c r="C729" s="22">
        <f ca="1"/>
        <v>53.080002</v>
      </c>
      <c r="D729" s="22">
        <f ca="1"/>
        <v>53.889999000000003</v>
      </c>
      <c r="E729" s="22">
        <f ca="1"/>
        <v>52.849997999999999</v>
      </c>
      <c r="F729" s="22">
        <f ca="1"/>
        <v>53.77</v>
      </c>
      <c r="G729" s="22">
        <f ca="1"/>
        <v>47.884490999999997</v>
      </c>
      <c r="H729" s="69">
        <f ca="1"/>
        <v>32165200</v>
      </c>
      <c r="I729" s="23" t="str">
        <f t="shared" ca="1" si="23"/>
        <v/>
      </c>
    </row>
    <row r="730" spans="1:9" ht="13.8">
      <c r="A730" s="20">
        <f t="shared" ca="1" si="22"/>
        <v>42325</v>
      </c>
      <c r="B730" s="21" t="str">
        <f ca="1"/>
        <v>2015-11-17</v>
      </c>
      <c r="C730" s="22">
        <f ca="1"/>
        <v>53.169998</v>
      </c>
      <c r="D730" s="22">
        <f ca="1"/>
        <v>53.529998999999997</v>
      </c>
      <c r="E730" s="22">
        <f ca="1"/>
        <v>52.849997999999999</v>
      </c>
      <c r="F730" s="22">
        <f ca="1"/>
        <v>52.970001000000003</v>
      </c>
      <c r="G730" s="22">
        <f ca="1"/>
        <v>47.490020999999999</v>
      </c>
      <c r="H730" s="69">
        <f ca="1"/>
        <v>31551300</v>
      </c>
      <c r="I730" s="23">
        <f t="shared" ca="1" si="23"/>
        <v>0.36</v>
      </c>
    </row>
    <row r="731" spans="1:9" ht="13.8">
      <c r="A731" s="20">
        <f t="shared" ca="1" si="22"/>
        <v>42326</v>
      </c>
      <c r="B731" s="21" t="str">
        <f ca="1"/>
        <v>2015-11-18</v>
      </c>
      <c r="C731" s="22">
        <f ca="1"/>
        <v>53</v>
      </c>
      <c r="D731" s="22">
        <f ca="1"/>
        <v>53.98</v>
      </c>
      <c r="E731" s="22">
        <f ca="1"/>
        <v>52.98</v>
      </c>
      <c r="F731" s="22">
        <f ca="1"/>
        <v>53.849997999999999</v>
      </c>
      <c r="G731" s="22">
        <f ca="1"/>
        <v>48.278976</v>
      </c>
      <c r="H731" s="69">
        <f ca="1"/>
        <v>29710000</v>
      </c>
      <c r="I731" s="23" t="str">
        <f t="shared" ca="1" si="23"/>
        <v/>
      </c>
    </row>
    <row r="732" spans="1:9" ht="13.8">
      <c r="A732" s="20">
        <f t="shared" ca="1" si="22"/>
        <v>42327</v>
      </c>
      <c r="B732" s="21" t="str">
        <f ca="1"/>
        <v>2015-11-19</v>
      </c>
      <c r="C732" s="22">
        <f ca="1"/>
        <v>53.990001999999997</v>
      </c>
      <c r="D732" s="22">
        <f ca="1"/>
        <v>54.66</v>
      </c>
      <c r="E732" s="22">
        <f ca="1"/>
        <v>53.779998999999997</v>
      </c>
      <c r="F732" s="22">
        <f ca="1"/>
        <v>53.939999</v>
      </c>
      <c r="G732" s="22">
        <f ca="1"/>
        <v>48.359661000000003</v>
      </c>
      <c r="H732" s="69">
        <f ca="1"/>
        <v>28149200</v>
      </c>
      <c r="I732" s="23" t="str">
        <f t="shared" ca="1" si="23"/>
        <v/>
      </c>
    </row>
    <row r="733" spans="1:9" ht="13.8">
      <c r="A733" s="20">
        <f t="shared" ca="1" si="22"/>
        <v>42328</v>
      </c>
      <c r="B733" s="21" t="str">
        <f ca="1"/>
        <v>2015-11-20</v>
      </c>
      <c r="C733" s="22">
        <f ca="1"/>
        <v>54.25</v>
      </c>
      <c r="D733" s="22">
        <f ca="1"/>
        <v>54.299999</v>
      </c>
      <c r="E733" s="22">
        <f ca="1"/>
        <v>53.27</v>
      </c>
      <c r="F733" s="22">
        <f ca="1"/>
        <v>54.189999</v>
      </c>
      <c r="G733" s="22">
        <f ca="1"/>
        <v>48.583804999999998</v>
      </c>
      <c r="H733" s="69">
        <f ca="1"/>
        <v>37147600</v>
      </c>
      <c r="I733" s="23" t="str">
        <f t="shared" ca="1" si="23"/>
        <v/>
      </c>
    </row>
    <row r="734" spans="1:9" ht="13.8">
      <c r="A734" s="20">
        <f t="shared" ca="1" si="22"/>
        <v>42331</v>
      </c>
      <c r="B734" s="21" t="str">
        <f ca="1"/>
        <v>2015-11-23</v>
      </c>
      <c r="C734" s="22">
        <f ca="1"/>
        <v>54.25</v>
      </c>
      <c r="D734" s="22">
        <f ca="1"/>
        <v>54.459999000000003</v>
      </c>
      <c r="E734" s="22">
        <f ca="1"/>
        <v>53.75</v>
      </c>
      <c r="F734" s="22">
        <f ca="1"/>
        <v>54.189999</v>
      </c>
      <c r="G734" s="22">
        <f ca="1"/>
        <v>48.583804999999998</v>
      </c>
      <c r="H734" s="69">
        <f ca="1"/>
        <v>28235900</v>
      </c>
      <c r="I734" s="23" t="str">
        <f t="shared" ca="1" si="23"/>
        <v/>
      </c>
    </row>
    <row r="735" spans="1:9" ht="13.8">
      <c r="A735" s="20">
        <f t="shared" ca="1" si="22"/>
        <v>42332</v>
      </c>
      <c r="B735" s="21" t="str">
        <f ca="1"/>
        <v>2015-11-24</v>
      </c>
      <c r="C735" s="22">
        <f ca="1"/>
        <v>53.919998</v>
      </c>
      <c r="D735" s="22">
        <f ca="1"/>
        <v>54.439999</v>
      </c>
      <c r="E735" s="22">
        <f ca="1"/>
        <v>53.580002</v>
      </c>
      <c r="F735" s="22">
        <f ca="1"/>
        <v>54.25</v>
      </c>
      <c r="G735" s="22">
        <f ca="1"/>
        <v>48.637591999999998</v>
      </c>
      <c r="H735" s="69">
        <f ca="1"/>
        <v>24600000</v>
      </c>
      <c r="I735" s="23" t="str">
        <f t="shared" ca="1" si="23"/>
        <v/>
      </c>
    </row>
    <row r="736" spans="1:9" ht="13.8">
      <c r="A736" s="20">
        <f t="shared" ca="1" si="22"/>
        <v>42333</v>
      </c>
      <c r="B736" s="21" t="str">
        <f ca="1"/>
        <v>2015-11-25</v>
      </c>
      <c r="C736" s="22">
        <f ca="1"/>
        <v>54.09</v>
      </c>
      <c r="D736" s="22">
        <f ca="1"/>
        <v>54.23</v>
      </c>
      <c r="E736" s="22">
        <f ca="1"/>
        <v>53.689999</v>
      </c>
      <c r="F736" s="22">
        <f ca="1"/>
        <v>53.689999</v>
      </c>
      <c r="G736" s="22">
        <f ca="1"/>
        <v>48.135525000000001</v>
      </c>
      <c r="H736" s="69">
        <f ca="1"/>
        <v>21005100</v>
      </c>
      <c r="I736" s="23" t="str">
        <f t="shared" ca="1" si="23"/>
        <v/>
      </c>
    </row>
    <row r="737" spans="1:9" ht="13.8">
      <c r="A737" s="20">
        <f t="shared" ca="1" si="22"/>
        <v>42335</v>
      </c>
      <c r="B737" s="21" t="str">
        <f ca="1"/>
        <v>2015-11-27</v>
      </c>
      <c r="C737" s="22">
        <f ca="1"/>
        <v>53.799999</v>
      </c>
      <c r="D737" s="22">
        <f ca="1"/>
        <v>54.080002</v>
      </c>
      <c r="E737" s="22">
        <f ca="1"/>
        <v>53.790000999999997</v>
      </c>
      <c r="F737" s="22">
        <f ca="1"/>
        <v>53.93</v>
      </c>
      <c r="G737" s="22">
        <f ca="1"/>
        <v>48.350696999999997</v>
      </c>
      <c r="H737" s="69">
        <f ca="1"/>
        <v>9009100</v>
      </c>
      <c r="I737" s="23" t="str">
        <f t="shared" ca="1" si="23"/>
        <v/>
      </c>
    </row>
    <row r="738" spans="1:9" ht="13.8">
      <c r="A738" s="20">
        <f t="shared" ca="1" si="22"/>
        <v>42338</v>
      </c>
      <c r="B738" s="21" t="str">
        <f ca="1"/>
        <v>2015-11-30</v>
      </c>
      <c r="C738" s="22">
        <f ca="1"/>
        <v>54.540000999999997</v>
      </c>
      <c r="D738" s="22">
        <f ca="1"/>
        <v>54.959999000000003</v>
      </c>
      <c r="E738" s="22">
        <f ca="1"/>
        <v>54</v>
      </c>
      <c r="F738" s="22">
        <f ca="1"/>
        <v>54.349997999999999</v>
      </c>
      <c r="G738" s="22">
        <f ca="1"/>
        <v>48.727249</v>
      </c>
      <c r="H738" s="69">
        <f ca="1"/>
        <v>56241400</v>
      </c>
      <c r="I738" s="23" t="str">
        <f t="shared" ca="1" si="23"/>
        <v/>
      </c>
    </row>
    <row r="739" spans="1:9" ht="13.8">
      <c r="A739" s="20">
        <f t="shared" ca="1" si="22"/>
        <v>42339</v>
      </c>
      <c r="B739" s="21" t="str">
        <f ca="1"/>
        <v>2015-12-01</v>
      </c>
      <c r="C739" s="22">
        <f ca="1"/>
        <v>54.41</v>
      </c>
      <c r="D739" s="22">
        <f ca="1"/>
        <v>55.23</v>
      </c>
      <c r="E739" s="22">
        <f ca="1"/>
        <v>54.299999</v>
      </c>
      <c r="F739" s="22">
        <f ca="1"/>
        <v>55.220001000000003</v>
      </c>
      <c r="G739" s="22">
        <f ca="1"/>
        <v>49.507240000000003</v>
      </c>
      <c r="H739" s="69">
        <f ca="1"/>
        <v>39952800</v>
      </c>
      <c r="I739" s="23" t="str">
        <f t="shared" ca="1" si="23"/>
        <v/>
      </c>
    </row>
    <row r="740" spans="1:9" ht="13.8">
      <c r="A740" s="20">
        <f t="shared" ca="1" si="22"/>
        <v>42340</v>
      </c>
      <c r="B740" s="21" t="str">
        <f ca="1"/>
        <v>2015-12-02</v>
      </c>
      <c r="C740" s="22">
        <f ca="1"/>
        <v>55.32</v>
      </c>
      <c r="D740" s="22">
        <f ca="1"/>
        <v>55.959999000000003</v>
      </c>
      <c r="E740" s="22">
        <f ca="1"/>
        <v>55.060001</v>
      </c>
      <c r="F740" s="22">
        <f ca="1"/>
        <v>55.209999000000003</v>
      </c>
      <c r="G740" s="22">
        <f ca="1"/>
        <v>49.498280000000001</v>
      </c>
      <c r="H740" s="69">
        <f ca="1"/>
        <v>47274900</v>
      </c>
      <c r="I740" s="23" t="str">
        <f t="shared" ca="1" si="23"/>
        <v/>
      </c>
    </row>
    <row r="741" spans="1:9" ht="13.8">
      <c r="A741" s="20">
        <f t="shared" ca="1" si="22"/>
        <v>42341</v>
      </c>
      <c r="B741" s="21" t="str">
        <f ca="1"/>
        <v>2015-12-03</v>
      </c>
      <c r="C741" s="22">
        <f ca="1"/>
        <v>55.490001999999997</v>
      </c>
      <c r="D741" s="22">
        <f ca="1"/>
        <v>55.77</v>
      </c>
      <c r="E741" s="22">
        <f ca="1"/>
        <v>53.93</v>
      </c>
      <c r="F741" s="22">
        <f ca="1"/>
        <v>54.200001</v>
      </c>
      <c r="G741" s="22">
        <f ca="1"/>
        <v>48.592765999999997</v>
      </c>
      <c r="H741" s="69">
        <f ca="1"/>
        <v>38627800</v>
      </c>
      <c r="I741" s="23" t="str">
        <f t="shared" ca="1" si="23"/>
        <v/>
      </c>
    </row>
    <row r="742" spans="1:9" ht="13.8">
      <c r="A742" s="20">
        <f t="shared" ca="1" si="22"/>
        <v>42342</v>
      </c>
      <c r="B742" s="21" t="str">
        <f ca="1"/>
        <v>2015-12-04</v>
      </c>
      <c r="C742" s="22">
        <f ca="1"/>
        <v>54.119999</v>
      </c>
      <c r="D742" s="22">
        <f ca="1"/>
        <v>56.23</v>
      </c>
      <c r="E742" s="22">
        <f ca="1"/>
        <v>54.099997999999999</v>
      </c>
      <c r="F742" s="22">
        <f ca="1"/>
        <v>55.91</v>
      </c>
      <c r="G742" s="22">
        <f ca="1"/>
        <v>50.125858000000001</v>
      </c>
      <c r="H742" s="69">
        <f ca="1"/>
        <v>43963700</v>
      </c>
      <c r="I742" s="23" t="str">
        <f t="shared" ca="1" si="23"/>
        <v/>
      </c>
    </row>
    <row r="743" spans="1:9" ht="13.8">
      <c r="A743" s="20">
        <f t="shared" ca="1" si="22"/>
        <v>42345</v>
      </c>
      <c r="B743" s="21" t="str">
        <f ca="1"/>
        <v>2015-12-07</v>
      </c>
      <c r="C743" s="22">
        <f ca="1"/>
        <v>55.790000999999997</v>
      </c>
      <c r="D743" s="22">
        <f ca="1"/>
        <v>55.970001000000003</v>
      </c>
      <c r="E743" s="22">
        <f ca="1"/>
        <v>55.290000999999997</v>
      </c>
      <c r="F743" s="22">
        <f ca="1"/>
        <v>55.810001</v>
      </c>
      <c r="G743" s="22">
        <f ca="1"/>
        <v>50.036205000000002</v>
      </c>
      <c r="H743" s="69">
        <f ca="1"/>
        <v>30709800</v>
      </c>
      <c r="I743" s="23" t="str">
        <f t="shared" ca="1" si="23"/>
        <v/>
      </c>
    </row>
    <row r="744" spans="1:9" ht="13.8">
      <c r="A744" s="20">
        <f t="shared" ca="1" si="22"/>
        <v>42346</v>
      </c>
      <c r="B744" s="21" t="str">
        <f ca="1"/>
        <v>2015-12-08</v>
      </c>
      <c r="C744" s="22">
        <f ca="1"/>
        <v>55.470001000000003</v>
      </c>
      <c r="D744" s="22">
        <f ca="1"/>
        <v>56.099997999999999</v>
      </c>
      <c r="E744" s="22">
        <f ca="1"/>
        <v>54.990001999999997</v>
      </c>
      <c r="F744" s="22">
        <f ca="1"/>
        <v>55.790000999999997</v>
      </c>
      <c r="G744" s="22">
        <f ca="1"/>
        <v>50.018276</v>
      </c>
      <c r="H744" s="69">
        <f ca="1"/>
        <v>32878000</v>
      </c>
      <c r="I744" s="23" t="str">
        <f t="shared" ca="1" si="23"/>
        <v/>
      </c>
    </row>
    <row r="745" spans="1:9" ht="13.8">
      <c r="A745" s="20">
        <f t="shared" ca="1" si="22"/>
        <v>42347</v>
      </c>
      <c r="B745" s="21" t="str">
        <f ca="1"/>
        <v>2015-12-09</v>
      </c>
      <c r="C745" s="22">
        <f ca="1"/>
        <v>55.369999</v>
      </c>
      <c r="D745" s="22">
        <f ca="1"/>
        <v>55.869999</v>
      </c>
      <c r="E745" s="22">
        <f ca="1"/>
        <v>54.509998000000003</v>
      </c>
      <c r="F745" s="22">
        <f ca="1"/>
        <v>54.98</v>
      </c>
      <c r="G745" s="22">
        <f ca="1"/>
        <v>49.292071999999997</v>
      </c>
      <c r="H745" s="69">
        <f ca="1"/>
        <v>36373200</v>
      </c>
      <c r="I745" s="23" t="str">
        <f t="shared" ca="1" si="23"/>
        <v/>
      </c>
    </row>
    <row r="746" spans="1:9" ht="13.8">
      <c r="A746" s="20">
        <f t="shared" ca="1" si="22"/>
        <v>42348</v>
      </c>
      <c r="B746" s="21" t="str">
        <f ca="1"/>
        <v>2015-12-10</v>
      </c>
      <c r="C746" s="22">
        <f ca="1"/>
        <v>55.389999000000003</v>
      </c>
      <c r="D746" s="22">
        <f ca="1"/>
        <v>55.66</v>
      </c>
      <c r="E746" s="22">
        <f ca="1"/>
        <v>55.009998000000003</v>
      </c>
      <c r="F746" s="22">
        <f ca="1"/>
        <v>55.27</v>
      </c>
      <c r="G746" s="22">
        <f ca="1"/>
        <v>49.552070999999998</v>
      </c>
      <c r="H746" s="69">
        <f ca="1"/>
        <v>31775800</v>
      </c>
      <c r="I746" s="23" t="str">
        <f t="shared" ca="1" si="23"/>
        <v/>
      </c>
    </row>
    <row r="747" spans="1:9" ht="13.8">
      <c r="A747" s="20">
        <f t="shared" ca="1" si="22"/>
        <v>42349</v>
      </c>
      <c r="B747" s="21" t="str">
        <f ca="1"/>
        <v>2015-12-11</v>
      </c>
      <c r="C747" s="22">
        <f ca="1"/>
        <v>54.709999000000003</v>
      </c>
      <c r="D747" s="22">
        <f ca="1"/>
        <v>55.099997999999999</v>
      </c>
      <c r="E747" s="22">
        <f ca="1"/>
        <v>54.009998000000003</v>
      </c>
      <c r="F747" s="22">
        <f ca="1"/>
        <v>54.060001</v>
      </c>
      <c r="G747" s="22">
        <f ca="1"/>
        <v>48.467255000000002</v>
      </c>
      <c r="H747" s="69">
        <f ca="1"/>
        <v>39549500</v>
      </c>
      <c r="I747" s="23" t="str">
        <f t="shared" ca="1" si="23"/>
        <v/>
      </c>
    </row>
    <row r="748" spans="1:9" ht="13.8">
      <c r="A748" s="20">
        <f t="shared" ca="1" si="22"/>
        <v>42352</v>
      </c>
      <c r="B748" s="21" t="str">
        <f ca="1"/>
        <v>2015-12-14</v>
      </c>
      <c r="C748" s="22">
        <f ca="1"/>
        <v>54.330002</v>
      </c>
      <c r="D748" s="22">
        <f ca="1"/>
        <v>55.209999000000003</v>
      </c>
      <c r="E748" s="22">
        <f ca="1"/>
        <v>53.68</v>
      </c>
      <c r="F748" s="22">
        <f ca="1"/>
        <v>55.139999000000003</v>
      </c>
      <c r="G748" s="22">
        <f ca="1"/>
        <v>49.435509000000003</v>
      </c>
      <c r="H748" s="69">
        <f ca="1"/>
        <v>46768900</v>
      </c>
      <c r="I748" s="23" t="str">
        <f t="shared" ca="1" si="23"/>
        <v/>
      </c>
    </row>
    <row r="749" spans="1:9" ht="13.8">
      <c r="A749" s="20">
        <f t="shared" ca="1" si="22"/>
        <v>42353</v>
      </c>
      <c r="B749" s="21" t="str">
        <f ca="1"/>
        <v>2015-12-15</v>
      </c>
      <c r="C749" s="22">
        <f ca="1"/>
        <v>55.66</v>
      </c>
      <c r="D749" s="22">
        <f ca="1"/>
        <v>55.900002000000001</v>
      </c>
      <c r="E749" s="22">
        <f ca="1"/>
        <v>55.09</v>
      </c>
      <c r="F749" s="22">
        <f ca="1"/>
        <v>55.200001</v>
      </c>
      <c r="G749" s="22">
        <f ca="1"/>
        <v>49.489314999999998</v>
      </c>
      <c r="H749" s="69">
        <f ca="1"/>
        <v>39843000</v>
      </c>
      <c r="I749" s="23" t="str">
        <f t="shared" ca="1" si="23"/>
        <v/>
      </c>
    </row>
    <row r="750" spans="1:9" ht="13.8">
      <c r="A750" s="20">
        <f t="shared" ca="1" si="22"/>
        <v>42354</v>
      </c>
      <c r="B750" s="21" t="str">
        <f ca="1"/>
        <v>2015-12-16</v>
      </c>
      <c r="C750" s="22">
        <f ca="1"/>
        <v>55.540000999999997</v>
      </c>
      <c r="D750" s="22">
        <f ca="1"/>
        <v>56.25</v>
      </c>
      <c r="E750" s="22">
        <f ca="1"/>
        <v>54.759998000000003</v>
      </c>
      <c r="F750" s="22">
        <f ca="1"/>
        <v>56.130001</v>
      </c>
      <c r="G750" s="22">
        <f ca="1"/>
        <v>50.323101000000001</v>
      </c>
      <c r="H750" s="69">
        <f ca="1"/>
        <v>37503300</v>
      </c>
      <c r="I750" s="23" t="str">
        <f t="shared" ca="1" si="23"/>
        <v/>
      </c>
    </row>
    <row r="751" spans="1:9" ht="13.8">
      <c r="A751" s="20">
        <f t="shared" ca="1" si="22"/>
        <v>42355</v>
      </c>
      <c r="B751" s="21" t="str">
        <f ca="1"/>
        <v>2015-12-17</v>
      </c>
      <c r="C751" s="22">
        <f ca="1"/>
        <v>56.360000999999997</v>
      </c>
      <c r="D751" s="22">
        <f ca="1"/>
        <v>56.790000999999997</v>
      </c>
      <c r="E751" s="22">
        <f ca="1"/>
        <v>55.529998999999997</v>
      </c>
      <c r="F751" s="22">
        <f ca="1"/>
        <v>55.700001</v>
      </c>
      <c r="G751" s="22">
        <f ca="1"/>
        <v>49.937584000000001</v>
      </c>
      <c r="H751" s="69">
        <f ca="1"/>
        <v>41280900</v>
      </c>
      <c r="I751" s="23" t="str">
        <f t="shared" ca="1" si="23"/>
        <v/>
      </c>
    </row>
    <row r="752" spans="1:9" ht="13.8">
      <c r="A752" s="20">
        <f t="shared" ca="1" si="22"/>
        <v>42356</v>
      </c>
      <c r="B752" s="21" t="str">
        <f ca="1"/>
        <v>2015-12-18</v>
      </c>
      <c r="C752" s="22">
        <f ca="1"/>
        <v>55.77</v>
      </c>
      <c r="D752" s="22">
        <f ca="1"/>
        <v>56</v>
      </c>
      <c r="E752" s="22">
        <f ca="1"/>
        <v>54.029998999999997</v>
      </c>
      <c r="F752" s="22">
        <f ca="1"/>
        <v>54.130001</v>
      </c>
      <c r="G752" s="22">
        <f ca="1"/>
        <v>48.530006</v>
      </c>
      <c r="H752" s="69">
        <f ca="1"/>
        <v>84684200</v>
      </c>
      <c r="I752" s="23" t="str">
        <f t="shared" ca="1" si="23"/>
        <v/>
      </c>
    </row>
    <row r="753" spans="1:9" ht="13.8">
      <c r="A753" s="20">
        <f t="shared" ca="1" si="22"/>
        <v>42359</v>
      </c>
      <c r="B753" s="21" t="str">
        <f ca="1"/>
        <v>2015-12-21</v>
      </c>
      <c r="C753" s="22">
        <f ca="1"/>
        <v>54.880001</v>
      </c>
      <c r="D753" s="22">
        <f ca="1"/>
        <v>55.349997999999999</v>
      </c>
      <c r="E753" s="22">
        <f ca="1"/>
        <v>54.23</v>
      </c>
      <c r="F753" s="22">
        <f ca="1"/>
        <v>54.830002</v>
      </c>
      <c r="G753" s="22">
        <f ca="1"/>
        <v>49.157592999999999</v>
      </c>
      <c r="H753" s="69">
        <f ca="1"/>
        <v>37246300</v>
      </c>
      <c r="I753" s="23" t="str">
        <f t="shared" ca="1" si="23"/>
        <v/>
      </c>
    </row>
    <row r="754" spans="1:9" ht="13.8">
      <c r="A754" s="20">
        <f t="shared" ca="1" si="22"/>
        <v>42360</v>
      </c>
      <c r="B754" s="21" t="str">
        <f ca="1"/>
        <v>2015-12-22</v>
      </c>
      <c r="C754" s="22">
        <f ca="1"/>
        <v>54.990001999999997</v>
      </c>
      <c r="D754" s="22">
        <f ca="1"/>
        <v>55.48</v>
      </c>
      <c r="E754" s="22">
        <f ca="1"/>
        <v>54.5</v>
      </c>
      <c r="F754" s="22">
        <f ca="1"/>
        <v>55.349997999999999</v>
      </c>
      <c r="G754" s="22">
        <f ca="1"/>
        <v>49.623798000000001</v>
      </c>
      <c r="H754" s="69">
        <f ca="1"/>
        <v>28322200</v>
      </c>
      <c r="I754" s="23" t="str">
        <f t="shared" ca="1" si="23"/>
        <v/>
      </c>
    </row>
    <row r="755" spans="1:9" ht="13.8">
      <c r="A755" s="20">
        <f t="shared" ca="1" si="22"/>
        <v>42361</v>
      </c>
      <c r="B755" s="21" t="str">
        <f ca="1"/>
        <v>2015-12-23</v>
      </c>
      <c r="C755" s="22">
        <f ca="1"/>
        <v>55.700001</v>
      </c>
      <c r="D755" s="22">
        <f ca="1"/>
        <v>55.880001</v>
      </c>
      <c r="E755" s="22">
        <f ca="1"/>
        <v>55.439999</v>
      </c>
      <c r="F755" s="22">
        <f ca="1"/>
        <v>55.82</v>
      </c>
      <c r="G755" s="22">
        <f ca="1"/>
        <v>50.045166000000002</v>
      </c>
      <c r="H755" s="69">
        <f ca="1"/>
        <v>27279800</v>
      </c>
      <c r="I755" s="23" t="str">
        <f t="shared" ca="1" si="23"/>
        <v/>
      </c>
    </row>
    <row r="756" spans="1:9" ht="13.8">
      <c r="A756" s="20">
        <f t="shared" ca="1" si="22"/>
        <v>42362</v>
      </c>
      <c r="B756" s="21" t="str">
        <f ca="1"/>
        <v>2015-12-24</v>
      </c>
      <c r="C756" s="22">
        <f ca="1"/>
        <v>55.860000999999997</v>
      </c>
      <c r="D756" s="22">
        <f ca="1"/>
        <v>55.959999000000003</v>
      </c>
      <c r="E756" s="22">
        <f ca="1"/>
        <v>55.43</v>
      </c>
      <c r="F756" s="22">
        <f ca="1"/>
        <v>55.669998</v>
      </c>
      <c r="G756" s="22">
        <f ca="1"/>
        <v>49.910685999999998</v>
      </c>
      <c r="H756" s="69">
        <f ca="1"/>
        <v>9558500</v>
      </c>
      <c r="I756" s="23" t="str">
        <f t="shared" ca="1" si="23"/>
        <v/>
      </c>
    </row>
    <row r="757" spans="1:9" ht="13.8">
      <c r="A757" s="20">
        <f t="shared" ca="1" si="22"/>
        <v>42366</v>
      </c>
      <c r="B757" s="21" t="str">
        <f ca="1"/>
        <v>2015-12-28</v>
      </c>
      <c r="C757" s="22">
        <f ca="1"/>
        <v>55.349997999999999</v>
      </c>
      <c r="D757" s="22">
        <f ca="1"/>
        <v>55.950001</v>
      </c>
      <c r="E757" s="22">
        <f ca="1"/>
        <v>54.98</v>
      </c>
      <c r="F757" s="22">
        <f ca="1"/>
        <v>55.950001</v>
      </c>
      <c r="G757" s="22">
        <f ca="1"/>
        <v>50.161712999999999</v>
      </c>
      <c r="H757" s="69">
        <f ca="1"/>
        <v>22458300</v>
      </c>
      <c r="I757" s="23" t="str">
        <f t="shared" ca="1" si="23"/>
        <v/>
      </c>
    </row>
    <row r="758" spans="1:9" ht="13.8">
      <c r="A758" s="20">
        <f t="shared" ca="1" si="22"/>
        <v>42367</v>
      </c>
      <c r="B758" s="21" t="str">
        <f ca="1"/>
        <v>2015-12-29</v>
      </c>
      <c r="C758" s="22">
        <f ca="1"/>
        <v>56.290000999999997</v>
      </c>
      <c r="D758" s="22">
        <f ca="1"/>
        <v>56.849997999999999</v>
      </c>
      <c r="E758" s="22">
        <f ca="1"/>
        <v>56.060001</v>
      </c>
      <c r="F758" s="22">
        <f ca="1"/>
        <v>56.549999</v>
      </c>
      <c r="G758" s="22">
        <f ca="1"/>
        <v>50.699646000000001</v>
      </c>
      <c r="H758" s="69">
        <f ca="1"/>
        <v>27731400</v>
      </c>
      <c r="I758" s="23" t="str">
        <f t="shared" ca="1" si="23"/>
        <v/>
      </c>
    </row>
    <row r="759" spans="1:9" ht="13.8">
      <c r="A759" s="20">
        <f t="shared" ca="1" si="22"/>
        <v>42368</v>
      </c>
      <c r="B759" s="21" t="str">
        <f ca="1"/>
        <v>2015-12-30</v>
      </c>
      <c r="C759" s="22">
        <f ca="1"/>
        <v>56.470001000000003</v>
      </c>
      <c r="D759" s="22">
        <f ca="1"/>
        <v>56.779998999999997</v>
      </c>
      <c r="E759" s="22">
        <f ca="1"/>
        <v>56.290000999999997</v>
      </c>
      <c r="F759" s="22">
        <f ca="1"/>
        <v>56.310001</v>
      </c>
      <c r="G759" s="22">
        <f ca="1"/>
        <v>50.484473999999999</v>
      </c>
      <c r="H759" s="69">
        <f ca="1"/>
        <v>21704500</v>
      </c>
      <c r="I759" s="23" t="str">
        <f t="shared" ca="1" si="23"/>
        <v/>
      </c>
    </row>
    <row r="760" spans="1:9" ht="13.8">
      <c r="A760" s="20">
        <f t="shared" ca="1" si="22"/>
        <v>42369</v>
      </c>
      <c r="B760" s="21" t="str">
        <f ca="1"/>
        <v>2015-12-31</v>
      </c>
      <c r="C760" s="22">
        <f ca="1"/>
        <v>56.040000999999997</v>
      </c>
      <c r="D760" s="22">
        <f ca="1"/>
        <v>56.189999</v>
      </c>
      <c r="E760" s="22">
        <f ca="1"/>
        <v>55.419998</v>
      </c>
      <c r="F760" s="22">
        <f ca="1"/>
        <v>55.48</v>
      </c>
      <c r="G760" s="22">
        <f ca="1"/>
        <v>49.740344999999998</v>
      </c>
      <c r="H760" s="69">
        <f ca="1"/>
        <v>27334100</v>
      </c>
      <c r="I760" s="23" t="str">
        <f t="shared" ca="1" si="23"/>
        <v/>
      </c>
    </row>
    <row r="761" spans="1:9" ht="13.8">
      <c r="A761" s="20">
        <f t="shared" ca="1" si="22"/>
        <v>42373</v>
      </c>
      <c r="B761" s="21" t="str">
        <f ca="1"/>
        <v>2016-01-04</v>
      </c>
      <c r="C761" s="22">
        <f ca="1"/>
        <v>54.32</v>
      </c>
      <c r="D761" s="22">
        <f ca="1"/>
        <v>54.799999</v>
      </c>
      <c r="E761" s="22">
        <f ca="1"/>
        <v>53.389999000000003</v>
      </c>
      <c r="F761" s="22">
        <f ca="1"/>
        <v>54.799999</v>
      </c>
      <c r="G761" s="22">
        <f ca="1"/>
        <v>49.130695000000003</v>
      </c>
      <c r="H761" s="69">
        <f ca="1"/>
        <v>53778000</v>
      </c>
      <c r="I761" s="23" t="str">
        <f t="shared" ca="1" si="23"/>
        <v/>
      </c>
    </row>
    <row r="762" spans="1:9" ht="13.8">
      <c r="A762" s="20">
        <f t="shared" ca="1" si="22"/>
        <v>42374</v>
      </c>
      <c r="B762" s="21" t="str">
        <f ca="1"/>
        <v>2016-01-05</v>
      </c>
      <c r="C762" s="22">
        <f ca="1"/>
        <v>54.93</v>
      </c>
      <c r="D762" s="22">
        <f ca="1"/>
        <v>55.389999000000003</v>
      </c>
      <c r="E762" s="22">
        <f ca="1"/>
        <v>54.540000999999997</v>
      </c>
      <c r="F762" s="22">
        <f ca="1"/>
        <v>55.049999</v>
      </c>
      <c r="G762" s="22">
        <f ca="1"/>
        <v>49.354827999999998</v>
      </c>
      <c r="H762" s="69">
        <f ca="1"/>
        <v>34079700</v>
      </c>
      <c r="I762" s="23" t="str">
        <f t="shared" ca="1" si="23"/>
        <v/>
      </c>
    </row>
    <row r="763" spans="1:9" ht="13.8">
      <c r="A763" s="20">
        <f t="shared" ca="1" si="22"/>
        <v>42375</v>
      </c>
      <c r="B763" s="21" t="str">
        <f ca="1"/>
        <v>2016-01-06</v>
      </c>
      <c r="C763" s="22">
        <f ca="1"/>
        <v>54.32</v>
      </c>
      <c r="D763" s="22">
        <f ca="1"/>
        <v>54.400002000000001</v>
      </c>
      <c r="E763" s="22">
        <f ca="1"/>
        <v>53.639999000000003</v>
      </c>
      <c r="F763" s="22">
        <f ca="1"/>
        <v>54.049999</v>
      </c>
      <c r="G763" s="22">
        <f ca="1"/>
        <v>48.458281999999997</v>
      </c>
      <c r="H763" s="69">
        <f ca="1"/>
        <v>39518900</v>
      </c>
      <c r="I763" s="23" t="str">
        <f t="shared" ca="1" si="23"/>
        <v/>
      </c>
    </row>
    <row r="764" spans="1:9" ht="13.8">
      <c r="A764" s="20">
        <f t="shared" ca="1" si="22"/>
        <v>42376</v>
      </c>
      <c r="B764" s="21" t="str">
        <f ca="1"/>
        <v>2016-01-07</v>
      </c>
      <c r="C764" s="22">
        <f ca="1"/>
        <v>52.700001</v>
      </c>
      <c r="D764" s="22">
        <f ca="1"/>
        <v>53.490001999999997</v>
      </c>
      <c r="E764" s="22">
        <f ca="1"/>
        <v>52.07</v>
      </c>
      <c r="F764" s="22">
        <f ca="1"/>
        <v>52.169998</v>
      </c>
      <c r="G764" s="22">
        <f ca="1"/>
        <v>46.772778000000002</v>
      </c>
      <c r="H764" s="69">
        <f ca="1"/>
        <v>56564900</v>
      </c>
      <c r="I764" s="23" t="str">
        <f t="shared" ca="1" si="23"/>
        <v/>
      </c>
    </row>
    <row r="765" spans="1:9" ht="13.8">
      <c r="A765" s="20">
        <f t="shared" ca="1" si="22"/>
        <v>42377</v>
      </c>
      <c r="B765" s="21" t="str">
        <f ca="1"/>
        <v>2016-01-08</v>
      </c>
      <c r="C765" s="22">
        <f ca="1"/>
        <v>52.369999</v>
      </c>
      <c r="D765" s="22">
        <f ca="1"/>
        <v>53.279998999999997</v>
      </c>
      <c r="E765" s="22">
        <f ca="1"/>
        <v>52.150002000000001</v>
      </c>
      <c r="F765" s="22">
        <f ca="1"/>
        <v>52.330002</v>
      </c>
      <c r="G765" s="22">
        <f ca="1"/>
        <v>46.916229000000001</v>
      </c>
      <c r="H765" s="69">
        <f ca="1"/>
        <v>48754000</v>
      </c>
      <c r="I765" s="23" t="str">
        <f t="shared" ca="1" si="23"/>
        <v/>
      </c>
    </row>
    <row r="766" spans="1:9" ht="13.8">
      <c r="A766" s="20">
        <f t="shared" ca="1" si="22"/>
        <v>42380</v>
      </c>
      <c r="B766" s="21" t="str">
        <f ca="1"/>
        <v>2016-01-11</v>
      </c>
      <c r="C766" s="22">
        <f ca="1"/>
        <v>52.509998000000003</v>
      </c>
      <c r="D766" s="22">
        <f ca="1"/>
        <v>52.849997999999999</v>
      </c>
      <c r="E766" s="22">
        <f ca="1"/>
        <v>51.459999000000003</v>
      </c>
      <c r="F766" s="22">
        <f ca="1"/>
        <v>52.299999</v>
      </c>
      <c r="G766" s="22">
        <f ca="1"/>
        <v>46.889319999999998</v>
      </c>
      <c r="H766" s="69">
        <f ca="1"/>
        <v>36943800</v>
      </c>
      <c r="I766" s="23" t="str">
        <f t="shared" ca="1" si="23"/>
        <v/>
      </c>
    </row>
    <row r="767" spans="1:9" ht="13.8">
      <c r="A767" s="20">
        <f t="shared" ca="1" si="22"/>
        <v>42381</v>
      </c>
      <c r="B767" s="21" t="str">
        <f ca="1"/>
        <v>2016-01-12</v>
      </c>
      <c r="C767" s="22">
        <f ca="1"/>
        <v>52.759998000000003</v>
      </c>
      <c r="D767" s="22">
        <f ca="1"/>
        <v>53.099997999999999</v>
      </c>
      <c r="E767" s="22">
        <f ca="1"/>
        <v>52.060001</v>
      </c>
      <c r="F767" s="22">
        <f ca="1"/>
        <v>52.779998999999997</v>
      </c>
      <c r="G767" s="22">
        <f ca="1"/>
        <v>47.319668</v>
      </c>
      <c r="H767" s="69">
        <f ca="1"/>
        <v>36095500</v>
      </c>
      <c r="I767" s="23" t="str">
        <f t="shared" ca="1" si="23"/>
        <v/>
      </c>
    </row>
    <row r="768" spans="1:9" ht="13.8">
      <c r="A768" s="20">
        <f t="shared" ca="1" si="22"/>
        <v>42382</v>
      </c>
      <c r="B768" s="21" t="str">
        <f ca="1"/>
        <v>2016-01-13</v>
      </c>
      <c r="C768" s="22">
        <f ca="1"/>
        <v>53.799999</v>
      </c>
      <c r="D768" s="22">
        <f ca="1"/>
        <v>54.07</v>
      </c>
      <c r="E768" s="22">
        <f ca="1"/>
        <v>51.299999</v>
      </c>
      <c r="F768" s="22">
        <f ca="1"/>
        <v>51.639999000000003</v>
      </c>
      <c r="G768" s="22">
        <f ca="1"/>
        <v>46.297618999999997</v>
      </c>
      <c r="H768" s="69">
        <f ca="1"/>
        <v>66883600</v>
      </c>
      <c r="I768" s="23" t="str">
        <f t="shared" ca="1" si="23"/>
        <v/>
      </c>
    </row>
    <row r="769" spans="1:9" ht="13.8">
      <c r="A769" s="20">
        <f t="shared" ca="1" si="22"/>
        <v>42383</v>
      </c>
      <c r="B769" s="21" t="str">
        <f ca="1"/>
        <v>2016-01-14</v>
      </c>
      <c r="C769" s="22">
        <f ca="1"/>
        <v>52</v>
      </c>
      <c r="D769" s="22">
        <f ca="1"/>
        <v>53.419998</v>
      </c>
      <c r="E769" s="22">
        <f ca="1"/>
        <v>51.57</v>
      </c>
      <c r="F769" s="22">
        <f ca="1"/>
        <v>53.110000999999997</v>
      </c>
      <c r="G769" s="22">
        <f ca="1"/>
        <v>47.615543000000002</v>
      </c>
      <c r="H769" s="69">
        <f ca="1"/>
        <v>52381900</v>
      </c>
      <c r="I769" s="23" t="str">
        <f t="shared" ca="1" si="23"/>
        <v/>
      </c>
    </row>
    <row r="770" spans="1:9" ht="13.8">
      <c r="A770" s="20">
        <f t="shared" ca="1" si="22"/>
        <v>42384</v>
      </c>
      <c r="B770" s="21" t="str">
        <f ca="1"/>
        <v>2016-01-15</v>
      </c>
      <c r="C770" s="22">
        <f ca="1"/>
        <v>51.310001</v>
      </c>
      <c r="D770" s="22">
        <f ca="1"/>
        <v>51.970001000000003</v>
      </c>
      <c r="E770" s="22">
        <f ca="1"/>
        <v>50.34</v>
      </c>
      <c r="F770" s="22">
        <f ca="1"/>
        <v>50.990001999999997</v>
      </c>
      <c r="G770" s="22">
        <f ca="1"/>
        <v>45.714858999999997</v>
      </c>
      <c r="H770" s="69">
        <f ca="1"/>
        <v>71820700</v>
      </c>
      <c r="I770" s="23" t="str">
        <f t="shared" ca="1" si="23"/>
        <v/>
      </c>
    </row>
    <row r="771" spans="1:9" ht="13.8">
      <c r="A771" s="20">
        <f t="shared" ca="1" si="22"/>
        <v>42388</v>
      </c>
      <c r="B771" s="21" t="str">
        <f ca="1"/>
        <v>2016-01-19</v>
      </c>
      <c r="C771" s="22">
        <f ca="1"/>
        <v>51.48</v>
      </c>
      <c r="D771" s="22">
        <f ca="1"/>
        <v>51.68</v>
      </c>
      <c r="E771" s="22">
        <f ca="1"/>
        <v>50.060001</v>
      </c>
      <c r="F771" s="22">
        <f ca="1"/>
        <v>50.560001</v>
      </c>
      <c r="G771" s="22">
        <f ca="1"/>
        <v>45.329341999999997</v>
      </c>
      <c r="H771" s="69">
        <f ca="1"/>
        <v>43564500</v>
      </c>
      <c r="I771" s="23" t="str">
        <f t="shared" ca="1" si="23"/>
        <v/>
      </c>
    </row>
    <row r="772" spans="1:9" ht="13.8">
      <c r="A772" s="20">
        <f t="shared" ca="1" si="22"/>
        <v>42389</v>
      </c>
      <c r="B772" s="21" t="str">
        <f ca="1"/>
        <v>2016-01-20</v>
      </c>
      <c r="C772" s="22">
        <f ca="1"/>
        <v>49.98</v>
      </c>
      <c r="D772" s="22">
        <f ca="1"/>
        <v>51.380001</v>
      </c>
      <c r="E772" s="22">
        <f ca="1"/>
        <v>49.099997999999999</v>
      </c>
      <c r="F772" s="22">
        <f ca="1"/>
        <v>50.790000999999997</v>
      </c>
      <c r="G772" s="22">
        <f ca="1"/>
        <v>45.535549000000003</v>
      </c>
      <c r="H772" s="69">
        <f ca="1"/>
        <v>63273000</v>
      </c>
      <c r="I772" s="23" t="str">
        <f t="shared" ca="1" si="23"/>
        <v/>
      </c>
    </row>
    <row r="773" spans="1:9" ht="13.8">
      <c r="A773" s="20">
        <f t="shared" ca="1" si="22"/>
        <v>42390</v>
      </c>
      <c r="B773" s="21" t="str">
        <f ca="1"/>
        <v>2016-01-21</v>
      </c>
      <c r="C773" s="22">
        <f ca="1"/>
        <v>51</v>
      </c>
      <c r="D773" s="22">
        <f ca="1"/>
        <v>51.580002</v>
      </c>
      <c r="E773" s="22">
        <f ca="1"/>
        <v>50.299999</v>
      </c>
      <c r="F773" s="22">
        <f ca="1"/>
        <v>50.48</v>
      </c>
      <c r="G773" s="22">
        <f ca="1"/>
        <v>45.257621999999998</v>
      </c>
      <c r="H773" s="69">
        <f ca="1"/>
        <v>40191200</v>
      </c>
      <c r="I773" s="23" t="str">
        <f t="shared" ca="1" si="23"/>
        <v/>
      </c>
    </row>
    <row r="774" spans="1:9" ht="13.8">
      <c r="A774" s="20">
        <f t="shared" ref="A774:A837" ca="1" si="24">IFERROR(DATEVALUE($B774),"--")</f>
        <v>42391</v>
      </c>
      <c r="B774" s="21" t="str">
        <f ca="1"/>
        <v>2016-01-22</v>
      </c>
      <c r="C774" s="22">
        <f ca="1"/>
        <v>51.41</v>
      </c>
      <c r="D774" s="22">
        <f ca="1"/>
        <v>52.330002</v>
      </c>
      <c r="E774" s="22">
        <f ca="1"/>
        <v>51.259998000000003</v>
      </c>
      <c r="F774" s="22">
        <f ca="1"/>
        <v>52.290000999999997</v>
      </c>
      <c r="G774" s="22">
        <f ca="1"/>
        <v>46.880363000000003</v>
      </c>
      <c r="H774" s="69">
        <f ca="1"/>
        <v>37555800</v>
      </c>
      <c r="I774" s="23" t="str">
        <f t="shared" ref="I774:I837" ca="1" si="25">IFERROR(IF(Ticker&lt;&gt;$Q$2,"",INDEX($P:$P,MATCH($A774,$O:$O,0))),"")</f>
        <v/>
      </c>
    </row>
    <row r="775" spans="1:9" ht="13.8">
      <c r="A775" s="20">
        <f t="shared" ca="1" si="24"/>
        <v>42394</v>
      </c>
      <c r="B775" s="21" t="str">
        <f ca="1"/>
        <v>2016-01-25</v>
      </c>
      <c r="C775" s="22">
        <f ca="1"/>
        <v>51.939999</v>
      </c>
      <c r="D775" s="22">
        <f ca="1"/>
        <v>52.650002000000001</v>
      </c>
      <c r="E775" s="22">
        <f ca="1"/>
        <v>51.650002000000001</v>
      </c>
      <c r="F775" s="22">
        <f ca="1"/>
        <v>51.790000999999997</v>
      </c>
      <c r="G775" s="22">
        <f ca="1"/>
        <v>46.432087000000003</v>
      </c>
      <c r="H775" s="69">
        <f ca="1"/>
        <v>34707700</v>
      </c>
      <c r="I775" s="23" t="str">
        <f t="shared" ca="1" si="25"/>
        <v/>
      </c>
    </row>
    <row r="776" spans="1:9" ht="13.8">
      <c r="A776" s="20">
        <f t="shared" ca="1" si="24"/>
        <v>42395</v>
      </c>
      <c r="B776" s="21" t="str">
        <f ca="1"/>
        <v>2016-01-26</v>
      </c>
      <c r="C776" s="22">
        <f ca="1"/>
        <v>51.790000999999997</v>
      </c>
      <c r="D776" s="22">
        <f ca="1"/>
        <v>52.439999</v>
      </c>
      <c r="E776" s="22">
        <f ca="1"/>
        <v>51.549999</v>
      </c>
      <c r="F776" s="22">
        <f ca="1"/>
        <v>52.169998</v>
      </c>
      <c r="G776" s="22">
        <f ca="1"/>
        <v>46.772778000000002</v>
      </c>
      <c r="H776" s="69">
        <f ca="1"/>
        <v>28900800</v>
      </c>
      <c r="I776" s="23" t="str">
        <f t="shared" ca="1" si="25"/>
        <v/>
      </c>
    </row>
    <row r="777" spans="1:9" ht="13.8">
      <c r="A777" s="20">
        <f t="shared" ca="1" si="24"/>
        <v>42396</v>
      </c>
      <c r="B777" s="21" t="str">
        <f ca="1"/>
        <v>2016-01-27</v>
      </c>
      <c r="C777" s="22">
        <f ca="1"/>
        <v>52.009998000000003</v>
      </c>
      <c r="D777" s="22">
        <f ca="1"/>
        <v>52.200001</v>
      </c>
      <c r="E777" s="22">
        <f ca="1"/>
        <v>51.02</v>
      </c>
      <c r="F777" s="22">
        <f ca="1"/>
        <v>51.220001000000003</v>
      </c>
      <c r="G777" s="22">
        <f ca="1"/>
        <v>45.921055000000003</v>
      </c>
      <c r="H777" s="69">
        <f ca="1"/>
        <v>36775200</v>
      </c>
      <c r="I777" s="23" t="str">
        <f t="shared" ca="1" si="25"/>
        <v/>
      </c>
    </row>
    <row r="778" spans="1:9" ht="13.8">
      <c r="A778" s="20">
        <f t="shared" ca="1" si="24"/>
        <v>42397</v>
      </c>
      <c r="B778" s="21" t="str">
        <f ca="1"/>
        <v>2016-01-28</v>
      </c>
      <c r="C778" s="22">
        <f ca="1"/>
        <v>51.860000999999997</v>
      </c>
      <c r="D778" s="22">
        <f ca="1"/>
        <v>52.209999000000003</v>
      </c>
      <c r="E778" s="22">
        <f ca="1"/>
        <v>51.25</v>
      </c>
      <c r="F778" s="22">
        <f ca="1"/>
        <v>52.060001</v>
      </c>
      <c r="G778" s="22">
        <f ca="1"/>
        <v>46.674168000000002</v>
      </c>
      <c r="H778" s="69">
        <f ca="1"/>
        <v>62513800</v>
      </c>
      <c r="I778" s="23" t="str">
        <f t="shared" ca="1" si="25"/>
        <v/>
      </c>
    </row>
    <row r="779" spans="1:9" ht="13.8">
      <c r="A779" s="20">
        <f t="shared" ca="1" si="24"/>
        <v>42398</v>
      </c>
      <c r="B779" s="21" t="str">
        <f ca="1"/>
        <v>2016-01-29</v>
      </c>
      <c r="C779" s="22">
        <f ca="1"/>
        <v>54.73</v>
      </c>
      <c r="D779" s="22">
        <f ca="1"/>
        <v>55.09</v>
      </c>
      <c r="E779" s="22">
        <f ca="1"/>
        <v>54</v>
      </c>
      <c r="F779" s="22">
        <f ca="1"/>
        <v>55.09</v>
      </c>
      <c r="G779" s="22">
        <f ca="1"/>
        <v>49.390694000000003</v>
      </c>
      <c r="H779" s="69">
        <f ca="1"/>
        <v>83611700</v>
      </c>
      <c r="I779" s="23" t="str">
        <f t="shared" ca="1" si="25"/>
        <v/>
      </c>
    </row>
    <row r="780" spans="1:9" ht="13.8">
      <c r="A780" s="20">
        <f t="shared" ca="1" si="24"/>
        <v>42401</v>
      </c>
      <c r="B780" s="21" t="str">
        <f ca="1"/>
        <v>2016-02-01</v>
      </c>
      <c r="C780" s="22">
        <f ca="1"/>
        <v>54.880001</v>
      </c>
      <c r="D780" s="22">
        <f ca="1"/>
        <v>55.09</v>
      </c>
      <c r="E780" s="22">
        <f ca="1"/>
        <v>54.5</v>
      </c>
      <c r="F780" s="22">
        <f ca="1"/>
        <v>54.709999000000003</v>
      </c>
      <c r="G780" s="22">
        <f ca="1"/>
        <v>49.050010999999998</v>
      </c>
      <c r="H780" s="69">
        <f ca="1"/>
        <v>44208500</v>
      </c>
      <c r="I780" s="23" t="str">
        <f t="shared" ca="1" si="25"/>
        <v/>
      </c>
    </row>
    <row r="781" spans="1:9" ht="13.8">
      <c r="A781" s="20">
        <f t="shared" ca="1" si="24"/>
        <v>42402</v>
      </c>
      <c r="B781" s="21" t="str">
        <f ca="1"/>
        <v>2016-02-02</v>
      </c>
      <c r="C781" s="22">
        <f ca="1"/>
        <v>54.169998</v>
      </c>
      <c r="D781" s="22">
        <f ca="1"/>
        <v>54.259998000000003</v>
      </c>
      <c r="E781" s="22">
        <f ca="1"/>
        <v>52.650002000000001</v>
      </c>
      <c r="F781" s="22">
        <f ca="1"/>
        <v>53</v>
      </c>
      <c r="G781" s="22">
        <f ca="1"/>
        <v>47.516907000000003</v>
      </c>
      <c r="H781" s="69">
        <f ca="1"/>
        <v>56313800</v>
      </c>
      <c r="I781" s="23" t="str">
        <f t="shared" ca="1" si="25"/>
        <v/>
      </c>
    </row>
    <row r="782" spans="1:9" ht="13.8">
      <c r="A782" s="20">
        <f t="shared" ca="1" si="24"/>
        <v>42403</v>
      </c>
      <c r="B782" s="21" t="str">
        <f ca="1"/>
        <v>2016-02-03</v>
      </c>
      <c r="C782" s="22">
        <f ca="1"/>
        <v>53.25</v>
      </c>
      <c r="D782" s="22">
        <f ca="1"/>
        <v>53.389999000000003</v>
      </c>
      <c r="E782" s="22">
        <f ca="1"/>
        <v>51.259998000000003</v>
      </c>
      <c r="F782" s="22">
        <f ca="1"/>
        <v>52.16</v>
      </c>
      <c r="G782" s="22">
        <f ca="1"/>
        <v>46.763809000000002</v>
      </c>
      <c r="H782" s="69">
        <f ca="1"/>
        <v>57559800</v>
      </c>
      <c r="I782" s="23" t="str">
        <f t="shared" ca="1" si="25"/>
        <v/>
      </c>
    </row>
    <row r="783" spans="1:9" ht="13.8">
      <c r="A783" s="20">
        <f t="shared" ca="1" si="24"/>
        <v>42404</v>
      </c>
      <c r="B783" s="21" t="str">
        <f ca="1"/>
        <v>2016-02-04</v>
      </c>
      <c r="C783" s="22">
        <f ca="1"/>
        <v>52.099997999999999</v>
      </c>
      <c r="D783" s="22">
        <f ca="1"/>
        <v>52.810001</v>
      </c>
      <c r="E783" s="22">
        <f ca="1"/>
        <v>51.369999</v>
      </c>
      <c r="F783" s="22">
        <f ca="1"/>
        <v>52</v>
      </c>
      <c r="G783" s="22">
        <f ca="1"/>
        <v>46.620368999999997</v>
      </c>
      <c r="H783" s="69">
        <f ca="1"/>
        <v>46987100</v>
      </c>
      <c r="I783" s="23" t="str">
        <f t="shared" ca="1" si="25"/>
        <v/>
      </c>
    </row>
    <row r="784" spans="1:9" ht="13.8">
      <c r="A784" s="20">
        <f t="shared" ca="1" si="24"/>
        <v>42405</v>
      </c>
      <c r="B784" s="21" t="str">
        <f ca="1"/>
        <v>2016-02-05</v>
      </c>
      <c r="C784" s="22">
        <f ca="1"/>
        <v>51.939999</v>
      </c>
      <c r="D784" s="22">
        <f ca="1"/>
        <v>52</v>
      </c>
      <c r="E784" s="22">
        <f ca="1"/>
        <v>49.560001</v>
      </c>
      <c r="F784" s="22">
        <f ca="1"/>
        <v>50.16</v>
      </c>
      <c r="G784" s="22">
        <f ca="1"/>
        <v>44.970717999999998</v>
      </c>
      <c r="H784" s="69">
        <f ca="1"/>
        <v>62009000</v>
      </c>
      <c r="I784" s="23" t="str">
        <f t="shared" ca="1" si="25"/>
        <v/>
      </c>
    </row>
    <row r="785" spans="1:9" ht="13.8">
      <c r="A785" s="20">
        <f t="shared" ca="1" si="24"/>
        <v>42408</v>
      </c>
      <c r="B785" s="21" t="str">
        <f ca="1"/>
        <v>2016-02-08</v>
      </c>
      <c r="C785" s="22">
        <f ca="1"/>
        <v>49.549999</v>
      </c>
      <c r="D785" s="22">
        <f ca="1"/>
        <v>49.57</v>
      </c>
      <c r="E785" s="22">
        <f ca="1"/>
        <v>48.189999</v>
      </c>
      <c r="F785" s="22">
        <f ca="1"/>
        <v>49.41</v>
      </c>
      <c r="G785" s="22">
        <f ca="1"/>
        <v>44.298316999999997</v>
      </c>
      <c r="H785" s="69">
        <f ca="1"/>
        <v>59290500</v>
      </c>
      <c r="I785" s="23" t="str">
        <f t="shared" ca="1" si="25"/>
        <v/>
      </c>
    </row>
    <row r="786" spans="1:9" ht="13.8">
      <c r="A786" s="20">
        <f t="shared" ca="1" si="24"/>
        <v>42409</v>
      </c>
      <c r="B786" s="21" t="str">
        <f ca="1"/>
        <v>2016-02-09</v>
      </c>
      <c r="C786" s="22">
        <f ca="1"/>
        <v>49.02</v>
      </c>
      <c r="D786" s="22">
        <f ca="1"/>
        <v>50.240001999999997</v>
      </c>
      <c r="E786" s="22">
        <f ca="1"/>
        <v>48.669998</v>
      </c>
      <c r="F786" s="22">
        <f ca="1"/>
        <v>49.279998999999997</v>
      </c>
      <c r="G786" s="22">
        <f ca="1"/>
        <v>44.181767000000001</v>
      </c>
      <c r="H786" s="69">
        <f ca="1"/>
        <v>46740500</v>
      </c>
      <c r="I786" s="23" t="str">
        <f t="shared" ca="1" si="25"/>
        <v/>
      </c>
    </row>
    <row r="787" spans="1:9" ht="13.8">
      <c r="A787" s="20">
        <f t="shared" ca="1" si="24"/>
        <v>42410</v>
      </c>
      <c r="B787" s="21" t="str">
        <f ca="1"/>
        <v>2016-02-10</v>
      </c>
      <c r="C787" s="22">
        <f ca="1"/>
        <v>49.889999000000003</v>
      </c>
      <c r="D787" s="22">
        <f ca="1"/>
        <v>50.389999000000003</v>
      </c>
      <c r="E787" s="22">
        <f ca="1"/>
        <v>49.52</v>
      </c>
      <c r="F787" s="22">
        <f ca="1"/>
        <v>49.709999000000003</v>
      </c>
      <c r="G787" s="22">
        <f ca="1"/>
        <v>44.567272000000003</v>
      </c>
      <c r="H787" s="69">
        <f ca="1"/>
        <v>38237000</v>
      </c>
      <c r="I787" s="23" t="str">
        <f t="shared" ca="1" si="25"/>
        <v/>
      </c>
    </row>
    <row r="788" spans="1:9" ht="13.8">
      <c r="A788" s="20">
        <f t="shared" ca="1" si="24"/>
        <v>42411</v>
      </c>
      <c r="B788" s="21" t="str">
        <f ca="1"/>
        <v>2016-02-11</v>
      </c>
      <c r="C788" s="22">
        <f ca="1"/>
        <v>48.68</v>
      </c>
      <c r="D788" s="22">
        <f ca="1"/>
        <v>50.110000999999997</v>
      </c>
      <c r="E788" s="22">
        <f ca="1"/>
        <v>48.509998000000003</v>
      </c>
      <c r="F788" s="22">
        <f ca="1"/>
        <v>49.689999</v>
      </c>
      <c r="G788" s="22">
        <f ca="1"/>
        <v>44.549339000000003</v>
      </c>
      <c r="H788" s="69">
        <f ca="1"/>
        <v>48878600</v>
      </c>
      <c r="I788" s="23" t="str">
        <f t="shared" ca="1" si="25"/>
        <v/>
      </c>
    </row>
    <row r="789" spans="1:9" ht="13.8">
      <c r="A789" s="20">
        <f t="shared" ca="1" si="24"/>
        <v>42412</v>
      </c>
      <c r="B789" s="21" t="str">
        <f ca="1"/>
        <v>2016-02-12</v>
      </c>
      <c r="C789" s="22">
        <f ca="1"/>
        <v>50.25</v>
      </c>
      <c r="D789" s="22">
        <f ca="1"/>
        <v>50.68</v>
      </c>
      <c r="E789" s="22">
        <f ca="1"/>
        <v>49.75</v>
      </c>
      <c r="F789" s="22">
        <f ca="1"/>
        <v>50.5</v>
      </c>
      <c r="G789" s="22">
        <f ca="1"/>
        <v>45.275542999999999</v>
      </c>
      <c r="H789" s="69">
        <f ca="1"/>
        <v>34243300</v>
      </c>
      <c r="I789" s="23" t="str">
        <f t="shared" ca="1" si="25"/>
        <v/>
      </c>
    </row>
    <row r="790" spans="1:9" ht="13.8">
      <c r="A790" s="20">
        <f t="shared" ca="1" si="24"/>
        <v>42416</v>
      </c>
      <c r="B790" s="21" t="str">
        <f ca="1"/>
        <v>2016-02-16</v>
      </c>
      <c r="C790" s="22">
        <f ca="1"/>
        <v>50.900002000000001</v>
      </c>
      <c r="D790" s="22">
        <f ca="1"/>
        <v>51.09</v>
      </c>
      <c r="E790" s="22">
        <f ca="1"/>
        <v>50.130001</v>
      </c>
      <c r="F790" s="22">
        <f ca="1"/>
        <v>51.09</v>
      </c>
      <c r="G790" s="22">
        <f ca="1"/>
        <v>46.133389000000001</v>
      </c>
      <c r="H790" s="69">
        <f ca="1"/>
        <v>37291200</v>
      </c>
      <c r="I790" s="23">
        <f t="shared" ca="1" si="25"/>
        <v>0.36</v>
      </c>
    </row>
    <row r="791" spans="1:9" ht="13.8">
      <c r="A791" s="20">
        <f t="shared" ca="1" si="24"/>
        <v>42417</v>
      </c>
      <c r="B791" s="21" t="str">
        <f ca="1"/>
        <v>2016-02-17</v>
      </c>
      <c r="C791" s="22">
        <f ca="1"/>
        <v>51.490001999999997</v>
      </c>
      <c r="D791" s="22">
        <f ca="1"/>
        <v>52.77</v>
      </c>
      <c r="E791" s="22">
        <f ca="1"/>
        <v>51.450001</v>
      </c>
      <c r="F791" s="22">
        <f ca="1"/>
        <v>52.419998</v>
      </c>
      <c r="G791" s="22">
        <f ca="1"/>
        <v>47.334350999999998</v>
      </c>
      <c r="H791" s="69">
        <f ca="1"/>
        <v>40789000</v>
      </c>
      <c r="I791" s="23" t="str">
        <f t="shared" ca="1" si="25"/>
        <v/>
      </c>
    </row>
    <row r="792" spans="1:9" ht="13.8">
      <c r="A792" s="20">
        <f t="shared" ca="1" si="24"/>
        <v>42418</v>
      </c>
      <c r="B792" s="21" t="str">
        <f ca="1"/>
        <v>2016-02-18</v>
      </c>
      <c r="C792" s="22">
        <f ca="1"/>
        <v>52.330002</v>
      </c>
      <c r="D792" s="22">
        <f ca="1"/>
        <v>52.950001</v>
      </c>
      <c r="E792" s="22">
        <f ca="1"/>
        <v>52.099997999999999</v>
      </c>
      <c r="F792" s="22">
        <f ca="1"/>
        <v>52.189999</v>
      </c>
      <c r="G792" s="22">
        <f ca="1"/>
        <v>47.126666999999998</v>
      </c>
      <c r="H792" s="69">
        <f ca="1"/>
        <v>27176000</v>
      </c>
      <c r="I792" s="23" t="str">
        <f t="shared" ca="1" si="25"/>
        <v/>
      </c>
    </row>
    <row r="793" spans="1:9" ht="13.8">
      <c r="A793" s="20">
        <f t="shared" ca="1" si="24"/>
        <v>42419</v>
      </c>
      <c r="B793" s="21" t="str">
        <f ca="1"/>
        <v>2016-02-19</v>
      </c>
      <c r="C793" s="22">
        <f ca="1"/>
        <v>51.970001000000003</v>
      </c>
      <c r="D793" s="22">
        <f ca="1"/>
        <v>52.279998999999997</v>
      </c>
      <c r="E793" s="22">
        <f ca="1"/>
        <v>51.529998999999997</v>
      </c>
      <c r="F793" s="22">
        <f ca="1"/>
        <v>51.82</v>
      </c>
      <c r="G793" s="22">
        <f ca="1"/>
        <v>46.792557000000002</v>
      </c>
      <c r="H793" s="69">
        <f ca="1"/>
        <v>33559100</v>
      </c>
      <c r="I793" s="23" t="str">
        <f t="shared" ca="1" si="25"/>
        <v/>
      </c>
    </row>
    <row r="794" spans="1:9" ht="13.8">
      <c r="A794" s="20">
        <f t="shared" ca="1" si="24"/>
        <v>42422</v>
      </c>
      <c r="B794" s="21" t="str">
        <f ca="1"/>
        <v>2016-02-22</v>
      </c>
      <c r="C794" s="22">
        <f ca="1"/>
        <v>52.279998999999997</v>
      </c>
      <c r="D794" s="22">
        <f ca="1"/>
        <v>53</v>
      </c>
      <c r="E794" s="22">
        <f ca="1"/>
        <v>52.279998999999997</v>
      </c>
      <c r="F794" s="22">
        <f ca="1"/>
        <v>52.650002000000001</v>
      </c>
      <c r="G794" s="22">
        <f ca="1"/>
        <v>47.542042000000002</v>
      </c>
      <c r="H794" s="69">
        <f ca="1"/>
        <v>25008300</v>
      </c>
      <c r="I794" s="23" t="str">
        <f t="shared" ca="1" si="25"/>
        <v/>
      </c>
    </row>
    <row r="795" spans="1:9" ht="13.8">
      <c r="A795" s="20">
        <f t="shared" ca="1" si="24"/>
        <v>42423</v>
      </c>
      <c r="B795" s="21" t="str">
        <f ca="1"/>
        <v>2016-02-23</v>
      </c>
      <c r="C795" s="22">
        <f ca="1"/>
        <v>52.34</v>
      </c>
      <c r="D795" s="22">
        <f ca="1"/>
        <v>52.369999</v>
      </c>
      <c r="E795" s="22">
        <f ca="1"/>
        <v>50.98</v>
      </c>
      <c r="F795" s="22">
        <f ca="1"/>
        <v>51.18</v>
      </c>
      <c r="G795" s="22">
        <f ca="1"/>
        <v>46.214644999999997</v>
      </c>
      <c r="H795" s="69">
        <f ca="1"/>
        <v>28895300</v>
      </c>
      <c r="I795" s="23" t="str">
        <f t="shared" ca="1" si="25"/>
        <v/>
      </c>
    </row>
    <row r="796" spans="1:9" ht="13.8">
      <c r="A796" s="20">
        <f t="shared" ca="1" si="24"/>
        <v>42424</v>
      </c>
      <c r="B796" s="21" t="str">
        <f ca="1"/>
        <v>2016-02-24</v>
      </c>
      <c r="C796" s="22">
        <f ca="1"/>
        <v>50.689999</v>
      </c>
      <c r="D796" s="22">
        <f ca="1"/>
        <v>51.5</v>
      </c>
      <c r="E796" s="22">
        <f ca="1"/>
        <v>50.200001</v>
      </c>
      <c r="F796" s="22">
        <f ca="1"/>
        <v>51.360000999999997</v>
      </c>
      <c r="G796" s="22">
        <f ca="1"/>
        <v>46.377200999999999</v>
      </c>
      <c r="H796" s="69">
        <f ca="1"/>
        <v>33014500</v>
      </c>
      <c r="I796" s="23" t="str">
        <f t="shared" ca="1" si="25"/>
        <v/>
      </c>
    </row>
    <row r="797" spans="1:9" ht="13.8">
      <c r="A797" s="20">
        <f t="shared" ca="1" si="24"/>
        <v>42425</v>
      </c>
      <c r="B797" s="21" t="str">
        <f ca="1"/>
        <v>2016-02-25</v>
      </c>
      <c r="C797" s="22">
        <f ca="1"/>
        <v>51.73</v>
      </c>
      <c r="D797" s="22">
        <f ca="1"/>
        <v>52.099997999999999</v>
      </c>
      <c r="E797" s="22">
        <f ca="1"/>
        <v>50.610000999999997</v>
      </c>
      <c r="F797" s="22">
        <f ca="1"/>
        <v>52.099997999999999</v>
      </c>
      <c r="G797" s="22">
        <f ca="1"/>
        <v>47.045383000000001</v>
      </c>
      <c r="H797" s="69">
        <f ca="1"/>
        <v>26939500</v>
      </c>
      <c r="I797" s="23" t="str">
        <f t="shared" ca="1" si="25"/>
        <v/>
      </c>
    </row>
    <row r="798" spans="1:9" ht="13.8">
      <c r="A798" s="20">
        <f t="shared" ca="1" si="24"/>
        <v>42426</v>
      </c>
      <c r="B798" s="21" t="str">
        <f ca="1"/>
        <v>2016-02-26</v>
      </c>
      <c r="C798" s="22">
        <f ca="1"/>
        <v>52.599997999999999</v>
      </c>
      <c r="D798" s="22">
        <f ca="1"/>
        <v>52.68</v>
      </c>
      <c r="E798" s="22">
        <f ca="1"/>
        <v>51.099997999999999</v>
      </c>
      <c r="F798" s="22">
        <f ca="1"/>
        <v>51.299999</v>
      </c>
      <c r="G798" s="22">
        <f ca="1"/>
        <v>46.323005999999999</v>
      </c>
      <c r="H798" s="69">
        <f ca="1"/>
        <v>35975900</v>
      </c>
      <c r="I798" s="23" t="str">
        <f t="shared" ca="1" si="25"/>
        <v/>
      </c>
    </row>
    <row r="799" spans="1:9" ht="13.8">
      <c r="A799" s="20">
        <f t="shared" ca="1" si="24"/>
        <v>42429</v>
      </c>
      <c r="B799" s="21" t="str">
        <f ca="1"/>
        <v>2016-02-29</v>
      </c>
      <c r="C799" s="22">
        <f ca="1"/>
        <v>51.349997999999999</v>
      </c>
      <c r="D799" s="22">
        <f ca="1"/>
        <v>51.650002000000001</v>
      </c>
      <c r="E799" s="22">
        <f ca="1"/>
        <v>50.66</v>
      </c>
      <c r="F799" s="22">
        <f ca="1"/>
        <v>50.880001</v>
      </c>
      <c r="G799" s="22">
        <f ca="1"/>
        <v>45.943764000000002</v>
      </c>
      <c r="H799" s="69">
        <f ca="1"/>
        <v>31654000</v>
      </c>
      <c r="I799" s="23" t="str">
        <f t="shared" ca="1" si="25"/>
        <v/>
      </c>
    </row>
    <row r="800" spans="1:9" ht="13.8">
      <c r="A800" s="20">
        <f t="shared" ca="1" si="24"/>
        <v>42430</v>
      </c>
      <c r="B800" s="21" t="str">
        <f ca="1"/>
        <v>2016-03-01</v>
      </c>
      <c r="C800" s="22">
        <f ca="1"/>
        <v>50.970001000000003</v>
      </c>
      <c r="D800" s="22">
        <f ca="1"/>
        <v>52.59</v>
      </c>
      <c r="E800" s="22">
        <f ca="1"/>
        <v>50.919998</v>
      </c>
      <c r="F800" s="22">
        <f ca="1"/>
        <v>52.580002</v>
      </c>
      <c r="G800" s="22">
        <f ca="1"/>
        <v>47.478836000000001</v>
      </c>
      <c r="H800" s="69">
        <f ca="1"/>
        <v>33024500</v>
      </c>
      <c r="I800" s="23" t="str">
        <f t="shared" ca="1" si="25"/>
        <v/>
      </c>
    </row>
    <row r="801" spans="1:9" ht="13.8">
      <c r="A801" s="20">
        <f t="shared" ca="1" si="24"/>
        <v>42431</v>
      </c>
      <c r="B801" s="21" t="str">
        <f ca="1"/>
        <v>2016-03-02</v>
      </c>
      <c r="C801" s="22">
        <f ca="1"/>
        <v>52.41</v>
      </c>
      <c r="D801" s="22">
        <f ca="1"/>
        <v>52.959999000000003</v>
      </c>
      <c r="E801" s="22">
        <f ca="1"/>
        <v>52.16</v>
      </c>
      <c r="F801" s="22">
        <f ca="1"/>
        <v>52.950001</v>
      </c>
      <c r="G801" s="22">
        <f ca="1"/>
        <v>47.812927000000002</v>
      </c>
      <c r="H801" s="69">
        <f ca="1"/>
        <v>29289900</v>
      </c>
      <c r="I801" s="23" t="str">
        <f t="shared" ca="1" si="25"/>
        <v/>
      </c>
    </row>
    <row r="802" spans="1:9" ht="13.8">
      <c r="A802" s="20">
        <f t="shared" ca="1" si="24"/>
        <v>42432</v>
      </c>
      <c r="B802" s="21" t="str">
        <f ca="1"/>
        <v>2016-03-03</v>
      </c>
      <c r="C802" s="22">
        <f ca="1"/>
        <v>52.970001000000003</v>
      </c>
      <c r="D802" s="22">
        <f ca="1"/>
        <v>52.970001000000003</v>
      </c>
      <c r="E802" s="22">
        <f ca="1"/>
        <v>51.779998999999997</v>
      </c>
      <c r="F802" s="22">
        <f ca="1"/>
        <v>52.349997999999999</v>
      </c>
      <c r="G802" s="22">
        <f ca="1"/>
        <v>47.271144999999997</v>
      </c>
      <c r="H802" s="69">
        <f ca="1"/>
        <v>24427800</v>
      </c>
      <c r="I802" s="23" t="str">
        <f t="shared" ca="1" si="25"/>
        <v/>
      </c>
    </row>
    <row r="803" spans="1:9" ht="13.8">
      <c r="A803" s="20">
        <f t="shared" ca="1" si="24"/>
        <v>42433</v>
      </c>
      <c r="B803" s="21" t="str">
        <f ca="1"/>
        <v>2016-03-04</v>
      </c>
      <c r="C803" s="22">
        <f ca="1"/>
        <v>52.400002000000001</v>
      </c>
      <c r="D803" s="22">
        <f ca="1"/>
        <v>52.450001</v>
      </c>
      <c r="E803" s="22">
        <f ca="1"/>
        <v>51.709999000000003</v>
      </c>
      <c r="F803" s="22">
        <f ca="1"/>
        <v>52.029998999999997</v>
      </c>
      <c r="G803" s="22">
        <f ca="1"/>
        <v>46.982177999999998</v>
      </c>
      <c r="H803" s="69">
        <f ca="1"/>
        <v>33034200</v>
      </c>
      <c r="I803" s="23" t="str">
        <f t="shared" ca="1" si="25"/>
        <v/>
      </c>
    </row>
    <row r="804" spans="1:9" ht="13.8">
      <c r="A804" s="20">
        <f t="shared" ca="1" si="24"/>
        <v>42436</v>
      </c>
      <c r="B804" s="21" t="str">
        <f ca="1"/>
        <v>2016-03-07</v>
      </c>
      <c r="C804" s="22">
        <f ca="1"/>
        <v>51.560001</v>
      </c>
      <c r="D804" s="22">
        <f ca="1"/>
        <v>51.799999</v>
      </c>
      <c r="E804" s="22">
        <f ca="1"/>
        <v>50.580002</v>
      </c>
      <c r="F804" s="22">
        <f ca="1"/>
        <v>51.029998999999997</v>
      </c>
      <c r="G804" s="22">
        <f ca="1"/>
        <v>46.079192999999997</v>
      </c>
      <c r="H804" s="69">
        <f ca="1"/>
        <v>38407800</v>
      </c>
      <c r="I804" s="23" t="str">
        <f t="shared" ca="1" si="25"/>
        <v/>
      </c>
    </row>
    <row r="805" spans="1:9" ht="13.8">
      <c r="A805" s="20">
        <f t="shared" ca="1" si="24"/>
        <v>42437</v>
      </c>
      <c r="B805" s="21" t="str">
        <f ca="1"/>
        <v>2016-03-08</v>
      </c>
      <c r="C805" s="22">
        <f ca="1"/>
        <v>50.799999</v>
      </c>
      <c r="D805" s="22">
        <f ca="1"/>
        <v>52.130001</v>
      </c>
      <c r="E805" s="22">
        <f ca="1"/>
        <v>50.599997999999999</v>
      </c>
      <c r="F805" s="22">
        <f ca="1"/>
        <v>51.650002000000001</v>
      </c>
      <c r="G805" s="22">
        <f ca="1"/>
        <v>46.639060999999998</v>
      </c>
      <c r="H805" s="69">
        <f ca="1"/>
        <v>33835100</v>
      </c>
      <c r="I805" s="23" t="str">
        <f t="shared" ca="1" si="25"/>
        <v/>
      </c>
    </row>
    <row r="806" spans="1:9" ht="13.8">
      <c r="A806" s="20">
        <f t="shared" ca="1" si="24"/>
        <v>42438</v>
      </c>
      <c r="B806" s="21" t="str">
        <f ca="1"/>
        <v>2016-03-09</v>
      </c>
      <c r="C806" s="22">
        <f ca="1"/>
        <v>51.889999000000003</v>
      </c>
      <c r="D806" s="22">
        <f ca="1"/>
        <v>52.849997999999999</v>
      </c>
      <c r="E806" s="22">
        <f ca="1"/>
        <v>51.860000999999997</v>
      </c>
      <c r="F806" s="22">
        <f ca="1"/>
        <v>52.84</v>
      </c>
      <c r="G806" s="22">
        <f ca="1"/>
        <v>47.713608000000001</v>
      </c>
      <c r="H806" s="69">
        <f ca="1"/>
        <v>28251600</v>
      </c>
      <c r="I806" s="23" t="str">
        <f t="shared" ca="1" si="25"/>
        <v/>
      </c>
    </row>
    <row r="807" spans="1:9" ht="13.8">
      <c r="A807" s="20">
        <f t="shared" ca="1" si="24"/>
        <v>42439</v>
      </c>
      <c r="B807" s="21" t="str">
        <f ca="1"/>
        <v>2016-03-10</v>
      </c>
      <c r="C807" s="22">
        <f ca="1"/>
        <v>52.93</v>
      </c>
      <c r="D807" s="22">
        <f ca="1"/>
        <v>52.939999</v>
      </c>
      <c r="E807" s="22">
        <f ca="1"/>
        <v>51.16</v>
      </c>
      <c r="F807" s="22">
        <f ca="1"/>
        <v>52.049999</v>
      </c>
      <c r="G807" s="22">
        <f ca="1"/>
        <v>47.000252000000003</v>
      </c>
      <c r="H807" s="69">
        <f ca="1"/>
        <v>38387800</v>
      </c>
      <c r="I807" s="23" t="str">
        <f t="shared" ca="1" si="25"/>
        <v/>
      </c>
    </row>
    <row r="808" spans="1:9" ht="13.8">
      <c r="A808" s="20">
        <f t="shared" ca="1" si="24"/>
        <v>42440</v>
      </c>
      <c r="B808" s="21" t="str">
        <f ca="1"/>
        <v>2016-03-11</v>
      </c>
      <c r="C808" s="22">
        <f ca="1"/>
        <v>53</v>
      </c>
      <c r="D808" s="22">
        <f ca="1"/>
        <v>53.07</v>
      </c>
      <c r="E808" s="22">
        <f ca="1"/>
        <v>52.380001</v>
      </c>
      <c r="F808" s="22">
        <f ca="1"/>
        <v>53.07</v>
      </c>
      <c r="G808" s="22">
        <f ca="1"/>
        <v>47.921295000000001</v>
      </c>
      <c r="H808" s="69">
        <f ca="1"/>
        <v>32275700</v>
      </c>
      <c r="I808" s="23" t="str">
        <f t="shared" ca="1" si="25"/>
        <v/>
      </c>
    </row>
    <row r="809" spans="1:9" ht="13.8">
      <c r="A809" s="20">
        <f t="shared" ca="1" si="24"/>
        <v>42443</v>
      </c>
      <c r="B809" s="21" t="str">
        <f ca="1"/>
        <v>2016-03-14</v>
      </c>
      <c r="C809" s="22">
        <f ca="1"/>
        <v>52.709999000000003</v>
      </c>
      <c r="D809" s="22">
        <f ca="1"/>
        <v>53.59</v>
      </c>
      <c r="E809" s="22">
        <f ca="1"/>
        <v>52.630001</v>
      </c>
      <c r="F809" s="22">
        <f ca="1"/>
        <v>53.169998</v>
      </c>
      <c r="G809" s="22">
        <f ca="1"/>
        <v>48.011574000000003</v>
      </c>
      <c r="H809" s="69">
        <f ca="1"/>
        <v>24083600</v>
      </c>
      <c r="I809" s="23" t="str">
        <f t="shared" ca="1" si="25"/>
        <v/>
      </c>
    </row>
    <row r="810" spans="1:9" ht="13.8">
      <c r="A810" s="20">
        <f t="shared" ca="1" si="24"/>
        <v>42444</v>
      </c>
      <c r="B810" s="21" t="str">
        <f ca="1"/>
        <v>2016-03-15</v>
      </c>
      <c r="C810" s="22">
        <f ca="1"/>
        <v>52.75</v>
      </c>
      <c r="D810" s="22">
        <f ca="1"/>
        <v>53.59</v>
      </c>
      <c r="E810" s="22">
        <f ca="1"/>
        <v>52.740001999999997</v>
      </c>
      <c r="F810" s="22">
        <f ca="1"/>
        <v>53.59</v>
      </c>
      <c r="G810" s="22">
        <f ca="1"/>
        <v>48.390830999999999</v>
      </c>
      <c r="H810" s="69">
        <f ca="1"/>
        <v>21104800</v>
      </c>
      <c r="I810" s="23" t="str">
        <f t="shared" ca="1" si="25"/>
        <v/>
      </c>
    </row>
    <row r="811" spans="1:9" ht="13.8">
      <c r="A811" s="20">
        <f t="shared" ca="1" si="24"/>
        <v>42445</v>
      </c>
      <c r="B811" s="21" t="str">
        <f ca="1"/>
        <v>2016-03-16</v>
      </c>
      <c r="C811" s="22">
        <f ca="1"/>
        <v>53.450001</v>
      </c>
      <c r="D811" s="22">
        <f ca="1"/>
        <v>54.599997999999999</v>
      </c>
      <c r="E811" s="22">
        <f ca="1"/>
        <v>53.400002000000001</v>
      </c>
      <c r="F811" s="22">
        <f ca="1"/>
        <v>54.349997999999999</v>
      </c>
      <c r="G811" s="22">
        <f ca="1"/>
        <v>49.077098999999997</v>
      </c>
      <c r="H811" s="69">
        <f ca="1"/>
        <v>31691700</v>
      </c>
      <c r="I811" s="23" t="str">
        <f t="shared" ca="1" si="25"/>
        <v/>
      </c>
    </row>
    <row r="812" spans="1:9" ht="13.8">
      <c r="A812" s="20">
        <f t="shared" ca="1" si="24"/>
        <v>42446</v>
      </c>
      <c r="B812" s="21" t="str">
        <f ca="1"/>
        <v>2016-03-17</v>
      </c>
      <c r="C812" s="22">
        <f ca="1"/>
        <v>54.209999000000003</v>
      </c>
      <c r="D812" s="22">
        <f ca="1"/>
        <v>55</v>
      </c>
      <c r="E812" s="22">
        <f ca="1"/>
        <v>54</v>
      </c>
      <c r="F812" s="22">
        <f ca="1"/>
        <v>54.66</v>
      </c>
      <c r="G812" s="22">
        <f ca="1"/>
        <v>49.357028999999997</v>
      </c>
      <c r="H812" s="69">
        <f ca="1"/>
        <v>28223900</v>
      </c>
      <c r="I812" s="23" t="str">
        <f t="shared" ca="1" si="25"/>
        <v/>
      </c>
    </row>
    <row r="813" spans="1:9" ht="13.8">
      <c r="A813" s="20">
        <f t="shared" ca="1" si="24"/>
        <v>42447</v>
      </c>
      <c r="B813" s="21" t="str">
        <f ca="1"/>
        <v>2016-03-18</v>
      </c>
      <c r="C813" s="22">
        <f ca="1"/>
        <v>54.919998</v>
      </c>
      <c r="D813" s="22">
        <f ca="1"/>
        <v>54.970001000000003</v>
      </c>
      <c r="E813" s="22">
        <f ca="1"/>
        <v>53.450001</v>
      </c>
      <c r="F813" s="22">
        <f ca="1"/>
        <v>53.490001999999997</v>
      </c>
      <c r="G813" s="22">
        <f ca="1"/>
        <v>48.300545</v>
      </c>
      <c r="H813" s="69">
        <f ca="1"/>
        <v>67625500</v>
      </c>
      <c r="I813" s="23" t="str">
        <f t="shared" ca="1" si="25"/>
        <v/>
      </c>
    </row>
    <row r="814" spans="1:9" ht="13.8">
      <c r="A814" s="20">
        <f t="shared" ca="1" si="24"/>
        <v>42450</v>
      </c>
      <c r="B814" s="21" t="str">
        <f ca="1"/>
        <v>2016-03-21</v>
      </c>
      <c r="C814" s="22">
        <f ca="1"/>
        <v>53.25</v>
      </c>
      <c r="D814" s="22">
        <f ca="1"/>
        <v>53.93</v>
      </c>
      <c r="E814" s="22">
        <f ca="1"/>
        <v>52.93</v>
      </c>
      <c r="F814" s="22">
        <f ca="1"/>
        <v>53.860000999999997</v>
      </c>
      <c r="G814" s="22">
        <f ca="1"/>
        <v>48.634632000000003</v>
      </c>
      <c r="H814" s="69">
        <f ca="1"/>
        <v>23925700</v>
      </c>
      <c r="I814" s="23" t="str">
        <f t="shared" ca="1" si="25"/>
        <v/>
      </c>
    </row>
    <row r="815" spans="1:9" ht="13.8">
      <c r="A815" s="20">
        <f t="shared" ca="1" si="24"/>
        <v>42451</v>
      </c>
      <c r="B815" s="21" t="str">
        <f ca="1"/>
        <v>2016-03-22</v>
      </c>
      <c r="C815" s="22">
        <f ca="1"/>
        <v>53.610000999999997</v>
      </c>
      <c r="D815" s="22">
        <f ca="1"/>
        <v>54.25</v>
      </c>
      <c r="E815" s="22">
        <f ca="1"/>
        <v>53.459999000000003</v>
      </c>
      <c r="F815" s="22">
        <f ca="1"/>
        <v>54.07</v>
      </c>
      <c r="G815" s="22">
        <f ca="1"/>
        <v>48.824268000000004</v>
      </c>
      <c r="H815" s="69">
        <f ca="1"/>
        <v>23124100</v>
      </c>
      <c r="I815" s="23" t="str">
        <f t="shared" ca="1" si="25"/>
        <v/>
      </c>
    </row>
    <row r="816" spans="1:9" ht="13.8">
      <c r="A816" s="20">
        <f t="shared" ca="1" si="24"/>
        <v>42452</v>
      </c>
      <c r="B816" s="21" t="str">
        <f ca="1"/>
        <v>2016-03-23</v>
      </c>
      <c r="C816" s="22">
        <f ca="1"/>
        <v>54.110000999999997</v>
      </c>
      <c r="D816" s="22">
        <f ca="1"/>
        <v>54.240001999999997</v>
      </c>
      <c r="E816" s="22">
        <f ca="1"/>
        <v>53.740001999999997</v>
      </c>
      <c r="F816" s="22">
        <f ca="1"/>
        <v>53.970001000000003</v>
      </c>
      <c r="G816" s="22">
        <f ca="1"/>
        <v>48.733978</v>
      </c>
      <c r="H816" s="69">
        <f ca="1"/>
        <v>20129000</v>
      </c>
      <c r="I816" s="23" t="str">
        <f t="shared" ca="1" si="25"/>
        <v/>
      </c>
    </row>
    <row r="817" spans="1:9" ht="13.8">
      <c r="A817" s="20">
        <f t="shared" ca="1" si="24"/>
        <v>42453</v>
      </c>
      <c r="B817" s="21" t="str">
        <f ca="1"/>
        <v>2016-03-24</v>
      </c>
      <c r="C817" s="22">
        <f ca="1"/>
        <v>53.84</v>
      </c>
      <c r="D817" s="22">
        <f ca="1"/>
        <v>54.330002</v>
      </c>
      <c r="E817" s="22">
        <f ca="1"/>
        <v>53.73</v>
      </c>
      <c r="F817" s="22">
        <f ca="1"/>
        <v>54.209999000000003</v>
      </c>
      <c r="G817" s="22">
        <f ca="1"/>
        <v>48.950687000000002</v>
      </c>
      <c r="H817" s="69">
        <f ca="1"/>
        <v>19950000</v>
      </c>
      <c r="I817" s="23" t="str">
        <f t="shared" ca="1" si="25"/>
        <v/>
      </c>
    </row>
    <row r="818" spans="1:9" ht="13.8">
      <c r="A818" s="20">
        <f t="shared" ca="1" si="24"/>
        <v>42457</v>
      </c>
      <c r="B818" s="21" t="str">
        <f ca="1"/>
        <v>2016-03-28</v>
      </c>
      <c r="C818" s="22">
        <f ca="1"/>
        <v>54.209999000000003</v>
      </c>
      <c r="D818" s="22">
        <f ca="1"/>
        <v>54.290000999999997</v>
      </c>
      <c r="E818" s="22">
        <f ca="1"/>
        <v>53.330002</v>
      </c>
      <c r="F818" s="22">
        <f ca="1"/>
        <v>53.540000999999997</v>
      </c>
      <c r="G818" s="22">
        <f ca="1"/>
        <v>48.345694999999999</v>
      </c>
      <c r="H818" s="69">
        <f ca="1"/>
        <v>17025100</v>
      </c>
      <c r="I818" s="23" t="str">
        <f t="shared" ca="1" si="25"/>
        <v/>
      </c>
    </row>
    <row r="819" spans="1:9" ht="13.8">
      <c r="A819" s="20">
        <f t="shared" ca="1" si="24"/>
        <v>42458</v>
      </c>
      <c r="B819" s="21" t="str">
        <f ca="1"/>
        <v>2016-03-29</v>
      </c>
      <c r="C819" s="22">
        <f ca="1"/>
        <v>53.66</v>
      </c>
      <c r="D819" s="22">
        <f ca="1"/>
        <v>54.860000999999997</v>
      </c>
      <c r="E819" s="22">
        <f ca="1"/>
        <v>53.450001</v>
      </c>
      <c r="F819" s="22">
        <f ca="1"/>
        <v>54.709999000000003</v>
      </c>
      <c r="G819" s="22">
        <f ca="1"/>
        <v>49.402180000000001</v>
      </c>
      <c r="H819" s="69">
        <f ca="1"/>
        <v>23924300</v>
      </c>
      <c r="I819" s="23" t="str">
        <f t="shared" ca="1" si="25"/>
        <v/>
      </c>
    </row>
    <row r="820" spans="1:9" ht="13.8">
      <c r="A820" s="20">
        <f t="shared" ca="1" si="24"/>
        <v>42459</v>
      </c>
      <c r="B820" s="21" t="str">
        <f ca="1"/>
        <v>2016-03-30</v>
      </c>
      <c r="C820" s="22">
        <f ca="1"/>
        <v>54.93</v>
      </c>
      <c r="D820" s="22">
        <f ca="1"/>
        <v>55.639999000000003</v>
      </c>
      <c r="E820" s="22">
        <f ca="1"/>
        <v>54.900002000000001</v>
      </c>
      <c r="F820" s="22">
        <f ca="1"/>
        <v>55.049999</v>
      </c>
      <c r="G820" s="22">
        <f ca="1"/>
        <v>49.70919</v>
      </c>
      <c r="H820" s="69">
        <f ca="1"/>
        <v>23008300</v>
      </c>
      <c r="I820" s="23" t="str">
        <f t="shared" ca="1" si="25"/>
        <v/>
      </c>
    </row>
    <row r="821" spans="1:9" ht="13.8">
      <c r="A821" s="20">
        <f t="shared" ca="1" si="24"/>
        <v>42460</v>
      </c>
      <c r="B821" s="21" t="str">
        <f ca="1"/>
        <v>2016-03-31</v>
      </c>
      <c r="C821" s="22">
        <f ca="1"/>
        <v>54.950001</v>
      </c>
      <c r="D821" s="22">
        <f ca="1"/>
        <v>55.59</v>
      </c>
      <c r="E821" s="22">
        <f ca="1"/>
        <v>54.860000999999997</v>
      </c>
      <c r="F821" s="22">
        <f ca="1"/>
        <v>55.23</v>
      </c>
      <c r="G821" s="22">
        <f ca="1"/>
        <v>49.871727</v>
      </c>
      <c r="H821" s="69">
        <f ca="1"/>
        <v>26360500</v>
      </c>
      <c r="I821" s="23" t="str">
        <f t="shared" ca="1" si="25"/>
        <v/>
      </c>
    </row>
    <row r="822" spans="1:9" ht="13.8">
      <c r="A822" s="20">
        <f t="shared" ca="1" si="24"/>
        <v>42461</v>
      </c>
      <c r="B822" s="21" t="str">
        <f ca="1"/>
        <v>2016-04-01</v>
      </c>
      <c r="C822" s="22">
        <f ca="1"/>
        <v>55.049999</v>
      </c>
      <c r="D822" s="22">
        <f ca="1"/>
        <v>55.610000999999997</v>
      </c>
      <c r="E822" s="22">
        <f ca="1"/>
        <v>54.57</v>
      </c>
      <c r="F822" s="22">
        <f ca="1"/>
        <v>55.57</v>
      </c>
      <c r="G822" s="22">
        <f ca="1"/>
        <v>50.178753</v>
      </c>
      <c r="H822" s="69">
        <f ca="1"/>
        <v>24399200</v>
      </c>
      <c r="I822" s="23" t="str">
        <f t="shared" ca="1" si="25"/>
        <v/>
      </c>
    </row>
    <row r="823" spans="1:9" ht="13.8">
      <c r="A823" s="20">
        <f t="shared" ca="1" si="24"/>
        <v>42464</v>
      </c>
      <c r="B823" s="21" t="str">
        <f ca="1"/>
        <v>2016-04-04</v>
      </c>
      <c r="C823" s="22">
        <f ca="1"/>
        <v>55.43</v>
      </c>
      <c r="D823" s="22">
        <f ca="1"/>
        <v>55.66</v>
      </c>
      <c r="E823" s="22">
        <f ca="1"/>
        <v>55</v>
      </c>
      <c r="F823" s="22">
        <f ca="1"/>
        <v>55.43</v>
      </c>
      <c r="G823" s="22">
        <f ca="1"/>
        <v>50.052326000000001</v>
      </c>
      <c r="H823" s="69">
        <f ca="1"/>
        <v>18928800</v>
      </c>
      <c r="I823" s="23" t="str">
        <f t="shared" ca="1" si="25"/>
        <v/>
      </c>
    </row>
    <row r="824" spans="1:9" ht="13.8">
      <c r="A824" s="20">
        <f t="shared" ca="1" si="24"/>
        <v>42465</v>
      </c>
      <c r="B824" s="21" t="str">
        <f ca="1"/>
        <v>2016-04-05</v>
      </c>
      <c r="C824" s="22">
        <f ca="1"/>
        <v>55.189999</v>
      </c>
      <c r="D824" s="22">
        <f ca="1"/>
        <v>55.299999</v>
      </c>
      <c r="E824" s="22">
        <f ca="1"/>
        <v>54.459999000000003</v>
      </c>
      <c r="F824" s="22">
        <f ca="1"/>
        <v>54.560001</v>
      </c>
      <c r="G824" s="22">
        <f ca="1"/>
        <v>49.266739000000001</v>
      </c>
      <c r="H824" s="69">
        <f ca="1"/>
        <v>19272300</v>
      </c>
      <c r="I824" s="23" t="str">
        <f t="shared" ca="1" si="25"/>
        <v/>
      </c>
    </row>
    <row r="825" spans="1:9" ht="13.8">
      <c r="A825" s="20">
        <f t="shared" ca="1" si="24"/>
        <v>42466</v>
      </c>
      <c r="B825" s="21" t="str">
        <f ca="1"/>
        <v>2016-04-06</v>
      </c>
      <c r="C825" s="22">
        <f ca="1"/>
        <v>54.360000999999997</v>
      </c>
      <c r="D825" s="22">
        <f ca="1"/>
        <v>55.200001</v>
      </c>
      <c r="E825" s="22">
        <f ca="1"/>
        <v>54.209999000000003</v>
      </c>
      <c r="F825" s="22">
        <f ca="1"/>
        <v>55.119999</v>
      </c>
      <c r="G825" s="22">
        <f ca="1"/>
        <v>49.772407999999999</v>
      </c>
      <c r="H825" s="69">
        <f ca="1"/>
        <v>21188700</v>
      </c>
      <c r="I825" s="23" t="str">
        <f t="shared" ca="1" si="25"/>
        <v/>
      </c>
    </row>
    <row r="826" spans="1:9" ht="13.8">
      <c r="A826" s="20">
        <f t="shared" ca="1" si="24"/>
        <v>42467</v>
      </c>
      <c r="B826" s="21" t="str">
        <f ca="1"/>
        <v>2016-04-07</v>
      </c>
      <c r="C826" s="22">
        <f ca="1"/>
        <v>54.869999</v>
      </c>
      <c r="D826" s="22">
        <f ca="1"/>
        <v>54.91</v>
      </c>
      <c r="E826" s="22">
        <f ca="1"/>
        <v>54.23</v>
      </c>
      <c r="F826" s="22">
        <f ca="1"/>
        <v>54.459999000000003</v>
      </c>
      <c r="G826" s="22">
        <f ca="1"/>
        <v>49.176434</v>
      </c>
      <c r="H826" s="69">
        <f ca="1"/>
        <v>19225100</v>
      </c>
      <c r="I826" s="23" t="str">
        <f t="shared" ca="1" si="25"/>
        <v/>
      </c>
    </row>
    <row r="827" spans="1:9" ht="13.8">
      <c r="A827" s="20">
        <f t="shared" ca="1" si="24"/>
        <v>42468</v>
      </c>
      <c r="B827" s="21" t="str">
        <f ca="1"/>
        <v>2016-04-08</v>
      </c>
      <c r="C827" s="22">
        <f ca="1"/>
        <v>54.669998</v>
      </c>
      <c r="D827" s="22">
        <f ca="1"/>
        <v>55.279998999999997</v>
      </c>
      <c r="E827" s="22">
        <f ca="1"/>
        <v>54.32</v>
      </c>
      <c r="F827" s="22">
        <f ca="1"/>
        <v>54.419998</v>
      </c>
      <c r="G827" s="22">
        <f ca="1"/>
        <v>49.140315999999999</v>
      </c>
      <c r="H827" s="69">
        <f ca="1"/>
        <v>22167200</v>
      </c>
      <c r="I827" s="23" t="str">
        <f t="shared" ca="1" si="25"/>
        <v/>
      </c>
    </row>
    <row r="828" spans="1:9" ht="13.8">
      <c r="A828" s="20">
        <f t="shared" ca="1" si="24"/>
        <v>42471</v>
      </c>
      <c r="B828" s="21" t="str">
        <f ca="1"/>
        <v>2016-04-11</v>
      </c>
      <c r="C828" s="22">
        <f ca="1"/>
        <v>54.490001999999997</v>
      </c>
      <c r="D828" s="22">
        <f ca="1"/>
        <v>55.150002000000001</v>
      </c>
      <c r="E828" s="22">
        <f ca="1"/>
        <v>54.299999</v>
      </c>
      <c r="F828" s="22">
        <f ca="1"/>
        <v>54.310001</v>
      </c>
      <c r="G828" s="22">
        <f ca="1"/>
        <v>49.040996999999997</v>
      </c>
      <c r="H828" s="69">
        <f ca="1"/>
        <v>21414200</v>
      </c>
      <c r="I828" s="23" t="str">
        <f t="shared" ca="1" si="25"/>
        <v/>
      </c>
    </row>
    <row r="829" spans="1:9" ht="13.8">
      <c r="A829" s="20">
        <f t="shared" ca="1" si="24"/>
        <v>42472</v>
      </c>
      <c r="B829" s="21" t="str">
        <f ca="1"/>
        <v>2016-04-12</v>
      </c>
      <c r="C829" s="22">
        <f ca="1"/>
        <v>54.369999</v>
      </c>
      <c r="D829" s="22">
        <f ca="1"/>
        <v>54.779998999999997</v>
      </c>
      <c r="E829" s="22">
        <f ca="1"/>
        <v>53.759998000000003</v>
      </c>
      <c r="F829" s="22">
        <f ca="1"/>
        <v>54.650002000000001</v>
      </c>
      <c r="G829" s="22">
        <f ca="1"/>
        <v>49.348002999999999</v>
      </c>
      <c r="H829" s="69">
        <f ca="1"/>
        <v>24944300</v>
      </c>
      <c r="I829" s="23" t="str">
        <f t="shared" ca="1" si="25"/>
        <v/>
      </c>
    </row>
    <row r="830" spans="1:9" ht="13.8">
      <c r="A830" s="20">
        <f t="shared" ca="1" si="24"/>
        <v>42473</v>
      </c>
      <c r="B830" s="21" t="str">
        <f ca="1"/>
        <v>2016-04-13</v>
      </c>
      <c r="C830" s="22">
        <f ca="1"/>
        <v>55.119999</v>
      </c>
      <c r="D830" s="22">
        <f ca="1"/>
        <v>55.439999</v>
      </c>
      <c r="E830" s="22">
        <f ca="1"/>
        <v>54.889999000000003</v>
      </c>
      <c r="F830" s="22">
        <f ca="1"/>
        <v>55.349997999999999</v>
      </c>
      <c r="G830" s="22">
        <f ca="1"/>
        <v>49.980083</v>
      </c>
      <c r="H830" s="69">
        <f ca="1"/>
        <v>20818000</v>
      </c>
      <c r="I830" s="23" t="str">
        <f t="shared" ca="1" si="25"/>
        <v/>
      </c>
    </row>
    <row r="831" spans="1:9" ht="13.8">
      <c r="A831" s="20">
        <f t="shared" ca="1" si="24"/>
        <v>42474</v>
      </c>
      <c r="B831" s="21" t="str">
        <f ca="1"/>
        <v>2016-04-14</v>
      </c>
      <c r="C831" s="22">
        <f ca="1"/>
        <v>55.220001000000003</v>
      </c>
      <c r="D831" s="22">
        <f ca="1"/>
        <v>55.580002</v>
      </c>
      <c r="E831" s="22">
        <f ca="1"/>
        <v>55.07</v>
      </c>
      <c r="F831" s="22">
        <f ca="1"/>
        <v>55.360000999999997</v>
      </c>
      <c r="G831" s="22">
        <f ca="1"/>
        <v>49.98912</v>
      </c>
      <c r="H831" s="69">
        <f ca="1"/>
        <v>20877100</v>
      </c>
      <c r="I831" s="23" t="str">
        <f t="shared" ca="1" si="25"/>
        <v/>
      </c>
    </row>
    <row r="832" spans="1:9" ht="13.8">
      <c r="A832" s="20">
        <f t="shared" ca="1" si="24"/>
        <v>42475</v>
      </c>
      <c r="B832" s="21" t="str">
        <f ca="1"/>
        <v>2016-04-15</v>
      </c>
      <c r="C832" s="22">
        <f ca="1"/>
        <v>55.299999</v>
      </c>
      <c r="D832" s="22">
        <f ca="1"/>
        <v>55.919998</v>
      </c>
      <c r="E832" s="22">
        <f ca="1"/>
        <v>55.110000999999997</v>
      </c>
      <c r="F832" s="22">
        <f ca="1"/>
        <v>55.650002000000001</v>
      </c>
      <c r="G832" s="22">
        <f ca="1"/>
        <v>50.250991999999997</v>
      </c>
      <c r="H832" s="69">
        <f ca="1"/>
        <v>28793800</v>
      </c>
      <c r="I832" s="23" t="str">
        <f t="shared" ca="1" si="25"/>
        <v/>
      </c>
    </row>
    <row r="833" spans="1:9" ht="13.8">
      <c r="A833" s="20">
        <f t="shared" ca="1" si="24"/>
        <v>42478</v>
      </c>
      <c r="B833" s="21" t="str">
        <f ca="1"/>
        <v>2016-04-18</v>
      </c>
      <c r="C833" s="22">
        <f ca="1"/>
        <v>55.490001999999997</v>
      </c>
      <c r="D833" s="22">
        <f ca="1"/>
        <v>56.59</v>
      </c>
      <c r="E833" s="22">
        <f ca="1"/>
        <v>55.209999000000003</v>
      </c>
      <c r="F833" s="22">
        <f ca="1"/>
        <v>56.459999000000003</v>
      </c>
      <c r="G833" s="22">
        <f ca="1"/>
        <v>50.982399000000001</v>
      </c>
      <c r="H833" s="69">
        <f ca="1"/>
        <v>23786000</v>
      </c>
      <c r="I833" s="23" t="str">
        <f t="shared" ca="1" si="25"/>
        <v/>
      </c>
    </row>
    <row r="834" spans="1:9" ht="13.8">
      <c r="A834" s="20">
        <f t="shared" ca="1" si="24"/>
        <v>42479</v>
      </c>
      <c r="B834" s="21" t="str">
        <f ca="1"/>
        <v>2016-04-19</v>
      </c>
      <c r="C834" s="22">
        <f ca="1"/>
        <v>56.630001</v>
      </c>
      <c r="D834" s="22">
        <f ca="1"/>
        <v>56.77</v>
      </c>
      <c r="E834" s="22">
        <f ca="1"/>
        <v>55.68</v>
      </c>
      <c r="F834" s="22">
        <f ca="1"/>
        <v>56.389999000000003</v>
      </c>
      <c r="G834" s="22">
        <f ca="1"/>
        <v>50.919186000000003</v>
      </c>
      <c r="H834" s="69">
        <f ca="1"/>
        <v>29596800</v>
      </c>
      <c r="I834" s="23" t="str">
        <f t="shared" ca="1" si="25"/>
        <v/>
      </c>
    </row>
    <row r="835" spans="1:9" ht="13.8">
      <c r="A835" s="20">
        <f t="shared" ca="1" si="24"/>
        <v>42480</v>
      </c>
      <c r="B835" s="21" t="str">
        <f ca="1"/>
        <v>2016-04-20</v>
      </c>
      <c r="C835" s="22">
        <f ca="1"/>
        <v>56.290000999999997</v>
      </c>
      <c r="D835" s="22">
        <f ca="1"/>
        <v>56.5</v>
      </c>
      <c r="E835" s="22">
        <f ca="1"/>
        <v>55.490001999999997</v>
      </c>
      <c r="F835" s="22">
        <f ca="1"/>
        <v>55.59</v>
      </c>
      <c r="G835" s="22">
        <f ca="1"/>
        <v>50.196800000000003</v>
      </c>
      <c r="H835" s="69">
        <f ca="1"/>
        <v>36195700</v>
      </c>
      <c r="I835" s="23" t="str">
        <f t="shared" ca="1" si="25"/>
        <v/>
      </c>
    </row>
    <row r="836" spans="1:9" ht="13.8">
      <c r="A836" s="20">
        <f t="shared" ca="1" si="24"/>
        <v>42481</v>
      </c>
      <c r="B836" s="21" t="str">
        <f ca="1"/>
        <v>2016-04-21</v>
      </c>
      <c r="C836" s="22">
        <f ca="1"/>
        <v>55.799999</v>
      </c>
      <c r="D836" s="22">
        <f ca="1"/>
        <v>56.23</v>
      </c>
      <c r="E836" s="22">
        <f ca="1"/>
        <v>55.419998</v>
      </c>
      <c r="F836" s="22">
        <f ca="1"/>
        <v>55.779998999999997</v>
      </c>
      <c r="G836" s="22">
        <f ca="1"/>
        <v>50.368369999999999</v>
      </c>
      <c r="H836" s="69">
        <f ca="1"/>
        <v>38909100</v>
      </c>
      <c r="I836" s="23" t="str">
        <f t="shared" ca="1" si="25"/>
        <v/>
      </c>
    </row>
    <row r="837" spans="1:9" ht="13.8">
      <c r="A837" s="20">
        <f t="shared" ca="1" si="24"/>
        <v>42482</v>
      </c>
      <c r="B837" s="21" t="str">
        <f ca="1"/>
        <v>2016-04-22</v>
      </c>
      <c r="C837" s="22">
        <f ca="1"/>
        <v>51.91</v>
      </c>
      <c r="D837" s="22">
        <f ca="1"/>
        <v>52.43</v>
      </c>
      <c r="E837" s="22">
        <f ca="1"/>
        <v>50.77</v>
      </c>
      <c r="F837" s="22">
        <f ca="1"/>
        <v>51.779998999999997</v>
      </c>
      <c r="G837" s="22">
        <f ca="1"/>
        <v>46.756442999999997</v>
      </c>
      <c r="H837" s="69">
        <f ca="1"/>
        <v>126834100</v>
      </c>
      <c r="I837" s="23" t="str">
        <f t="shared" ca="1" si="25"/>
        <v/>
      </c>
    </row>
    <row r="838" spans="1:9" ht="13.8">
      <c r="A838" s="20">
        <f t="shared" ref="A838:A901" ca="1" si="26">IFERROR(DATEVALUE($B838),"--")</f>
        <v>42485</v>
      </c>
      <c r="B838" s="21" t="str">
        <f ca="1"/>
        <v>2016-04-25</v>
      </c>
      <c r="C838" s="22">
        <f ca="1"/>
        <v>51.779998999999997</v>
      </c>
      <c r="D838" s="22">
        <f ca="1"/>
        <v>52.130001</v>
      </c>
      <c r="E838" s="22">
        <f ca="1"/>
        <v>51.630001</v>
      </c>
      <c r="F838" s="22">
        <f ca="1"/>
        <v>52.110000999999997</v>
      </c>
      <c r="G838" s="22">
        <f ca="1"/>
        <v>47.05442</v>
      </c>
      <c r="H838" s="69">
        <f ca="1"/>
        <v>33226900</v>
      </c>
      <c r="I838" s="23" t="str">
        <f t="shared" ref="I838:I901" ca="1" si="27">IFERROR(IF(Ticker&lt;&gt;$Q$2,"",INDEX($P:$P,MATCH($A838,$O:$O,0))),"")</f>
        <v/>
      </c>
    </row>
    <row r="839" spans="1:9" ht="13.8">
      <c r="A839" s="20">
        <f t="shared" ca="1" si="26"/>
        <v>42486</v>
      </c>
      <c r="B839" s="21" t="str">
        <f ca="1"/>
        <v>2016-04-26</v>
      </c>
      <c r="C839" s="22">
        <f ca="1"/>
        <v>52.259998000000003</v>
      </c>
      <c r="D839" s="22">
        <f ca="1"/>
        <v>52.349997999999999</v>
      </c>
      <c r="E839" s="22">
        <f ca="1"/>
        <v>51.09</v>
      </c>
      <c r="F839" s="22">
        <f ca="1"/>
        <v>51.439999</v>
      </c>
      <c r="G839" s="22">
        <f ca="1"/>
        <v>46.449440000000003</v>
      </c>
      <c r="H839" s="69">
        <f ca="1"/>
        <v>33532600</v>
      </c>
      <c r="I839" s="23" t="str">
        <f t="shared" ca="1" si="27"/>
        <v/>
      </c>
    </row>
    <row r="840" spans="1:9" ht="13.8">
      <c r="A840" s="20">
        <f t="shared" ca="1" si="26"/>
        <v>42487</v>
      </c>
      <c r="B840" s="21" t="str">
        <f ca="1"/>
        <v>2016-04-27</v>
      </c>
      <c r="C840" s="22">
        <f ca="1"/>
        <v>51.48</v>
      </c>
      <c r="D840" s="22">
        <f ca="1"/>
        <v>51.5</v>
      </c>
      <c r="E840" s="22">
        <f ca="1"/>
        <v>50.549999</v>
      </c>
      <c r="F840" s="22">
        <f ca="1"/>
        <v>50.939999</v>
      </c>
      <c r="G840" s="22">
        <f ca="1"/>
        <v>45.997936000000003</v>
      </c>
      <c r="H840" s="69">
        <f ca="1"/>
        <v>43369300</v>
      </c>
      <c r="I840" s="23" t="str">
        <f t="shared" ca="1" si="27"/>
        <v/>
      </c>
    </row>
    <row r="841" spans="1:9" ht="13.8">
      <c r="A841" s="20">
        <f t="shared" ca="1" si="26"/>
        <v>42488</v>
      </c>
      <c r="B841" s="21" t="str">
        <f ca="1"/>
        <v>2016-04-28</v>
      </c>
      <c r="C841" s="22">
        <f ca="1"/>
        <v>50.619999</v>
      </c>
      <c r="D841" s="22">
        <f ca="1"/>
        <v>50.77</v>
      </c>
      <c r="E841" s="22">
        <f ca="1"/>
        <v>49.560001</v>
      </c>
      <c r="F841" s="22">
        <f ca="1"/>
        <v>49.900002000000001</v>
      </c>
      <c r="G841" s="22">
        <f ca="1"/>
        <v>45.058826000000003</v>
      </c>
      <c r="H841" s="69">
        <f ca="1"/>
        <v>43134800</v>
      </c>
      <c r="I841" s="23" t="str">
        <f t="shared" ca="1" si="27"/>
        <v/>
      </c>
    </row>
    <row r="842" spans="1:9" ht="13.8">
      <c r="A842" s="20">
        <f t="shared" ca="1" si="26"/>
        <v>42489</v>
      </c>
      <c r="B842" s="21" t="str">
        <f ca="1"/>
        <v>2016-04-29</v>
      </c>
      <c r="C842" s="22">
        <f ca="1"/>
        <v>49.349997999999999</v>
      </c>
      <c r="D842" s="22">
        <f ca="1"/>
        <v>50.25</v>
      </c>
      <c r="E842" s="22">
        <f ca="1"/>
        <v>49.349997999999999</v>
      </c>
      <c r="F842" s="22">
        <f ca="1"/>
        <v>49.869999</v>
      </c>
      <c r="G842" s="22">
        <f ca="1"/>
        <v>45.031742000000001</v>
      </c>
      <c r="H842" s="69">
        <f ca="1"/>
        <v>48411700</v>
      </c>
      <c r="I842" s="23" t="str">
        <f t="shared" ca="1" si="27"/>
        <v/>
      </c>
    </row>
    <row r="843" spans="1:9" ht="13.8">
      <c r="A843" s="20">
        <f t="shared" ca="1" si="26"/>
        <v>42492</v>
      </c>
      <c r="B843" s="21" t="str">
        <f ca="1"/>
        <v>2016-05-02</v>
      </c>
      <c r="C843" s="22">
        <f ca="1"/>
        <v>50</v>
      </c>
      <c r="D843" s="22">
        <f ca="1"/>
        <v>50.75</v>
      </c>
      <c r="E843" s="22">
        <f ca="1"/>
        <v>49.779998999999997</v>
      </c>
      <c r="F843" s="22">
        <f ca="1"/>
        <v>50.610000999999997</v>
      </c>
      <c r="G843" s="22">
        <f ca="1"/>
        <v>45.699947000000002</v>
      </c>
      <c r="H843" s="69">
        <f ca="1"/>
        <v>33114500</v>
      </c>
      <c r="I843" s="23" t="str">
        <f t="shared" ca="1" si="27"/>
        <v/>
      </c>
    </row>
    <row r="844" spans="1:9" ht="13.8">
      <c r="A844" s="20">
        <f t="shared" ca="1" si="26"/>
        <v>42493</v>
      </c>
      <c r="B844" s="21" t="str">
        <f ca="1"/>
        <v>2016-05-03</v>
      </c>
      <c r="C844" s="22">
        <f ca="1"/>
        <v>50.34</v>
      </c>
      <c r="D844" s="22">
        <f ca="1"/>
        <v>50.41</v>
      </c>
      <c r="E844" s="22">
        <f ca="1"/>
        <v>49.599997999999999</v>
      </c>
      <c r="F844" s="22">
        <f ca="1"/>
        <v>49.779998999999997</v>
      </c>
      <c r="G844" s="22">
        <f ca="1"/>
        <v>44.950470000000003</v>
      </c>
      <c r="H844" s="69">
        <f ca="1"/>
        <v>26460200</v>
      </c>
      <c r="I844" s="23" t="str">
        <f t="shared" ca="1" si="27"/>
        <v/>
      </c>
    </row>
    <row r="845" spans="1:9" ht="13.8">
      <c r="A845" s="20">
        <f t="shared" ca="1" si="26"/>
        <v>42494</v>
      </c>
      <c r="B845" s="21" t="str">
        <f ca="1"/>
        <v>2016-05-04</v>
      </c>
      <c r="C845" s="22">
        <f ca="1"/>
        <v>49.84</v>
      </c>
      <c r="D845" s="22">
        <f ca="1"/>
        <v>50.060001</v>
      </c>
      <c r="E845" s="22">
        <f ca="1"/>
        <v>49.459999000000003</v>
      </c>
      <c r="F845" s="22">
        <f ca="1"/>
        <v>49.869999</v>
      </c>
      <c r="G845" s="22">
        <f ca="1"/>
        <v>45.031742000000001</v>
      </c>
      <c r="H845" s="69">
        <f ca="1"/>
        <v>24257600</v>
      </c>
      <c r="I845" s="23" t="str">
        <f t="shared" ca="1" si="27"/>
        <v/>
      </c>
    </row>
    <row r="846" spans="1:9" ht="13.8">
      <c r="A846" s="20">
        <f t="shared" ca="1" si="26"/>
        <v>42495</v>
      </c>
      <c r="B846" s="21" t="str">
        <f ca="1"/>
        <v>2016-05-05</v>
      </c>
      <c r="C846" s="22">
        <f ca="1"/>
        <v>49.869999</v>
      </c>
      <c r="D846" s="22">
        <f ca="1"/>
        <v>50.299999</v>
      </c>
      <c r="E846" s="22">
        <f ca="1"/>
        <v>49.73</v>
      </c>
      <c r="F846" s="22">
        <f ca="1"/>
        <v>49.939999</v>
      </c>
      <c r="G846" s="22">
        <f ca="1"/>
        <v>45.094951999999999</v>
      </c>
      <c r="H846" s="69">
        <f ca="1"/>
        <v>25390700</v>
      </c>
      <c r="I846" s="23" t="str">
        <f t="shared" ca="1" si="27"/>
        <v/>
      </c>
    </row>
    <row r="847" spans="1:9" ht="13.8">
      <c r="A847" s="20">
        <f t="shared" ca="1" si="26"/>
        <v>42496</v>
      </c>
      <c r="B847" s="21" t="str">
        <f ca="1"/>
        <v>2016-05-06</v>
      </c>
      <c r="C847" s="22">
        <f ca="1"/>
        <v>49.919998</v>
      </c>
      <c r="D847" s="22">
        <f ca="1"/>
        <v>50.389999000000003</v>
      </c>
      <c r="E847" s="22">
        <f ca="1"/>
        <v>49.66</v>
      </c>
      <c r="F847" s="22">
        <f ca="1"/>
        <v>50.389999000000003</v>
      </c>
      <c r="G847" s="22">
        <f ca="1"/>
        <v>45.501289</v>
      </c>
      <c r="H847" s="69">
        <f ca="1"/>
        <v>24787300</v>
      </c>
      <c r="I847" s="23" t="str">
        <f t="shared" ca="1" si="27"/>
        <v/>
      </c>
    </row>
    <row r="848" spans="1:9" ht="13.8">
      <c r="A848" s="20">
        <f t="shared" ca="1" si="26"/>
        <v>42499</v>
      </c>
      <c r="B848" s="21" t="str">
        <f ca="1"/>
        <v>2016-05-09</v>
      </c>
      <c r="C848" s="22">
        <f ca="1"/>
        <v>50.490001999999997</v>
      </c>
      <c r="D848" s="22">
        <f ca="1"/>
        <v>50.59</v>
      </c>
      <c r="E848" s="22">
        <f ca="1"/>
        <v>50</v>
      </c>
      <c r="F848" s="22">
        <f ca="1"/>
        <v>50.07</v>
      </c>
      <c r="G848" s="22">
        <f ca="1"/>
        <v>45.212336999999998</v>
      </c>
      <c r="H848" s="69">
        <f ca="1"/>
        <v>17951600</v>
      </c>
      <c r="I848" s="23" t="str">
        <f t="shared" ca="1" si="27"/>
        <v/>
      </c>
    </row>
    <row r="849" spans="1:9" ht="13.8">
      <c r="A849" s="20">
        <f t="shared" ca="1" si="26"/>
        <v>42500</v>
      </c>
      <c r="B849" s="21" t="str">
        <f ca="1"/>
        <v>2016-05-10</v>
      </c>
      <c r="C849" s="22">
        <f ca="1"/>
        <v>50.330002</v>
      </c>
      <c r="D849" s="22">
        <f ca="1"/>
        <v>51.099997999999999</v>
      </c>
      <c r="E849" s="22">
        <f ca="1"/>
        <v>50.189999</v>
      </c>
      <c r="F849" s="22">
        <f ca="1"/>
        <v>51.02</v>
      </c>
      <c r="G849" s="22">
        <f ca="1"/>
        <v>46.070174999999999</v>
      </c>
      <c r="H849" s="69">
        <f ca="1"/>
        <v>22891000</v>
      </c>
      <c r="I849" s="23" t="str">
        <f t="shared" ca="1" si="27"/>
        <v/>
      </c>
    </row>
    <row r="850" spans="1:9" ht="13.8">
      <c r="A850" s="20">
        <f t="shared" ca="1" si="26"/>
        <v>42501</v>
      </c>
      <c r="B850" s="21" t="str">
        <f ca="1"/>
        <v>2016-05-11</v>
      </c>
      <c r="C850" s="22">
        <f ca="1"/>
        <v>51.130001</v>
      </c>
      <c r="D850" s="22">
        <f ca="1"/>
        <v>51.779998999999997</v>
      </c>
      <c r="E850" s="22">
        <f ca="1"/>
        <v>51</v>
      </c>
      <c r="F850" s="22">
        <f ca="1"/>
        <v>51.049999</v>
      </c>
      <c r="G850" s="22">
        <f ca="1"/>
        <v>46.097259999999999</v>
      </c>
      <c r="H850" s="69">
        <f ca="1"/>
        <v>24039100</v>
      </c>
      <c r="I850" s="23" t="str">
        <f t="shared" ca="1" si="27"/>
        <v/>
      </c>
    </row>
    <row r="851" spans="1:9" ht="13.8">
      <c r="A851" s="20">
        <f t="shared" ca="1" si="26"/>
        <v>42502</v>
      </c>
      <c r="B851" s="21" t="str">
        <f ca="1"/>
        <v>2016-05-12</v>
      </c>
      <c r="C851" s="22">
        <f ca="1"/>
        <v>51.200001</v>
      </c>
      <c r="D851" s="22">
        <f ca="1"/>
        <v>51.810001</v>
      </c>
      <c r="E851" s="22">
        <f ca="1"/>
        <v>50.919998</v>
      </c>
      <c r="F851" s="22">
        <f ca="1"/>
        <v>51.509998000000003</v>
      </c>
      <c r="G851" s="22">
        <f ca="1"/>
        <v>46.512633999999998</v>
      </c>
      <c r="H851" s="69">
        <f ca="1"/>
        <v>24102800</v>
      </c>
      <c r="I851" s="23" t="str">
        <f t="shared" ca="1" si="27"/>
        <v/>
      </c>
    </row>
    <row r="852" spans="1:9" ht="13.8">
      <c r="A852" s="20">
        <f t="shared" ca="1" si="26"/>
        <v>42503</v>
      </c>
      <c r="B852" s="21" t="str">
        <f ca="1"/>
        <v>2016-05-13</v>
      </c>
      <c r="C852" s="22">
        <f ca="1"/>
        <v>51.439999</v>
      </c>
      <c r="D852" s="22">
        <f ca="1"/>
        <v>51.900002000000001</v>
      </c>
      <c r="E852" s="22">
        <f ca="1"/>
        <v>51.040000999999997</v>
      </c>
      <c r="F852" s="22">
        <f ca="1"/>
        <v>51.080002</v>
      </c>
      <c r="G852" s="22">
        <f ca="1"/>
        <v>46.124355000000001</v>
      </c>
      <c r="H852" s="69">
        <f ca="1"/>
        <v>22592300</v>
      </c>
      <c r="I852" s="23" t="str">
        <f t="shared" ca="1" si="27"/>
        <v/>
      </c>
    </row>
    <row r="853" spans="1:9" ht="13.8">
      <c r="A853" s="20">
        <f t="shared" ca="1" si="26"/>
        <v>42506</v>
      </c>
      <c r="B853" s="21" t="str">
        <f ca="1"/>
        <v>2016-05-16</v>
      </c>
      <c r="C853" s="22">
        <f ca="1"/>
        <v>50.799999</v>
      </c>
      <c r="D853" s="22">
        <f ca="1"/>
        <v>51.959999000000003</v>
      </c>
      <c r="E853" s="22">
        <f ca="1"/>
        <v>50.75</v>
      </c>
      <c r="F853" s="22">
        <f ca="1"/>
        <v>51.830002</v>
      </c>
      <c r="G853" s="22">
        <f ca="1"/>
        <v>46.801586</v>
      </c>
      <c r="H853" s="69">
        <f ca="1"/>
        <v>20032000</v>
      </c>
      <c r="I853" s="23" t="str">
        <f t="shared" ca="1" si="27"/>
        <v/>
      </c>
    </row>
    <row r="854" spans="1:9" ht="13.8">
      <c r="A854" s="20">
        <f t="shared" ca="1" si="26"/>
        <v>42507</v>
      </c>
      <c r="B854" s="21" t="str">
        <f ca="1"/>
        <v>2016-05-17</v>
      </c>
      <c r="C854" s="22">
        <f ca="1"/>
        <v>51.720001000000003</v>
      </c>
      <c r="D854" s="22">
        <f ca="1"/>
        <v>51.73</v>
      </c>
      <c r="E854" s="22">
        <f ca="1"/>
        <v>50.360000999999997</v>
      </c>
      <c r="F854" s="22">
        <f ca="1"/>
        <v>50.509998000000003</v>
      </c>
      <c r="G854" s="22">
        <f ca="1"/>
        <v>45.928665000000002</v>
      </c>
      <c r="H854" s="69">
        <f ca="1"/>
        <v>27803500</v>
      </c>
      <c r="I854" s="23">
        <f t="shared" ca="1" si="27"/>
        <v>0.36</v>
      </c>
    </row>
    <row r="855" spans="1:9" ht="13.8">
      <c r="A855" s="20">
        <f t="shared" ca="1" si="26"/>
        <v>42508</v>
      </c>
      <c r="B855" s="21" t="str">
        <f ca="1"/>
        <v>2016-05-18</v>
      </c>
      <c r="C855" s="22">
        <f ca="1"/>
        <v>50.48</v>
      </c>
      <c r="D855" s="22">
        <f ca="1"/>
        <v>51.139999000000003</v>
      </c>
      <c r="E855" s="22">
        <f ca="1"/>
        <v>50.299999</v>
      </c>
      <c r="F855" s="22">
        <f ca="1"/>
        <v>50.810001</v>
      </c>
      <c r="G855" s="22">
        <f ca="1"/>
        <v>46.201453999999998</v>
      </c>
      <c r="H855" s="69">
        <f ca="1"/>
        <v>24907500</v>
      </c>
      <c r="I855" s="23" t="str">
        <f t="shared" ca="1" si="27"/>
        <v/>
      </c>
    </row>
    <row r="856" spans="1:9" ht="13.8">
      <c r="A856" s="20">
        <f t="shared" ca="1" si="26"/>
        <v>42509</v>
      </c>
      <c r="B856" s="21" t="str">
        <f ca="1"/>
        <v>2016-05-19</v>
      </c>
      <c r="C856" s="22">
        <f ca="1"/>
        <v>50.470001000000003</v>
      </c>
      <c r="D856" s="22">
        <f ca="1"/>
        <v>50.619999</v>
      </c>
      <c r="E856" s="22">
        <f ca="1"/>
        <v>49.82</v>
      </c>
      <c r="F856" s="22">
        <f ca="1"/>
        <v>50.32</v>
      </c>
      <c r="G856" s="22">
        <f ca="1"/>
        <v>45.755893999999998</v>
      </c>
      <c r="H856" s="69">
        <f ca="1"/>
        <v>23842400</v>
      </c>
      <c r="I856" s="23" t="str">
        <f t="shared" ca="1" si="27"/>
        <v/>
      </c>
    </row>
    <row r="857" spans="1:9" ht="13.8">
      <c r="A857" s="20">
        <f t="shared" ca="1" si="26"/>
        <v>42510</v>
      </c>
      <c r="B857" s="21" t="str">
        <f ca="1"/>
        <v>2016-05-20</v>
      </c>
      <c r="C857" s="22">
        <f ca="1"/>
        <v>50.48</v>
      </c>
      <c r="D857" s="22">
        <f ca="1"/>
        <v>51.220001000000003</v>
      </c>
      <c r="E857" s="22">
        <f ca="1"/>
        <v>50.400002000000001</v>
      </c>
      <c r="F857" s="22">
        <f ca="1"/>
        <v>50.619999</v>
      </c>
      <c r="G857" s="22">
        <f ca="1"/>
        <v>46.028683000000001</v>
      </c>
      <c r="H857" s="69">
        <f ca="1"/>
        <v>23905800</v>
      </c>
      <c r="I857" s="23" t="str">
        <f t="shared" ca="1" si="27"/>
        <v/>
      </c>
    </row>
    <row r="858" spans="1:9" ht="13.8">
      <c r="A858" s="20">
        <f t="shared" ca="1" si="26"/>
        <v>42513</v>
      </c>
      <c r="B858" s="21" t="str">
        <f ca="1"/>
        <v>2016-05-23</v>
      </c>
      <c r="C858" s="22">
        <f ca="1"/>
        <v>50.599997999999999</v>
      </c>
      <c r="D858" s="22">
        <f ca="1"/>
        <v>50.68</v>
      </c>
      <c r="E858" s="22">
        <f ca="1"/>
        <v>49.98</v>
      </c>
      <c r="F858" s="22">
        <f ca="1"/>
        <v>50.029998999999997</v>
      </c>
      <c r="G858" s="22">
        <f ca="1"/>
        <v>45.492198999999999</v>
      </c>
      <c r="H858" s="69">
        <f ca="1"/>
        <v>26118700</v>
      </c>
      <c r="I858" s="23" t="str">
        <f t="shared" ca="1" si="27"/>
        <v/>
      </c>
    </row>
    <row r="859" spans="1:9" ht="13.8">
      <c r="A859" s="20">
        <f t="shared" ca="1" si="26"/>
        <v>42514</v>
      </c>
      <c r="B859" s="21" t="str">
        <f ca="1"/>
        <v>2016-05-24</v>
      </c>
      <c r="C859" s="22">
        <f ca="1"/>
        <v>50.700001</v>
      </c>
      <c r="D859" s="22">
        <f ca="1"/>
        <v>51.709999000000003</v>
      </c>
      <c r="E859" s="22">
        <f ca="1"/>
        <v>50.400002000000001</v>
      </c>
      <c r="F859" s="22">
        <f ca="1"/>
        <v>51.59</v>
      </c>
      <c r="G859" s="22">
        <f ca="1"/>
        <v>46.910697999999996</v>
      </c>
      <c r="H859" s="69">
        <f ca="1"/>
        <v>34757900</v>
      </c>
      <c r="I859" s="23" t="str">
        <f t="shared" ca="1" si="27"/>
        <v/>
      </c>
    </row>
    <row r="860" spans="1:9" ht="13.8">
      <c r="A860" s="20">
        <f t="shared" ca="1" si="26"/>
        <v>42515</v>
      </c>
      <c r="B860" s="21" t="str">
        <f ca="1"/>
        <v>2016-05-25</v>
      </c>
      <c r="C860" s="22">
        <f ca="1"/>
        <v>51.919998</v>
      </c>
      <c r="D860" s="22">
        <f ca="1"/>
        <v>52.490001999999997</v>
      </c>
      <c r="E860" s="22">
        <f ca="1"/>
        <v>51.790000999999997</v>
      </c>
      <c r="F860" s="22">
        <f ca="1"/>
        <v>52.119999</v>
      </c>
      <c r="G860" s="22">
        <f ca="1"/>
        <v>47.392631999999999</v>
      </c>
      <c r="H860" s="69">
        <f ca="1"/>
        <v>24040200</v>
      </c>
      <c r="I860" s="23" t="str">
        <f t="shared" ca="1" si="27"/>
        <v/>
      </c>
    </row>
    <row r="861" spans="1:9" ht="13.8">
      <c r="A861" s="20">
        <f t="shared" ca="1" si="26"/>
        <v>42516</v>
      </c>
      <c r="B861" s="21" t="str">
        <f ca="1"/>
        <v>2016-05-26</v>
      </c>
      <c r="C861" s="22">
        <f ca="1"/>
        <v>51.93</v>
      </c>
      <c r="D861" s="22">
        <f ca="1"/>
        <v>51.98</v>
      </c>
      <c r="E861" s="22">
        <f ca="1"/>
        <v>51.360000999999997</v>
      </c>
      <c r="F861" s="22">
        <f ca="1"/>
        <v>51.889999000000003</v>
      </c>
      <c r="G861" s="22">
        <f ca="1"/>
        <v>47.183487</v>
      </c>
      <c r="H861" s="69">
        <f ca="1"/>
        <v>24335200</v>
      </c>
      <c r="I861" s="23" t="str">
        <f t="shared" ca="1" si="27"/>
        <v/>
      </c>
    </row>
    <row r="862" spans="1:9" ht="13.8">
      <c r="A862" s="20">
        <f t="shared" ca="1" si="26"/>
        <v>42517</v>
      </c>
      <c r="B862" s="21" t="str">
        <f ca="1"/>
        <v>2016-05-27</v>
      </c>
      <c r="C862" s="22">
        <f ca="1"/>
        <v>51.919998</v>
      </c>
      <c r="D862" s="22">
        <f ca="1"/>
        <v>52.32</v>
      </c>
      <c r="E862" s="22">
        <f ca="1"/>
        <v>51.77</v>
      </c>
      <c r="F862" s="22">
        <f ca="1"/>
        <v>52.32</v>
      </c>
      <c r="G862" s="22">
        <f ca="1"/>
        <v>47.574489999999997</v>
      </c>
      <c r="H862" s="69">
        <f ca="1"/>
        <v>17721400</v>
      </c>
      <c r="I862" s="23" t="str">
        <f t="shared" ca="1" si="27"/>
        <v/>
      </c>
    </row>
    <row r="863" spans="1:9" ht="13.8">
      <c r="A863" s="20">
        <f t="shared" ca="1" si="26"/>
        <v>42521</v>
      </c>
      <c r="B863" s="21" t="str">
        <f ca="1"/>
        <v>2016-05-31</v>
      </c>
      <c r="C863" s="22">
        <f ca="1"/>
        <v>52.259998000000003</v>
      </c>
      <c r="D863" s="22">
        <f ca="1"/>
        <v>53</v>
      </c>
      <c r="E863" s="22">
        <f ca="1"/>
        <v>52.080002</v>
      </c>
      <c r="F863" s="22">
        <f ca="1"/>
        <v>53</v>
      </c>
      <c r="G863" s="22">
        <f ca="1"/>
        <v>48.192810000000001</v>
      </c>
      <c r="H863" s="69">
        <f ca="1"/>
        <v>37653100</v>
      </c>
      <c r="I863" s="23" t="str">
        <f t="shared" ca="1" si="27"/>
        <v/>
      </c>
    </row>
    <row r="864" spans="1:9" ht="13.8">
      <c r="A864" s="20">
        <f t="shared" ca="1" si="26"/>
        <v>42522</v>
      </c>
      <c r="B864" s="21" t="str">
        <f ca="1"/>
        <v>2016-06-01</v>
      </c>
      <c r="C864" s="22">
        <f ca="1"/>
        <v>52.439999</v>
      </c>
      <c r="D864" s="22">
        <f ca="1"/>
        <v>52.950001</v>
      </c>
      <c r="E864" s="22">
        <f ca="1"/>
        <v>52.439999</v>
      </c>
      <c r="F864" s="22">
        <f ca="1"/>
        <v>52.849997999999999</v>
      </c>
      <c r="G864" s="22">
        <f ca="1"/>
        <v>48.056418999999998</v>
      </c>
      <c r="H864" s="69">
        <f ca="1"/>
        <v>25324800</v>
      </c>
      <c r="I864" s="23" t="str">
        <f t="shared" ca="1" si="27"/>
        <v/>
      </c>
    </row>
    <row r="865" spans="1:9" ht="13.8">
      <c r="A865" s="20">
        <f t="shared" ca="1" si="26"/>
        <v>42523</v>
      </c>
      <c r="B865" s="21" t="str">
        <f ca="1"/>
        <v>2016-06-02</v>
      </c>
      <c r="C865" s="22">
        <f ca="1"/>
        <v>52.639999000000003</v>
      </c>
      <c r="D865" s="22">
        <f ca="1"/>
        <v>52.740001999999997</v>
      </c>
      <c r="E865" s="22">
        <f ca="1"/>
        <v>51.84</v>
      </c>
      <c r="F865" s="22">
        <f ca="1"/>
        <v>52.48</v>
      </c>
      <c r="G865" s="22">
        <f ca="1"/>
        <v>47.719982000000002</v>
      </c>
      <c r="H865" s="69">
        <f ca="1"/>
        <v>22840800</v>
      </c>
      <c r="I865" s="23" t="str">
        <f t="shared" ca="1" si="27"/>
        <v/>
      </c>
    </row>
    <row r="866" spans="1:9" ht="13.8">
      <c r="A866" s="20">
        <f t="shared" ca="1" si="26"/>
        <v>42524</v>
      </c>
      <c r="B866" s="21" t="str">
        <f ca="1"/>
        <v>2016-06-03</v>
      </c>
      <c r="C866" s="22">
        <f ca="1"/>
        <v>52.380001</v>
      </c>
      <c r="D866" s="22">
        <f ca="1"/>
        <v>52.419998</v>
      </c>
      <c r="E866" s="22">
        <f ca="1"/>
        <v>51.599997999999999</v>
      </c>
      <c r="F866" s="22">
        <f ca="1"/>
        <v>51.790000999999997</v>
      </c>
      <c r="G866" s="22">
        <f ca="1"/>
        <v>47.092564000000003</v>
      </c>
      <c r="H866" s="69">
        <f ca="1"/>
        <v>23368300</v>
      </c>
      <c r="I866" s="23" t="str">
        <f t="shared" ca="1" si="27"/>
        <v/>
      </c>
    </row>
    <row r="867" spans="1:9" ht="13.8">
      <c r="A867" s="20">
        <f t="shared" ca="1" si="26"/>
        <v>42527</v>
      </c>
      <c r="B867" s="21" t="str">
        <f ca="1"/>
        <v>2016-06-06</v>
      </c>
      <c r="C867" s="22">
        <f ca="1"/>
        <v>51.990001999999997</v>
      </c>
      <c r="D867" s="22">
        <f ca="1"/>
        <v>52.349997999999999</v>
      </c>
      <c r="E867" s="22">
        <f ca="1"/>
        <v>51.889999000000003</v>
      </c>
      <c r="F867" s="22">
        <f ca="1"/>
        <v>52.130001</v>
      </c>
      <c r="G867" s="22">
        <f ca="1"/>
        <v>47.401733</v>
      </c>
      <c r="H867" s="69">
        <f ca="1"/>
        <v>18243300</v>
      </c>
      <c r="I867" s="23" t="str">
        <f t="shared" ca="1" si="27"/>
        <v/>
      </c>
    </row>
    <row r="868" spans="1:9" ht="13.8">
      <c r="A868" s="20">
        <f t="shared" ca="1" si="26"/>
        <v>42528</v>
      </c>
      <c r="B868" s="21" t="str">
        <f ca="1"/>
        <v>2016-06-07</v>
      </c>
      <c r="C868" s="22">
        <f ca="1"/>
        <v>52.240001999999997</v>
      </c>
      <c r="D868" s="22">
        <f ca="1"/>
        <v>52.73</v>
      </c>
      <c r="E868" s="22">
        <f ca="1"/>
        <v>52.099997999999999</v>
      </c>
      <c r="F868" s="22">
        <f ca="1"/>
        <v>52.099997999999999</v>
      </c>
      <c r="G868" s="22">
        <f ca="1"/>
        <v>47.374439000000002</v>
      </c>
      <c r="H868" s="69">
        <f ca="1"/>
        <v>20866800</v>
      </c>
      <c r="I868" s="23" t="str">
        <f t="shared" ca="1" si="27"/>
        <v/>
      </c>
    </row>
    <row r="869" spans="1:9" ht="13.8">
      <c r="A869" s="20">
        <f t="shared" ca="1" si="26"/>
        <v>42529</v>
      </c>
      <c r="B869" s="21" t="str">
        <f ca="1"/>
        <v>2016-06-08</v>
      </c>
      <c r="C869" s="22">
        <f ca="1"/>
        <v>52.02</v>
      </c>
      <c r="D869" s="22">
        <f ca="1"/>
        <v>52.439999</v>
      </c>
      <c r="E869" s="22">
        <f ca="1"/>
        <v>51.869999</v>
      </c>
      <c r="F869" s="22">
        <f ca="1"/>
        <v>52.040000999999997</v>
      </c>
      <c r="G869" s="22">
        <f ca="1"/>
        <v>47.319889000000003</v>
      </c>
      <c r="H869" s="69">
        <f ca="1"/>
        <v>21149400</v>
      </c>
      <c r="I869" s="23" t="str">
        <f t="shared" ca="1" si="27"/>
        <v/>
      </c>
    </row>
    <row r="870" spans="1:9" ht="13.8">
      <c r="A870" s="20">
        <f t="shared" ca="1" si="26"/>
        <v>42530</v>
      </c>
      <c r="B870" s="21" t="str">
        <f ca="1"/>
        <v>2016-06-09</v>
      </c>
      <c r="C870" s="22">
        <f ca="1"/>
        <v>52</v>
      </c>
      <c r="D870" s="22">
        <f ca="1"/>
        <v>52</v>
      </c>
      <c r="E870" s="22">
        <f ca="1"/>
        <v>51.490001999999997</v>
      </c>
      <c r="F870" s="22">
        <f ca="1"/>
        <v>51.619999</v>
      </c>
      <c r="G870" s="22">
        <f ca="1"/>
        <v>46.937976999999997</v>
      </c>
      <c r="H870" s="69">
        <f ca="1"/>
        <v>20305700</v>
      </c>
      <c r="I870" s="23" t="str">
        <f t="shared" ca="1" si="27"/>
        <v/>
      </c>
    </row>
    <row r="871" spans="1:9" ht="13.8">
      <c r="A871" s="20">
        <f t="shared" ca="1" si="26"/>
        <v>42531</v>
      </c>
      <c r="B871" s="21" t="str">
        <f ca="1"/>
        <v>2016-06-10</v>
      </c>
      <c r="C871" s="22">
        <f ca="1"/>
        <v>51.049999</v>
      </c>
      <c r="D871" s="22">
        <f ca="1"/>
        <v>52.049999</v>
      </c>
      <c r="E871" s="22">
        <f ca="1"/>
        <v>51.040000999999997</v>
      </c>
      <c r="F871" s="22">
        <f ca="1"/>
        <v>51.48</v>
      </c>
      <c r="G871" s="22">
        <f ca="1"/>
        <v>46.810687999999999</v>
      </c>
      <c r="H871" s="69">
        <f ca="1"/>
        <v>25833200</v>
      </c>
      <c r="I871" s="23" t="str">
        <f t="shared" ca="1" si="27"/>
        <v/>
      </c>
    </row>
    <row r="872" spans="1:9" ht="13.8">
      <c r="A872" s="20">
        <f t="shared" ca="1" si="26"/>
        <v>42534</v>
      </c>
      <c r="B872" s="21" t="str">
        <f ca="1"/>
        <v>2016-06-13</v>
      </c>
      <c r="C872" s="22">
        <f ca="1"/>
        <v>49.580002</v>
      </c>
      <c r="D872" s="22">
        <f ca="1"/>
        <v>50.720001000000003</v>
      </c>
      <c r="E872" s="22">
        <f ca="1"/>
        <v>49.060001</v>
      </c>
      <c r="F872" s="22">
        <f ca="1"/>
        <v>50.139999000000003</v>
      </c>
      <c r="G872" s="22">
        <f ca="1"/>
        <v>45.592216000000001</v>
      </c>
      <c r="H872" s="69">
        <f ca="1"/>
        <v>83217800</v>
      </c>
      <c r="I872" s="23" t="str">
        <f t="shared" ca="1" si="27"/>
        <v/>
      </c>
    </row>
    <row r="873" spans="1:9" ht="13.8">
      <c r="A873" s="20">
        <f t="shared" ca="1" si="26"/>
        <v>42535</v>
      </c>
      <c r="B873" s="21" t="str">
        <f ca="1"/>
        <v>2016-06-14</v>
      </c>
      <c r="C873" s="22">
        <f ca="1"/>
        <v>49.900002000000001</v>
      </c>
      <c r="D873" s="22">
        <f ca="1"/>
        <v>50.099997999999999</v>
      </c>
      <c r="E873" s="22">
        <f ca="1"/>
        <v>49.57</v>
      </c>
      <c r="F873" s="22">
        <f ca="1"/>
        <v>49.830002</v>
      </c>
      <c r="G873" s="22">
        <f ca="1"/>
        <v>45.310344999999998</v>
      </c>
      <c r="H873" s="69">
        <f ca="1"/>
        <v>42577100</v>
      </c>
      <c r="I873" s="23" t="str">
        <f t="shared" ca="1" si="27"/>
        <v/>
      </c>
    </row>
    <row r="874" spans="1:9" ht="13.8">
      <c r="A874" s="20">
        <f t="shared" ca="1" si="26"/>
        <v>42536</v>
      </c>
      <c r="B874" s="21" t="str">
        <f ca="1"/>
        <v>2016-06-15</v>
      </c>
      <c r="C874" s="22">
        <f ca="1"/>
        <v>49.779998999999997</v>
      </c>
      <c r="D874" s="22">
        <f ca="1"/>
        <v>50.119999</v>
      </c>
      <c r="E874" s="22">
        <f ca="1"/>
        <v>49.689999</v>
      </c>
      <c r="F874" s="22">
        <f ca="1"/>
        <v>49.689999</v>
      </c>
      <c r="G874" s="22">
        <f ca="1"/>
        <v>45.183028999999998</v>
      </c>
      <c r="H874" s="69">
        <f ca="1"/>
        <v>33757600</v>
      </c>
      <c r="I874" s="23" t="str">
        <f t="shared" ca="1" si="27"/>
        <v/>
      </c>
    </row>
    <row r="875" spans="1:9" ht="13.8">
      <c r="A875" s="20">
        <f t="shared" ca="1" si="26"/>
        <v>42537</v>
      </c>
      <c r="B875" s="21" t="str">
        <f ca="1"/>
        <v>2016-06-16</v>
      </c>
      <c r="C875" s="22">
        <f ca="1"/>
        <v>49.52</v>
      </c>
      <c r="D875" s="22">
        <f ca="1"/>
        <v>50.470001000000003</v>
      </c>
      <c r="E875" s="22">
        <f ca="1"/>
        <v>49.509998000000003</v>
      </c>
      <c r="F875" s="22">
        <f ca="1"/>
        <v>50.389999000000003</v>
      </c>
      <c r="G875" s="22">
        <f ca="1"/>
        <v>45.819538000000001</v>
      </c>
      <c r="H875" s="69">
        <f ca="1"/>
        <v>31188600</v>
      </c>
      <c r="I875" s="23" t="str">
        <f t="shared" ca="1" si="27"/>
        <v/>
      </c>
    </row>
    <row r="876" spans="1:9" ht="13.8">
      <c r="A876" s="20">
        <f t="shared" ca="1" si="26"/>
        <v>42538</v>
      </c>
      <c r="B876" s="21" t="str">
        <f ca="1"/>
        <v>2016-06-17</v>
      </c>
      <c r="C876" s="22">
        <f ca="1"/>
        <v>50.41</v>
      </c>
      <c r="D876" s="22">
        <f ca="1"/>
        <v>50.43</v>
      </c>
      <c r="E876" s="22">
        <f ca="1"/>
        <v>49.82</v>
      </c>
      <c r="F876" s="22">
        <f ca="1"/>
        <v>50.130001</v>
      </c>
      <c r="G876" s="22">
        <f ca="1"/>
        <v>45.583134000000001</v>
      </c>
      <c r="H876" s="69">
        <f ca="1"/>
        <v>45710500</v>
      </c>
      <c r="I876" s="23" t="str">
        <f t="shared" ca="1" si="27"/>
        <v/>
      </c>
    </row>
    <row r="877" spans="1:9" ht="13.8">
      <c r="A877" s="20">
        <f t="shared" ca="1" si="26"/>
        <v>42541</v>
      </c>
      <c r="B877" s="21" t="str">
        <f ca="1"/>
        <v>2016-06-20</v>
      </c>
      <c r="C877" s="22">
        <f ca="1"/>
        <v>50.639999000000003</v>
      </c>
      <c r="D877" s="22">
        <f ca="1"/>
        <v>50.830002</v>
      </c>
      <c r="E877" s="22">
        <f ca="1"/>
        <v>50.029998999999997</v>
      </c>
      <c r="F877" s="22">
        <f ca="1"/>
        <v>50.07</v>
      </c>
      <c r="G877" s="22">
        <f ca="1"/>
        <v>45.528568</v>
      </c>
      <c r="H877" s="69">
        <f ca="1"/>
        <v>35607900</v>
      </c>
      <c r="I877" s="23" t="str">
        <f t="shared" ca="1" si="27"/>
        <v/>
      </c>
    </row>
    <row r="878" spans="1:9" ht="13.8">
      <c r="A878" s="20">
        <f t="shared" ca="1" si="26"/>
        <v>42542</v>
      </c>
      <c r="B878" s="21" t="str">
        <f ca="1"/>
        <v>2016-06-21</v>
      </c>
      <c r="C878" s="22">
        <f ca="1"/>
        <v>50.200001</v>
      </c>
      <c r="D878" s="22">
        <f ca="1"/>
        <v>51.43</v>
      </c>
      <c r="E878" s="22">
        <f ca="1"/>
        <v>50.16</v>
      </c>
      <c r="F878" s="22">
        <f ca="1"/>
        <v>51.189999</v>
      </c>
      <c r="G878" s="22">
        <f ca="1"/>
        <v>46.546982</v>
      </c>
      <c r="H878" s="69">
        <f ca="1"/>
        <v>34097800</v>
      </c>
      <c r="I878" s="23" t="str">
        <f t="shared" ca="1" si="27"/>
        <v/>
      </c>
    </row>
    <row r="879" spans="1:9" ht="13.8">
      <c r="A879" s="20">
        <f t="shared" ca="1" si="26"/>
        <v>42543</v>
      </c>
      <c r="B879" s="21" t="str">
        <f ca="1"/>
        <v>2016-06-22</v>
      </c>
      <c r="C879" s="22">
        <f ca="1"/>
        <v>51.080002</v>
      </c>
      <c r="D879" s="22">
        <f ca="1"/>
        <v>51.459999000000003</v>
      </c>
      <c r="E879" s="22">
        <f ca="1"/>
        <v>50.950001</v>
      </c>
      <c r="F879" s="22">
        <f ca="1"/>
        <v>50.990001999999997</v>
      </c>
      <c r="G879" s="22">
        <f ca="1"/>
        <v>46.365127999999999</v>
      </c>
      <c r="H879" s="69">
        <f ca="1"/>
        <v>28816800</v>
      </c>
      <c r="I879" s="23" t="str">
        <f t="shared" ca="1" si="27"/>
        <v/>
      </c>
    </row>
    <row r="880" spans="1:9" ht="13.8">
      <c r="A880" s="20">
        <f t="shared" ca="1" si="26"/>
        <v>42544</v>
      </c>
      <c r="B880" s="21" t="str">
        <f ca="1"/>
        <v>2016-06-23</v>
      </c>
      <c r="C880" s="22">
        <f ca="1"/>
        <v>51.279998999999997</v>
      </c>
      <c r="D880" s="22">
        <f ca="1"/>
        <v>52.060001</v>
      </c>
      <c r="E880" s="22">
        <f ca="1"/>
        <v>51.150002000000001</v>
      </c>
      <c r="F880" s="22">
        <f ca="1"/>
        <v>51.91</v>
      </c>
      <c r="G880" s="22">
        <f ca="1"/>
        <v>47.201678999999999</v>
      </c>
      <c r="H880" s="69">
        <f ca="1"/>
        <v>29028800</v>
      </c>
      <c r="I880" s="23" t="str">
        <f t="shared" ca="1" si="27"/>
        <v/>
      </c>
    </row>
    <row r="881" spans="1:9" ht="13.8">
      <c r="A881" s="20">
        <f t="shared" ca="1" si="26"/>
        <v>42545</v>
      </c>
      <c r="B881" s="21" t="str">
        <f ca="1"/>
        <v>2016-06-24</v>
      </c>
      <c r="C881" s="22">
        <f ca="1"/>
        <v>49.810001</v>
      </c>
      <c r="D881" s="22">
        <f ca="1"/>
        <v>50.939999</v>
      </c>
      <c r="E881" s="22">
        <f ca="1"/>
        <v>49.52</v>
      </c>
      <c r="F881" s="22">
        <f ca="1"/>
        <v>49.830002</v>
      </c>
      <c r="G881" s="22">
        <f ca="1"/>
        <v>45.310344999999998</v>
      </c>
      <c r="H881" s="69">
        <f ca="1"/>
        <v>133503000</v>
      </c>
      <c r="I881" s="23" t="str">
        <f t="shared" ca="1" si="27"/>
        <v/>
      </c>
    </row>
    <row r="882" spans="1:9" ht="13.8">
      <c r="A882" s="20">
        <f t="shared" ca="1" si="26"/>
        <v>42548</v>
      </c>
      <c r="B882" s="21" t="str">
        <f ca="1"/>
        <v>2016-06-27</v>
      </c>
      <c r="C882" s="22">
        <f ca="1"/>
        <v>49.099997999999999</v>
      </c>
      <c r="D882" s="22">
        <f ca="1"/>
        <v>49.150002000000001</v>
      </c>
      <c r="E882" s="22">
        <f ca="1"/>
        <v>48.040000999999997</v>
      </c>
      <c r="F882" s="22">
        <f ca="1"/>
        <v>48.43</v>
      </c>
      <c r="G882" s="22">
        <f ca="1"/>
        <v>44.037326999999998</v>
      </c>
      <c r="H882" s="69">
        <f ca="1"/>
        <v>50216300</v>
      </c>
      <c r="I882" s="23" t="str">
        <f t="shared" ca="1" si="27"/>
        <v/>
      </c>
    </row>
    <row r="883" spans="1:9" ht="13.8">
      <c r="A883" s="20">
        <f t="shared" ca="1" si="26"/>
        <v>42549</v>
      </c>
      <c r="B883" s="21" t="str">
        <f ca="1"/>
        <v>2016-06-28</v>
      </c>
      <c r="C883" s="22">
        <f ca="1"/>
        <v>48.919998</v>
      </c>
      <c r="D883" s="22">
        <f ca="1"/>
        <v>49.470001000000003</v>
      </c>
      <c r="E883" s="22">
        <f ca="1"/>
        <v>48.669998</v>
      </c>
      <c r="F883" s="22">
        <f ca="1"/>
        <v>49.439999</v>
      </c>
      <c r="G883" s="22">
        <f ca="1"/>
        <v>44.955711000000001</v>
      </c>
      <c r="H883" s="69">
        <f ca="1"/>
        <v>38140700</v>
      </c>
      <c r="I883" s="23" t="str">
        <f t="shared" ca="1" si="27"/>
        <v/>
      </c>
    </row>
    <row r="884" spans="1:9" ht="13.8">
      <c r="A884" s="20">
        <f t="shared" ca="1" si="26"/>
        <v>42550</v>
      </c>
      <c r="B884" s="21" t="str">
        <f ca="1"/>
        <v>2016-06-29</v>
      </c>
      <c r="C884" s="22">
        <f ca="1"/>
        <v>49.91</v>
      </c>
      <c r="D884" s="22">
        <f ca="1"/>
        <v>50.720001000000003</v>
      </c>
      <c r="E884" s="22">
        <f ca="1"/>
        <v>49.799999</v>
      </c>
      <c r="F884" s="22">
        <f ca="1"/>
        <v>50.540000999999997</v>
      </c>
      <c r="G884" s="22">
        <f ca="1"/>
        <v>45.955947999999999</v>
      </c>
      <c r="H884" s="69">
        <f ca="1"/>
        <v>31304000</v>
      </c>
      <c r="I884" s="23" t="str">
        <f t="shared" ca="1" si="27"/>
        <v/>
      </c>
    </row>
    <row r="885" spans="1:9" ht="13.8">
      <c r="A885" s="20">
        <f t="shared" ca="1" si="26"/>
        <v>42551</v>
      </c>
      <c r="B885" s="21" t="str">
        <f ca="1"/>
        <v>2016-06-30</v>
      </c>
      <c r="C885" s="22">
        <f ca="1"/>
        <v>50.720001000000003</v>
      </c>
      <c r="D885" s="22">
        <f ca="1"/>
        <v>51.299999</v>
      </c>
      <c r="E885" s="22">
        <f ca="1"/>
        <v>50.5</v>
      </c>
      <c r="F885" s="22">
        <f ca="1"/>
        <v>51.169998</v>
      </c>
      <c r="G885" s="22">
        <f ca="1"/>
        <v>46.528801000000001</v>
      </c>
      <c r="H885" s="69">
        <f ca="1"/>
        <v>28527800</v>
      </c>
      <c r="I885" s="23" t="str">
        <f t="shared" ca="1" si="27"/>
        <v/>
      </c>
    </row>
    <row r="886" spans="1:9" ht="13.8">
      <c r="A886" s="20">
        <f t="shared" ca="1" si="26"/>
        <v>42552</v>
      </c>
      <c r="B886" s="21" t="str">
        <f ca="1"/>
        <v>2016-07-01</v>
      </c>
      <c r="C886" s="22">
        <f ca="1"/>
        <v>51.130001</v>
      </c>
      <c r="D886" s="22">
        <f ca="1"/>
        <v>51.720001000000003</v>
      </c>
      <c r="E886" s="22">
        <f ca="1"/>
        <v>51.07</v>
      </c>
      <c r="F886" s="22">
        <f ca="1"/>
        <v>51.16</v>
      </c>
      <c r="G886" s="22">
        <f ca="1"/>
        <v>46.519703</v>
      </c>
      <c r="H886" s="69">
        <f ca="1"/>
        <v>21400400</v>
      </c>
      <c r="I886" s="23" t="str">
        <f t="shared" ca="1" si="27"/>
        <v/>
      </c>
    </row>
    <row r="887" spans="1:9" ht="13.8">
      <c r="A887" s="20">
        <f t="shared" ca="1" si="26"/>
        <v>42556</v>
      </c>
      <c r="B887" s="21" t="str">
        <f ca="1"/>
        <v>2016-07-05</v>
      </c>
      <c r="C887" s="22">
        <f ca="1"/>
        <v>50.830002</v>
      </c>
      <c r="D887" s="22">
        <f ca="1"/>
        <v>51.279998999999997</v>
      </c>
      <c r="E887" s="22">
        <f ca="1"/>
        <v>50.740001999999997</v>
      </c>
      <c r="F887" s="22">
        <f ca="1"/>
        <v>51.169998</v>
      </c>
      <c r="G887" s="22">
        <f ca="1"/>
        <v>46.528801000000001</v>
      </c>
      <c r="H887" s="69">
        <f ca="1"/>
        <v>24806400</v>
      </c>
      <c r="I887" s="23" t="str">
        <f t="shared" ca="1" si="27"/>
        <v/>
      </c>
    </row>
    <row r="888" spans="1:9" ht="13.8">
      <c r="A888" s="20">
        <f t="shared" ca="1" si="26"/>
        <v>42557</v>
      </c>
      <c r="B888" s="21" t="str">
        <f ca="1"/>
        <v>2016-07-06</v>
      </c>
      <c r="C888" s="22">
        <f ca="1"/>
        <v>50.779998999999997</v>
      </c>
      <c r="D888" s="22">
        <f ca="1"/>
        <v>51.540000999999997</v>
      </c>
      <c r="E888" s="22">
        <f ca="1"/>
        <v>50.389999000000003</v>
      </c>
      <c r="F888" s="22">
        <f ca="1"/>
        <v>51.380001</v>
      </c>
      <c r="G888" s="22">
        <f ca="1"/>
        <v>46.719757000000001</v>
      </c>
      <c r="H888" s="69">
        <f ca="1"/>
        <v>28167500</v>
      </c>
      <c r="I888" s="23" t="str">
        <f t="shared" ca="1" si="27"/>
        <v/>
      </c>
    </row>
    <row r="889" spans="1:9" ht="13.8">
      <c r="A889" s="20">
        <f t="shared" ca="1" si="26"/>
        <v>42558</v>
      </c>
      <c r="B889" s="21" t="str">
        <f ca="1"/>
        <v>2016-07-07</v>
      </c>
      <c r="C889" s="22">
        <f ca="1"/>
        <v>51.419998</v>
      </c>
      <c r="D889" s="22">
        <f ca="1"/>
        <v>51.610000999999997</v>
      </c>
      <c r="E889" s="22">
        <f ca="1"/>
        <v>51.07</v>
      </c>
      <c r="F889" s="22">
        <f ca="1"/>
        <v>51.380001</v>
      </c>
      <c r="G889" s="22">
        <f ca="1"/>
        <v>46.719757000000001</v>
      </c>
      <c r="H889" s="69">
        <f ca="1"/>
        <v>19585200</v>
      </c>
      <c r="I889" s="23" t="str">
        <f t="shared" ca="1" si="27"/>
        <v/>
      </c>
    </row>
    <row r="890" spans="1:9" ht="13.8">
      <c r="A890" s="20">
        <f t="shared" ca="1" si="26"/>
        <v>42559</v>
      </c>
      <c r="B890" s="21" t="str">
        <f ca="1"/>
        <v>2016-07-08</v>
      </c>
      <c r="C890" s="22">
        <f ca="1"/>
        <v>51.73</v>
      </c>
      <c r="D890" s="22">
        <f ca="1"/>
        <v>52.360000999999997</v>
      </c>
      <c r="E890" s="22">
        <f ca="1"/>
        <v>51.549999</v>
      </c>
      <c r="F890" s="22">
        <f ca="1"/>
        <v>52.299999</v>
      </c>
      <c r="G890" s="22">
        <f ca="1"/>
        <v>47.556305000000002</v>
      </c>
      <c r="H890" s="69">
        <f ca="1"/>
        <v>28391000</v>
      </c>
      <c r="I890" s="23" t="str">
        <f t="shared" ca="1" si="27"/>
        <v/>
      </c>
    </row>
    <row r="891" spans="1:9" ht="13.8">
      <c r="A891" s="20">
        <f t="shared" ca="1" si="26"/>
        <v>42562</v>
      </c>
      <c r="B891" s="21" t="str">
        <f ca="1"/>
        <v>2016-07-11</v>
      </c>
      <c r="C891" s="22">
        <f ca="1"/>
        <v>52.5</v>
      </c>
      <c r="D891" s="22">
        <f ca="1"/>
        <v>52.830002</v>
      </c>
      <c r="E891" s="22">
        <f ca="1"/>
        <v>52.470001000000003</v>
      </c>
      <c r="F891" s="22">
        <f ca="1"/>
        <v>52.59</v>
      </c>
      <c r="G891" s="22">
        <f ca="1"/>
        <v>47.820006999999997</v>
      </c>
      <c r="H891" s="69">
        <f ca="1"/>
        <v>22269200</v>
      </c>
      <c r="I891" s="23" t="str">
        <f t="shared" ca="1" si="27"/>
        <v/>
      </c>
    </row>
    <row r="892" spans="1:9" ht="13.8">
      <c r="A892" s="20">
        <f t="shared" ca="1" si="26"/>
        <v>42563</v>
      </c>
      <c r="B892" s="21" t="str">
        <f ca="1"/>
        <v>2016-07-12</v>
      </c>
      <c r="C892" s="22">
        <f ca="1"/>
        <v>52.939999</v>
      </c>
      <c r="D892" s="22">
        <f ca="1"/>
        <v>53.400002000000001</v>
      </c>
      <c r="E892" s="22">
        <f ca="1"/>
        <v>52.790000999999997</v>
      </c>
      <c r="F892" s="22">
        <f ca="1"/>
        <v>53.209999000000003</v>
      </c>
      <c r="G892" s="22">
        <f ca="1"/>
        <v>48.383774000000003</v>
      </c>
      <c r="H892" s="69">
        <f ca="1"/>
        <v>27317600</v>
      </c>
      <c r="I892" s="23" t="str">
        <f t="shared" ca="1" si="27"/>
        <v/>
      </c>
    </row>
    <row r="893" spans="1:9" ht="13.8">
      <c r="A893" s="20">
        <f t="shared" ca="1" si="26"/>
        <v>42564</v>
      </c>
      <c r="B893" s="21" t="str">
        <f ca="1"/>
        <v>2016-07-13</v>
      </c>
      <c r="C893" s="22">
        <f ca="1"/>
        <v>53.560001</v>
      </c>
      <c r="D893" s="22">
        <f ca="1"/>
        <v>53.860000999999997</v>
      </c>
      <c r="E893" s="22">
        <f ca="1"/>
        <v>53.18</v>
      </c>
      <c r="F893" s="22">
        <f ca="1"/>
        <v>53.509998000000003</v>
      </c>
      <c r="G893" s="22">
        <f ca="1"/>
        <v>48.656554999999997</v>
      </c>
      <c r="H893" s="69">
        <f ca="1"/>
        <v>25356800</v>
      </c>
      <c r="I893" s="23" t="str">
        <f t="shared" ca="1" si="27"/>
        <v/>
      </c>
    </row>
    <row r="894" spans="1:9" ht="13.8">
      <c r="A894" s="20">
        <f t="shared" ca="1" si="26"/>
        <v>42565</v>
      </c>
      <c r="B894" s="21" t="str">
        <f ca="1"/>
        <v>2016-07-14</v>
      </c>
      <c r="C894" s="22">
        <f ca="1"/>
        <v>53.84</v>
      </c>
      <c r="D894" s="22">
        <f ca="1"/>
        <v>53.990001999999997</v>
      </c>
      <c r="E894" s="22">
        <f ca="1"/>
        <v>53.580002</v>
      </c>
      <c r="F894" s="22">
        <f ca="1"/>
        <v>53.740001999999997</v>
      </c>
      <c r="G894" s="22">
        <f ca="1"/>
        <v>48.865710999999997</v>
      </c>
      <c r="H894" s="69">
        <f ca="1"/>
        <v>24545500</v>
      </c>
      <c r="I894" s="23" t="str">
        <f t="shared" ca="1" si="27"/>
        <v/>
      </c>
    </row>
    <row r="895" spans="1:9" ht="13.8">
      <c r="A895" s="20">
        <f t="shared" ca="1" si="26"/>
        <v>42566</v>
      </c>
      <c r="B895" s="21" t="str">
        <f ca="1"/>
        <v>2016-07-15</v>
      </c>
      <c r="C895" s="22">
        <f ca="1"/>
        <v>53.950001</v>
      </c>
      <c r="D895" s="22">
        <f ca="1"/>
        <v>54</v>
      </c>
      <c r="E895" s="22">
        <f ca="1"/>
        <v>53.209999000000003</v>
      </c>
      <c r="F895" s="22">
        <f ca="1"/>
        <v>53.700001</v>
      </c>
      <c r="G895" s="22">
        <f ca="1"/>
        <v>48.829329999999999</v>
      </c>
      <c r="H895" s="69">
        <f ca="1"/>
        <v>32024400</v>
      </c>
      <c r="I895" s="23" t="str">
        <f t="shared" ca="1" si="27"/>
        <v/>
      </c>
    </row>
    <row r="896" spans="1:9" ht="13.8">
      <c r="A896" s="20">
        <f t="shared" ca="1" si="26"/>
        <v>42569</v>
      </c>
      <c r="B896" s="21" t="str">
        <f ca="1"/>
        <v>2016-07-18</v>
      </c>
      <c r="C896" s="22">
        <f ca="1"/>
        <v>53.700001</v>
      </c>
      <c r="D896" s="22">
        <f ca="1"/>
        <v>54.34</v>
      </c>
      <c r="E896" s="22">
        <f ca="1"/>
        <v>53.549999</v>
      </c>
      <c r="F896" s="22">
        <f ca="1"/>
        <v>53.959999000000003</v>
      </c>
      <c r="G896" s="22">
        <f ca="1"/>
        <v>49.065750000000001</v>
      </c>
      <c r="H896" s="69">
        <f ca="1"/>
        <v>31433900</v>
      </c>
      <c r="I896" s="23" t="str">
        <f t="shared" ca="1" si="27"/>
        <v/>
      </c>
    </row>
    <row r="897" spans="1:9" ht="13.8">
      <c r="A897" s="20">
        <f t="shared" ca="1" si="26"/>
        <v>42570</v>
      </c>
      <c r="B897" s="21" t="str">
        <f ca="1"/>
        <v>2016-07-19</v>
      </c>
      <c r="C897" s="22">
        <f ca="1"/>
        <v>53.709999000000003</v>
      </c>
      <c r="D897" s="22">
        <f ca="1"/>
        <v>53.900002000000001</v>
      </c>
      <c r="E897" s="22">
        <f ca="1"/>
        <v>52.93</v>
      </c>
      <c r="F897" s="22">
        <f ca="1"/>
        <v>53.09</v>
      </c>
      <c r="G897" s="22">
        <f ca="1"/>
        <v>48.274650999999999</v>
      </c>
      <c r="H897" s="69">
        <f ca="1"/>
        <v>53336500</v>
      </c>
      <c r="I897" s="23" t="str">
        <f t="shared" ca="1" si="27"/>
        <v/>
      </c>
    </row>
    <row r="898" spans="1:9" ht="13.8">
      <c r="A898" s="20">
        <f t="shared" ca="1" si="26"/>
        <v>42571</v>
      </c>
      <c r="B898" s="21" t="str">
        <f ca="1"/>
        <v>2016-07-20</v>
      </c>
      <c r="C898" s="22">
        <f ca="1"/>
        <v>56.150002000000001</v>
      </c>
      <c r="D898" s="22">
        <f ca="1"/>
        <v>56.84</v>
      </c>
      <c r="E898" s="22">
        <f ca="1"/>
        <v>55.529998999999997</v>
      </c>
      <c r="F898" s="22">
        <f ca="1"/>
        <v>55.91</v>
      </c>
      <c r="G898" s="22">
        <f ca="1"/>
        <v>50.838875000000002</v>
      </c>
      <c r="H898" s="69">
        <f ca="1"/>
        <v>89893300</v>
      </c>
      <c r="I898" s="23" t="str">
        <f t="shared" ca="1" si="27"/>
        <v/>
      </c>
    </row>
    <row r="899" spans="1:9" ht="13.8">
      <c r="A899" s="20">
        <f t="shared" ca="1" si="26"/>
        <v>42572</v>
      </c>
      <c r="B899" s="21" t="str">
        <f ca="1"/>
        <v>2016-07-21</v>
      </c>
      <c r="C899" s="22">
        <f ca="1"/>
        <v>55.98</v>
      </c>
      <c r="D899" s="22">
        <f ca="1"/>
        <v>56.23</v>
      </c>
      <c r="E899" s="22">
        <f ca="1"/>
        <v>55.759998000000003</v>
      </c>
      <c r="F899" s="22">
        <f ca="1"/>
        <v>55.799999</v>
      </c>
      <c r="G899" s="22">
        <f ca="1"/>
        <v>50.738849999999999</v>
      </c>
      <c r="H899" s="69">
        <f ca="1"/>
        <v>32776700</v>
      </c>
      <c r="I899" s="23" t="str">
        <f t="shared" ca="1" si="27"/>
        <v/>
      </c>
    </row>
    <row r="900" spans="1:9" ht="13.8">
      <c r="A900" s="20">
        <f t="shared" ca="1" si="26"/>
        <v>42573</v>
      </c>
      <c r="B900" s="21" t="str">
        <f ca="1"/>
        <v>2016-07-22</v>
      </c>
      <c r="C900" s="22">
        <f ca="1"/>
        <v>56.080002</v>
      </c>
      <c r="D900" s="22">
        <f ca="1"/>
        <v>56.630001</v>
      </c>
      <c r="E900" s="22">
        <f ca="1"/>
        <v>55.779998999999997</v>
      </c>
      <c r="F900" s="22">
        <f ca="1"/>
        <v>56.57</v>
      </c>
      <c r="G900" s="22">
        <f ca="1"/>
        <v>51.439014</v>
      </c>
      <c r="H900" s="69">
        <f ca="1"/>
        <v>32157200</v>
      </c>
      <c r="I900" s="23" t="str">
        <f t="shared" ca="1" si="27"/>
        <v/>
      </c>
    </row>
    <row r="901" spans="1:9" ht="13.8">
      <c r="A901" s="20">
        <f t="shared" ca="1" si="26"/>
        <v>42576</v>
      </c>
      <c r="B901" s="21" t="str">
        <f ca="1"/>
        <v>2016-07-25</v>
      </c>
      <c r="C901" s="22">
        <f ca="1"/>
        <v>56.470001000000003</v>
      </c>
      <c r="D901" s="22">
        <f ca="1"/>
        <v>56.740001999999997</v>
      </c>
      <c r="E901" s="22">
        <f ca="1"/>
        <v>56.259998000000003</v>
      </c>
      <c r="F901" s="22">
        <f ca="1"/>
        <v>56.73</v>
      </c>
      <c r="G901" s="22">
        <f ca="1"/>
        <v>51.584502999999998</v>
      </c>
      <c r="H901" s="69">
        <f ca="1"/>
        <v>25610600</v>
      </c>
      <c r="I901" s="23" t="str">
        <f t="shared" ca="1" si="27"/>
        <v/>
      </c>
    </row>
    <row r="902" spans="1:9" ht="13.8">
      <c r="A902" s="20">
        <f t="shared" ref="A902:A965" ca="1" si="28">IFERROR(DATEVALUE($B902),"--")</f>
        <v>42577</v>
      </c>
      <c r="B902" s="21" t="str">
        <f ca="1"/>
        <v>2016-07-26</v>
      </c>
      <c r="C902" s="22">
        <f ca="1"/>
        <v>56.52</v>
      </c>
      <c r="D902" s="22">
        <f ca="1"/>
        <v>57.290000999999997</v>
      </c>
      <c r="E902" s="22">
        <f ca="1"/>
        <v>56.509998000000003</v>
      </c>
      <c r="F902" s="22">
        <f ca="1"/>
        <v>56.759998000000003</v>
      </c>
      <c r="G902" s="22">
        <f ca="1"/>
        <v>51.611778000000001</v>
      </c>
      <c r="H902" s="69">
        <f ca="1"/>
        <v>28079000</v>
      </c>
      <c r="I902" s="23" t="str">
        <f t="shared" ref="I902:I965" ca="1" si="29">IFERROR(IF(Ticker&lt;&gt;$Q$2,"",INDEX($P:$P,MATCH($A902,$O:$O,0))),"")</f>
        <v/>
      </c>
    </row>
    <row r="903" spans="1:9" ht="13.8">
      <c r="A903" s="20">
        <f t="shared" ca="1" si="28"/>
        <v>42578</v>
      </c>
      <c r="B903" s="21" t="str">
        <f ca="1"/>
        <v>2016-07-27</v>
      </c>
      <c r="C903" s="22">
        <f ca="1"/>
        <v>56.610000999999997</v>
      </c>
      <c r="D903" s="22">
        <f ca="1"/>
        <v>56.799999</v>
      </c>
      <c r="E903" s="22">
        <f ca="1"/>
        <v>56.110000999999997</v>
      </c>
      <c r="F903" s="22">
        <f ca="1"/>
        <v>56.189999</v>
      </c>
      <c r="G903" s="22">
        <f ca="1"/>
        <v>51.093482999999999</v>
      </c>
      <c r="H903" s="69">
        <f ca="1"/>
        <v>32327500</v>
      </c>
      <c r="I903" s="23" t="str">
        <f t="shared" ca="1" si="29"/>
        <v/>
      </c>
    </row>
    <row r="904" spans="1:9" ht="13.8">
      <c r="A904" s="20">
        <f t="shared" ca="1" si="28"/>
        <v>42579</v>
      </c>
      <c r="B904" s="21" t="str">
        <f ca="1"/>
        <v>2016-07-28</v>
      </c>
      <c r="C904" s="22">
        <f ca="1"/>
        <v>56</v>
      </c>
      <c r="D904" s="22">
        <f ca="1"/>
        <v>56.369999</v>
      </c>
      <c r="E904" s="22">
        <f ca="1"/>
        <v>55.720001000000003</v>
      </c>
      <c r="F904" s="22">
        <f ca="1"/>
        <v>56.209999000000003</v>
      </c>
      <c r="G904" s="22">
        <f ca="1"/>
        <v>51.111668000000002</v>
      </c>
      <c r="H904" s="69">
        <f ca="1"/>
        <v>37550400</v>
      </c>
      <c r="I904" s="23" t="str">
        <f t="shared" ca="1" si="29"/>
        <v/>
      </c>
    </row>
    <row r="905" spans="1:9" ht="13.8">
      <c r="A905" s="20">
        <f t="shared" ca="1" si="28"/>
        <v>42580</v>
      </c>
      <c r="B905" s="21" t="str">
        <f ca="1"/>
        <v>2016-07-29</v>
      </c>
      <c r="C905" s="22">
        <f ca="1"/>
        <v>56.259998000000003</v>
      </c>
      <c r="D905" s="22">
        <f ca="1"/>
        <v>56.759998000000003</v>
      </c>
      <c r="E905" s="22">
        <f ca="1"/>
        <v>56.049999</v>
      </c>
      <c r="F905" s="22">
        <f ca="1"/>
        <v>56.68</v>
      </c>
      <c r="G905" s="22">
        <f ca="1"/>
        <v>51.539042999999999</v>
      </c>
      <c r="H905" s="69">
        <f ca="1"/>
        <v>30558700</v>
      </c>
      <c r="I905" s="23" t="str">
        <f t="shared" ca="1" si="29"/>
        <v/>
      </c>
    </row>
    <row r="906" spans="1:9" ht="13.8">
      <c r="A906" s="20">
        <f t="shared" ca="1" si="28"/>
        <v>42583</v>
      </c>
      <c r="B906" s="21" t="str">
        <f ca="1"/>
        <v>2016-08-01</v>
      </c>
      <c r="C906" s="22">
        <f ca="1"/>
        <v>56.599997999999999</v>
      </c>
      <c r="D906" s="22">
        <f ca="1"/>
        <v>56.75</v>
      </c>
      <c r="E906" s="22">
        <f ca="1"/>
        <v>56.139999000000003</v>
      </c>
      <c r="F906" s="22">
        <f ca="1"/>
        <v>56.580002</v>
      </c>
      <c r="G906" s="22">
        <f ca="1"/>
        <v>51.448104999999998</v>
      </c>
      <c r="H906" s="69">
        <f ca="1"/>
        <v>26003400</v>
      </c>
      <c r="I906" s="23" t="str">
        <f t="shared" ca="1" si="29"/>
        <v/>
      </c>
    </row>
    <row r="907" spans="1:9" ht="13.8">
      <c r="A907" s="20">
        <f t="shared" ca="1" si="28"/>
        <v>42584</v>
      </c>
      <c r="B907" s="21" t="str">
        <f ca="1"/>
        <v>2016-08-02</v>
      </c>
      <c r="C907" s="22">
        <f ca="1"/>
        <v>56.849997999999999</v>
      </c>
      <c r="D907" s="22">
        <f ca="1"/>
        <v>56.900002000000001</v>
      </c>
      <c r="E907" s="22">
        <f ca="1"/>
        <v>56.310001</v>
      </c>
      <c r="F907" s="22">
        <f ca="1"/>
        <v>56.580002</v>
      </c>
      <c r="G907" s="22">
        <f ca="1"/>
        <v>51.448104999999998</v>
      </c>
      <c r="H907" s="69">
        <f ca="1"/>
        <v>35122000</v>
      </c>
      <c r="I907" s="23" t="str">
        <f t="shared" ca="1" si="29"/>
        <v/>
      </c>
    </row>
    <row r="908" spans="1:9" ht="13.8">
      <c r="A908" s="20">
        <f t="shared" ca="1" si="28"/>
        <v>42585</v>
      </c>
      <c r="B908" s="21" t="str">
        <f ca="1"/>
        <v>2016-08-03</v>
      </c>
      <c r="C908" s="22">
        <f ca="1"/>
        <v>56.68</v>
      </c>
      <c r="D908" s="22">
        <f ca="1"/>
        <v>57.110000999999997</v>
      </c>
      <c r="E908" s="22">
        <f ca="1"/>
        <v>56.490001999999997</v>
      </c>
      <c r="F908" s="22">
        <f ca="1"/>
        <v>56.970001000000003</v>
      </c>
      <c r="G908" s="22">
        <f ca="1"/>
        <v>51.802731000000001</v>
      </c>
      <c r="H908" s="69">
        <f ca="1"/>
        <v>22075600</v>
      </c>
      <c r="I908" s="23" t="str">
        <f t="shared" ca="1" si="29"/>
        <v/>
      </c>
    </row>
    <row r="909" spans="1:9" ht="13.8">
      <c r="A909" s="20">
        <f t="shared" ca="1" si="28"/>
        <v>42586</v>
      </c>
      <c r="B909" s="21" t="str">
        <f ca="1"/>
        <v>2016-08-04</v>
      </c>
      <c r="C909" s="22">
        <f ca="1"/>
        <v>56.799999</v>
      </c>
      <c r="D909" s="22">
        <f ca="1"/>
        <v>57.52</v>
      </c>
      <c r="E909" s="22">
        <f ca="1"/>
        <v>56.669998</v>
      </c>
      <c r="F909" s="22">
        <f ca="1"/>
        <v>57.389999000000003</v>
      </c>
      <c r="G909" s="22">
        <f ca="1"/>
        <v>52.184643000000001</v>
      </c>
      <c r="H909" s="69">
        <f ca="1"/>
        <v>26587700</v>
      </c>
      <c r="I909" s="23" t="str">
        <f t="shared" ca="1" si="29"/>
        <v/>
      </c>
    </row>
    <row r="910" spans="1:9" ht="13.8">
      <c r="A910" s="20">
        <f t="shared" ca="1" si="28"/>
        <v>42587</v>
      </c>
      <c r="B910" s="21" t="str">
        <f ca="1"/>
        <v>2016-08-05</v>
      </c>
      <c r="C910" s="22">
        <f ca="1"/>
        <v>57.650002000000001</v>
      </c>
      <c r="D910" s="22">
        <f ca="1"/>
        <v>58.209999000000003</v>
      </c>
      <c r="E910" s="22">
        <f ca="1"/>
        <v>57.450001</v>
      </c>
      <c r="F910" s="22">
        <f ca="1"/>
        <v>57.959999000000003</v>
      </c>
      <c r="G910" s="22">
        <f ca="1"/>
        <v>52.702938000000003</v>
      </c>
      <c r="H910" s="69">
        <f ca="1"/>
        <v>29335200</v>
      </c>
      <c r="I910" s="23" t="str">
        <f t="shared" ca="1" si="29"/>
        <v/>
      </c>
    </row>
    <row r="911" spans="1:9" ht="13.8">
      <c r="A911" s="20">
        <f t="shared" ca="1" si="28"/>
        <v>42590</v>
      </c>
      <c r="B911" s="21" t="str">
        <f ca="1"/>
        <v>2016-08-08</v>
      </c>
      <c r="C911" s="22">
        <f ca="1"/>
        <v>58.060001</v>
      </c>
      <c r="D911" s="22">
        <f ca="1"/>
        <v>58.09</v>
      </c>
      <c r="E911" s="22">
        <f ca="1"/>
        <v>57.779998999999997</v>
      </c>
      <c r="F911" s="22">
        <f ca="1"/>
        <v>58.060001</v>
      </c>
      <c r="G911" s="22">
        <f ca="1"/>
        <v>52.793864999999997</v>
      </c>
      <c r="H911" s="69">
        <f ca="1"/>
        <v>19473500</v>
      </c>
      <c r="I911" s="23" t="str">
        <f t="shared" ca="1" si="29"/>
        <v/>
      </c>
    </row>
    <row r="912" spans="1:9" ht="13.8">
      <c r="A912" s="20">
        <f t="shared" ca="1" si="28"/>
        <v>42591</v>
      </c>
      <c r="B912" s="21" t="str">
        <f ca="1"/>
        <v>2016-08-09</v>
      </c>
      <c r="C912" s="22">
        <f ca="1"/>
        <v>58.169998</v>
      </c>
      <c r="D912" s="22">
        <f ca="1"/>
        <v>58.5</v>
      </c>
      <c r="E912" s="22">
        <f ca="1"/>
        <v>58.02</v>
      </c>
      <c r="F912" s="22">
        <f ca="1"/>
        <v>58.200001</v>
      </c>
      <c r="G912" s="22">
        <f ca="1"/>
        <v>52.921165000000002</v>
      </c>
      <c r="H912" s="69">
        <f ca="1"/>
        <v>16920700</v>
      </c>
      <c r="I912" s="23" t="str">
        <f t="shared" ca="1" si="29"/>
        <v/>
      </c>
    </row>
    <row r="913" spans="1:9" ht="13.8">
      <c r="A913" s="20">
        <f t="shared" ca="1" si="28"/>
        <v>42592</v>
      </c>
      <c r="B913" s="21" t="str">
        <f ca="1"/>
        <v>2016-08-10</v>
      </c>
      <c r="C913" s="22">
        <f ca="1"/>
        <v>58.16</v>
      </c>
      <c r="D913" s="22">
        <f ca="1"/>
        <v>58.32</v>
      </c>
      <c r="E913" s="22">
        <f ca="1"/>
        <v>57.82</v>
      </c>
      <c r="F913" s="22">
        <f ca="1"/>
        <v>58.02</v>
      </c>
      <c r="G913" s="22">
        <f ca="1"/>
        <v>52.757491999999999</v>
      </c>
      <c r="H913" s="69">
        <f ca="1"/>
        <v>15756900</v>
      </c>
      <c r="I913" s="23" t="str">
        <f t="shared" ca="1" si="29"/>
        <v/>
      </c>
    </row>
    <row r="914" spans="1:9" ht="13.8">
      <c r="A914" s="20">
        <f t="shared" ca="1" si="28"/>
        <v>42593</v>
      </c>
      <c r="B914" s="21" t="str">
        <f ca="1"/>
        <v>2016-08-11</v>
      </c>
      <c r="C914" s="22">
        <f ca="1"/>
        <v>58.029998999999997</v>
      </c>
      <c r="D914" s="22">
        <f ca="1"/>
        <v>58.450001</v>
      </c>
      <c r="E914" s="22">
        <f ca="1"/>
        <v>58.029998999999997</v>
      </c>
      <c r="F914" s="22">
        <f ca="1"/>
        <v>58.299999</v>
      </c>
      <c r="G914" s="22">
        <f ca="1"/>
        <v>53.012096</v>
      </c>
      <c r="H914" s="69">
        <f ca="1"/>
        <v>18162300</v>
      </c>
      <c r="I914" s="23" t="str">
        <f t="shared" ca="1" si="29"/>
        <v/>
      </c>
    </row>
    <row r="915" spans="1:9" ht="13.8">
      <c r="A915" s="20">
        <f t="shared" ca="1" si="28"/>
        <v>42594</v>
      </c>
      <c r="B915" s="21" t="str">
        <f ca="1"/>
        <v>2016-08-12</v>
      </c>
      <c r="C915" s="22">
        <f ca="1"/>
        <v>58.029998999999997</v>
      </c>
      <c r="D915" s="22">
        <f ca="1"/>
        <v>58.189999</v>
      </c>
      <c r="E915" s="22">
        <f ca="1"/>
        <v>57.619999</v>
      </c>
      <c r="F915" s="22">
        <f ca="1"/>
        <v>57.939999</v>
      </c>
      <c r="G915" s="22">
        <f ca="1"/>
        <v>52.684750000000001</v>
      </c>
      <c r="H915" s="69">
        <f ca="1"/>
        <v>21655200</v>
      </c>
      <c r="I915" s="23" t="str">
        <f t="shared" ca="1" si="29"/>
        <v/>
      </c>
    </row>
    <row r="916" spans="1:9" ht="13.8">
      <c r="A916" s="20">
        <f t="shared" ca="1" si="28"/>
        <v>42597</v>
      </c>
      <c r="B916" s="21" t="str">
        <f ca="1"/>
        <v>2016-08-15</v>
      </c>
      <c r="C916" s="22">
        <f ca="1"/>
        <v>58.009998000000003</v>
      </c>
      <c r="D916" s="22">
        <f ca="1"/>
        <v>58.5</v>
      </c>
      <c r="E916" s="22">
        <f ca="1"/>
        <v>57.959999000000003</v>
      </c>
      <c r="F916" s="22">
        <f ca="1"/>
        <v>58.119999</v>
      </c>
      <c r="G916" s="22">
        <f ca="1"/>
        <v>52.848419</v>
      </c>
      <c r="H916" s="69">
        <f ca="1"/>
        <v>19283900</v>
      </c>
      <c r="I916" s="23" t="str">
        <f t="shared" ca="1" si="29"/>
        <v/>
      </c>
    </row>
    <row r="917" spans="1:9" ht="13.8">
      <c r="A917" s="20">
        <f t="shared" ca="1" si="28"/>
        <v>42598</v>
      </c>
      <c r="B917" s="21" t="str">
        <f ca="1"/>
        <v>2016-08-16</v>
      </c>
      <c r="C917" s="22">
        <f ca="1"/>
        <v>57.610000999999997</v>
      </c>
      <c r="D917" s="22">
        <f ca="1"/>
        <v>57.619999</v>
      </c>
      <c r="E917" s="22">
        <f ca="1"/>
        <v>57.27</v>
      </c>
      <c r="F917" s="22">
        <f ca="1"/>
        <v>57.439999</v>
      </c>
      <c r="G917" s="22">
        <f ca="1"/>
        <v>52.555622</v>
      </c>
      <c r="H917" s="69">
        <f ca="1"/>
        <v>20523500</v>
      </c>
      <c r="I917" s="23">
        <f t="shared" ca="1" si="29"/>
        <v>0.36</v>
      </c>
    </row>
    <row r="918" spans="1:9" ht="13.8">
      <c r="A918" s="20">
        <f t="shared" ca="1" si="28"/>
        <v>42599</v>
      </c>
      <c r="B918" s="21" t="str">
        <f ca="1"/>
        <v>2016-08-17</v>
      </c>
      <c r="C918" s="22">
        <f ca="1"/>
        <v>57.540000999999997</v>
      </c>
      <c r="D918" s="22">
        <f ca="1"/>
        <v>57.68</v>
      </c>
      <c r="E918" s="22">
        <f ca="1"/>
        <v>57.23</v>
      </c>
      <c r="F918" s="22">
        <f ca="1"/>
        <v>57.560001</v>
      </c>
      <c r="G918" s="22">
        <f ca="1"/>
        <v>52.665432000000003</v>
      </c>
      <c r="H918" s="69">
        <f ca="1"/>
        <v>18856400</v>
      </c>
      <c r="I918" s="23" t="str">
        <f t="shared" ca="1" si="29"/>
        <v/>
      </c>
    </row>
    <row r="919" spans="1:9" ht="13.8">
      <c r="A919" s="20">
        <f t="shared" ca="1" si="28"/>
        <v>42600</v>
      </c>
      <c r="B919" s="21" t="str">
        <f ca="1"/>
        <v>2016-08-18</v>
      </c>
      <c r="C919" s="22">
        <f ca="1"/>
        <v>57.419998</v>
      </c>
      <c r="D919" s="22">
        <f ca="1"/>
        <v>57.700001</v>
      </c>
      <c r="E919" s="22">
        <f ca="1"/>
        <v>57.27</v>
      </c>
      <c r="F919" s="22">
        <f ca="1"/>
        <v>57.599997999999999</v>
      </c>
      <c r="G919" s="22">
        <f ca="1"/>
        <v>52.702030000000001</v>
      </c>
      <c r="H919" s="69">
        <f ca="1"/>
        <v>14214300</v>
      </c>
      <c r="I919" s="23" t="str">
        <f t="shared" ca="1" si="29"/>
        <v/>
      </c>
    </row>
    <row r="920" spans="1:9" ht="13.8">
      <c r="A920" s="20">
        <f t="shared" ca="1" si="28"/>
        <v>42601</v>
      </c>
      <c r="B920" s="21" t="str">
        <f ca="1"/>
        <v>2016-08-19</v>
      </c>
      <c r="C920" s="22">
        <f ca="1"/>
        <v>57.43</v>
      </c>
      <c r="D920" s="22">
        <f ca="1"/>
        <v>57.73</v>
      </c>
      <c r="E920" s="22">
        <f ca="1"/>
        <v>57.200001</v>
      </c>
      <c r="F920" s="22">
        <f ca="1"/>
        <v>57.619999</v>
      </c>
      <c r="G920" s="22">
        <f ca="1"/>
        <v>52.720329</v>
      </c>
      <c r="H920" s="69">
        <f ca="1"/>
        <v>17271000</v>
      </c>
      <c r="I920" s="23" t="str">
        <f t="shared" ca="1" si="29"/>
        <v/>
      </c>
    </row>
    <row r="921" spans="1:9" ht="13.8">
      <c r="A921" s="20">
        <f t="shared" ca="1" si="28"/>
        <v>42604</v>
      </c>
      <c r="B921" s="21" t="str">
        <f ca="1"/>
        <v>2016-08-22</v>
      </c>
      <c r="C921" s="22">
        <f ca="1"/>
        <v>57.599997999999999</v>
      </c>
      <c r="D921" s="22">
        <f ca="1"/>
        <v>57.75</v>
      </c>
      <c r="E921" s="22">
        <f ca="1"/>
        <v>57.259998000000003</v>
      </c>
      <c r="F921" s="22">
        <f ca="1"/>
        <v>57.669998</v>
      </c>
      <c r="G921" s="22">
        <f ca="1"/>
        <v>52.766078999999998</v>
      </c>
      <c r="H921" s="69">
        <f ca="1"/>
        <v>15221900</v>
      </c>
      <c r="I921" s="23" t="str">
        <f t="shared" ca="1" si="29"/>
        <v/>
      </c>
    </row>
    <row r="922" spans="1:9" ht="13.8">
      <c r="A922" s="20">
        <f t="shared" ca="1" si="28"/>
        <v>42605</v>
      </c>
      <c r="B922" s="21" t="str">
        <f ca="1"/>
        <v>2016-08-23</v>
      </c>
      <c r="C922" s="22">
        <f ca="1"/>
        <v>57.900002000000001</v>
      </c>
      <c r="D922" s="22">
        <f ca="1"/>
        <v>58.18</v>
      </c>
      <c r="E922" s="22">
        <f ca="1"/>
        <v>57.849997999999999</v>
      </c>
      <c r="F922" s="22">
        <f ca="1"/>
        <v>57.889999000000003</v>
      </c>
      <c r="G922" s="22">
        <f ca="1"/>
        <v>52.967368999999998</v>
      </c>
      <c r="H922" s="69">
        <f ca="1"/>
        <v>18732400</v>
      </c>
      <c r="I922" s="23" t="str">
        <f t="shared" ca="1" si="29"/>
        <v/>
      </c>
    </row>
    <row r="923" spans="1:9" ht="13.8">
      <c r="A923" s="20">
        <f t="shared" ca="1" si="28"/>
        <v>42606</v>
      </c>
      <c r="B923" s="21" t="str">
        <f ca="1"/>
        <v>2016-08-24</v>
      </c>
      <c r="C923" s="22">
        <f ca="1"/>
        <v>57.799999</v>
      </c>
      <c r="D923" s="22">
        <f ca="1"/>
        <v>58.040000999999997</v>
      </c>
      <c r="E923" s="22">
        <f ca="1"/>
        <v>57.720001000000003</v>
      </c>
      <c r="F923" s="22">
        <f ca="1"/>
        <v>57.950001</v>
      </c>
      <c r="G923" s="22">
        <f ca="1"/>
        <v>53.022266000000002</v>
      </c>
      <c r="H923" s="69">
        <f ca="1"/>
        <v>18151500</v>
      </c>
      <c r="I923" s="23" t="str">
        <f t="shared" ca="1" si="29"/>
        <v/>
      </c>
    </row>
    <row r="924" spans="1:9" ht="13.8">
      <c r="A924" s="20">
        <f t="shared" ca="1" si="28"/>
        <v>42607</v>
      </c>
      <c r="B924" s="21" t="str">
        <f ca="1"/>
        <v>2016-08-25</v>
      </c>
      <c r="C924" s="22">
        <f ca="1"/>
        <v>57.880001</v>
      </c>
      <c r="D924" s="22">
        <f ca="1"/>
        <v>58.290000999999997</v>
      </c>
      <c r="E924" s="22">
        <f ca="1"/>
        <v>57.779998999999997</v>
      </c>
      <c r="F924" s="22">
        <f ca="1"/>
        <v>58.169998</v>
      </c>
      <c r="G924" s="22">
        <f ca="1"/>
        <v>53.223559999999999</v>
      </c>
      <c r="H924" s="69">
        <f ca="1"/>
        <v>18552600</v>
      </c>
      <c r="I924" s="23" t="str">
        <f t="shared" ca="1" si="29"/>
        <v/>
      </c>
    </row>
    <row r="925" spans="1:9" ht="13.8">
      <c r="A925" s="20">
        <f t="shared" ca="1" si="28"/>
        <v>42608</v>
      </c>
      <c r="B925" s="21" t="str">
        <f ca="1"/>
        <v>2016-08-26</v>
      </c>
      <c r="C925" s="22">
        <f ca="1"/>
        <v>58.279998999999997</v>
      </c>
      <c r="D925" s="22">
        <f ca="1"/>
        <v>58.700001</v>
      </c>
      <c r="E925" s="22">
        <f ca="1"/>
        <v>57.689999</v>
      </c>
      <c r="F925" s="22">
        <f ca="1"/>
        <v>58.029998999999997</v>
      </c>
      <c r="G925" s="22">
        <f ca="1"/>
        <v>53.095458999999998</v>
      </c>
      <c r="H925" s="69">
        <f ca="1"/>
        <v>20971200</v>
      </c>
      <c r="I925" s="23" t="str">
        <f t="shared" ca="1" si="29"/>
        <v/>
      </c>
    </row>
    <row r="926" spans="1:9" ht="13.8">
      <c r="A926" s="20">
        <f t="shared" ca="1" si="28"/>
        <v>42611</v>
      </c>
      <c r="B926" s="21" t="str">
        <f ca="1"/>
        <v>2016-08-29</v>
      </c>
      <c r="C926" s="22">
        <f ca="1"/>
        <v>58.18</v>
      </c>
      <c r="D926" s="22">
        <f ca="1"/>
        <v>58.599997999999999</v>
      </c>
      <c r="E926" s="22">
        <f ca="1"/>
        <v>58.099997999999999</v>
      </c>
      <c r="F926" s="22">
        <f ca="1"/>
        <v>58.099997999999999</v>
      </c>
      <c r="G926" s="22">
        <f ca="1"/>
        <v>53.159508000000002</v>
      </c>
      <c r="H926" s="69">
        <f ca="1"/>
        <v>16417200</v>
      </c>
      <c r="I926" s="23" t="str">
        <f t="shared" ca="1" si="29"/>
        <v/>
      </c>
    </row>
    <row r="927" spans="1:9" ht="13.8">
      <c r="A927" s="20">
        <f t="shared" ca="1" si="28"/>
        <v>42612</v>
      </c>
      <c r="B927" s="21" t="str">
        <f ca="1"/>
        <v>2016-08-30</v>
      </c>
      <c r="C927" s="22">
        <f ca="1"/>
        <v>57.98</v>
      </c>
      <c r="D927" s="22">
        <f ca="1"/>
        <v>58.189999</v>
      </c>
      <c r="E927" s="22">
        <f ca="1"/>
        <v>57.610000999999997</v>
      </c>
      <c r="F927" s="22">
        <f ca="1"/>
        <v>57.889999000000003</v>
      </c>
      <c r="G927" s="22">
        <f ca="1"/>
        <v>52.967368999999998</v>
      </c>
      <c r="H927" s="69">
        <f ca="1"/>
        <v>16930200</v>
      </c>
      <c r="I927" s="23" t="str">
        <f t="shared" ca="1" si="29"/>
        <v/>
      </c>
    </row>
    <row r="928" spans="1:9" ht="13.8">
      <c r="A928" s="20">
        <f t="shared" ca="1" si="28"/>
        <v>42613</v>
      </c>
      <c r="B928" s="21" t="str">
        <f ca="1"/>
        <v>2016-08-31</v>
      </c>
      <c r="C928" s="22">
        <f ca="1"/>
        <v>57.650002000000001</v>
      </c>
      <c r="D928" s="22">
        <f ca="1"/>
        <v>57.799999</v>
      </c>
      <c r="E928" s="22">
        <f ca="1"/>
        <v>57.299999</v>
      </c>
      <c r="F928" s="22">
        <f ca="1"/>
        <v>57.459999000000003</v>
      </c>
      <c r="G928" s="22">
        <f ca="1"/>
        <v>52.57394</v>
      </c>
      <c r="H928" s="69">
        <f ca="1"/>
        <v>20860300</v>
      </c>
      <c r="I928" s="23" t="str">
        <f t="shared" ca="1" si="29"/>
        <v/>
      </c>
    </row>
    <row r="929" spans="1:9" ht="13.8">
      <c r="A929" s="20">
        <f t="shared" ca="1" si="28"/>
        <v>42614</v>
      </c>
      <c r="B929" s="21" t="str">
        <f ca="1"/>
        <v>2016-09-01</v>
      </c>
      <c r="C929" s="22">
        <f ca="1"/>
        <v>57.009998000000003</v>
      </c>
      <c r="D929" s="22">
        <f ca="1"/>
        <v>57.82</v>
      </c>
      <c r="E929" s="22">
        <f ca="1"/>
        <v>57.009998000000003</v>
      </c>
      <c r="F929" s="22">
        <f ca="1"/>
        <v>57.59</v>
      </c>
      <c r="G929" s="22">
        <f ca="1"/>
        <v>52.692878999999998</v>
      </c>
      <c r="H929" s="69">
        <f ca="1"/>
        <v>26075400</v>
      </c>
      <c r="I929" s="23" t="str">
        <f t="shared" ca="1" si="29"/>
        <v/>
      </c>
    </row>
    <row r="930" spans="1:9" ht="13.8">
      <c r="A930" s="20">
        <f t="shared" ca="1" si="28"/>
        <v>42615</v>
      </c>
      <c r="B930" s="21" t="str">
        <f ca="1"/>
        <v>2016-09-02</v>
      </c>
      <c r="C930" s="22">
        <f ca="1"/>
        <v>57.669998</v>
      </c>
      <c r="D930" s="22">
        <f ca="1"/>
        <v>58.189999</v>
      </c>
      <c r="E930" s="22">
        <f ca="1"/>
        <v>57.419998</v>
      </c>
      <c r="F930" s="22">
        <f ca="1"/>
        <v>57.669998</v>
      </c>
      <c r="G930" s="22">
        <f ca="1"/>
        <v>52.766078999999998</v>
      </c>
      <c r="H930" s="69">
        <f ca="1"/>
        <v>18900500</v>
      </c>
      <c r="I930" s="23" t="str">
        <f t="shared" ca="1" si="29"/>
        <v/>
      </c>
    </row>
    <row r="931" spans="1:9" ht="13.8">
      <c r="A931" s="20">
        <f t="shared" ca="1" si="28"/>
        <v>42619</v>
      </c>
      <c r="B931" s="21" t="str">
        <f ca="1"/>
        <v>2016-09-06</v>
      </c>
      <c r="C931" s="22">
        <f ca="1"/>
        <v>57.779998999999997</v>
      </c>
      <c r="D931" s="22">
        <f ca="1"/>
        <v>57.799999</v>
      </c>
      <c r="E931" s="22">
        <f ca="1"/>
        <v>57.209999000000003</v>
      </c>
      <c r="F931" s="22">
        <f ca="1"/>
        <v>57.610000999999997</v>
      </c>
      <c r="G931" s="22">
        <f ca="1"/>
        <v>52.711177999999997</v>
      </c>
      <c r="H931" s="69">
        <f ca="1"/>
        <v>16278400</v>
      </c>
      <c r="I931" s="23" t="str">
        <f t="shared" ca="1" si="29"/>
        <v/>
      </c>
    </row>
    <row r="932" spans="1:9" ht="13.8">
      <c r="A932" s="20">
        <f t="shared" ca="1" si="28"/>
        <v>42620</v>
      </c>
      <c r="B932" s="21" t="str">
        <f ca="1"/>
        <v>2016-09-07</v>
      </c>
      <c r="C932" s="22">
        <f ca="1"/>
        <v>57.470001000000003</v>
      </c>
      <c r="D932" s="22">
        <f ca="1"/>
        <v>57.84</v>
      </c>
      <c r="E932" s="22">
        <f ca="1"/>
        <v>57.41</v>
      </c>
      <c r="F932" s="22">
        <f ca="1"/>
        <v>57.66</v>
      </c>
      <c r="G932" s="22">
        <f ca="1"/>
        <v>52.756926999999997</v>
      </c>
      <c r="H932" s="69">
        <f ca="1"/>
        <v>17493400</v>
      </c>
      <c r="I932" s="23" t="str">
        <f t="shared" ca="1" si="29"/>
        <v/>
      </c>
    </row>
    <row r="933" spans="1:9" ht="13.8">
      <c r="A933" s="20">
        <f t="shared" ca="1" si="28"/>
        <v>42621</v>
      </c>
      <c r="B933" s="21" t="str">
        <f ca="1"/>
        <v>2016-09-08</v>
      </c>
      <c r="C933" s="22">
        <f ca="1"/>
        <v>57.630001</v>
      </c>
      <c r="D933" s="22">
        <f ca="1"/>
        <v>57.790000999999997</v>
      </c>
      <c r="E933" s="22">
        <f ca="1"/>
        <v>57.18</v>
      </c>
      <c r="F933" s="22">
        <f ca="1"/>
        <v>57.43</v>
      </c>
      <c r="G933" s="22">
        <f ca="1"/>
        <v>52.546489999999999</v>
      </c>
      <c r="H933" s="69">
        <f ca="1"/>
        <v>20146100</v>
      </c>
      <c r="I933" s="23" t="str">
        <f t="shared" ca="1" si="29"/>
        <v/>
      </c>
    </row>
    <row r="934" spans="1:9" ht="13.8">
      <c r="A934" s="20">
        <f t="shared" ca="1" si="28"/>
        <v>42622</v>
      </c>
      <c r="B934" s="21" t="str">
        <f ca="1"/>
        <v>2016-09-09</v>
      </c>
      <c r="C934" s="22">
        <f ca="1"/>
        <v>56.790000999999997</v>
      </c>
      <c r="D934" s="22">
        <f ca="1"/>
        <v>57.52</v>
      </c>
      <c r="E934" s="22">
        <f ca="1"/>
        <v>56.209999000000003</v>
      </c>
      <c r="F934" s="22">
        <f ca="1"/>
        <v>56.209999000000003</v>
      </c>
      <c r="G934" s="22">
        <f ca="1"/>
        <v>51.430218000000004</v>
      </c>
      <c r="H934" s="69">
        <f ca="1"/>
        <v>35113900</v>
      </c>
      <c r="I934" s="23" t="str">
        <f t="shared" ca="1" si="29"/>
        <v/>
      </c>
    </row>
    <row r="935" spans="1:9" ht="13.8">
      <c r="A935" s="20">
        <f t="shared" ca="1" si="28"/>
        <v>42625</v>
      </c>
      <c r="B935" s="21" t="str">
        <f ca="1"/>
        <v>2016-09-12</v>
      </c>
      <c r="C935" s="22">
        <f ca="1"/>
        <v>56</v>
      </c>
      <c r="D935" s="22">
        <f ca="1"/>
        <v>57.209999000000003</v>
      </c>
      <c r="E935" s="22">
        <f ca="1"/>
        <v>55.610000999999997</v>
      </c>
      <c r="F935" s="22">
        <f ca="1"/>
        <v>57.049999</v>
      </c>
      <c r="G935" s="22">
        <f ca="1"/>
        <v>52.198788</v>
      </c>
      <c r="H935" s="69">
        <f ca="1"/>
        <v>29303000</v>
      </c>
      <c r="I935" s="23" t="str">
        <f t="shared" ca="1" si="29"/>
        <v/>
      </c>
    </row>
    <row r="936" spans="1:9" ht="13.8">
      <c r="A936" s="20">
        <f t="shared" ca="1" si="28"/>
        <v>42626</v>
      </c>
      <c r="B936" s="21" t="str">
        <f ca="1"/>
        <v>2016-09-13</v>
      </c>
      <c r="C936" s="22">
        <f ca="1"/>
        <v>56.5</v>
      </c>
      <c r="D936" s="22">
        <f ca="1"/>
        <v>56.650002000000001</v>
      </c>
      <c r="E936" s="22">
        <f ca="1"/>
        <v>56.049999</v>
      </c>
      <c r="F936" s="22">
        <f ca="1"/>
        <v>56.529998999999997</v>
      </c>
      <c r="G936" s="22">
        <f ca="1"/>
        <v>51.723014999999997</v>
      </c>
      <c r="H936" s="69">
        <f ca="1"/>
        <v>30130200</v>
      </c>
      <c r="I936" s="23" t="str">
        <f t="shared" ca="1" si="29"/>
        <v/>
      </c>
    </row>
    <row r="937" spans="1:9" ht="13.8">
      <c r="A937" s="20">
        <f t="shared" ca="1" si="28"/>
        <v>42627</v>
      </c>
      <c r="B937" s="21" t="str">
        <f ca="1"/>
        <v>2016-09-14</v>
      </c>
      <c r="C937" s="22">
        <f ca="1"/>
        <v>56.389999000000003</v>
      </c>
      <c r="D937" s="22">
        <f ca="1"/>
        <v>56.630001</v>
      </c>
      <c r="E937" s="22">
        <f ca="1"/>
        <v>56.029998999999997</v>
      </c>
      <c r="F937" s="22">
        <f ca="1"/>
        <v>56.259998000000003</v>
      </c>
      <c r="G937" s="22">
        <f ca="1"/>
        <v>51.475971000000001</v>
      </c>
      <c r="H937" s="69">
        <f ca="1"/>
        <v>24062500</v>
      </c>
      <c r="I937" s="23" t="str">
        <f t="shared" ca="1" si="29"/>
        <v/>
      </c>
    </row>
    <row r="938" spans="1:9" ht="13.8">
      <c r="A938" s="20">
        <f t="shared" ca="1" si="28"/>
        <v>42628</v>
      </c>
      <c r="B938" s="21" t="str">
        <f ca="1"/>
        <v>2016-09-15</v>
      </c>
      <c r="C938" s="22">
        <f ca="1"/>
        <v>56.150002000000001</v>
      </c>
      <c r="D938" s="22">
        <f ca="1"/>
        <v>57.349997999999999</v>
      </c>
      <c r="E938" s="22">
        <f ca="1"/>
        <v>55.98</v>
      </c>
      <c r="F938" s="22">
        <f ca="1"/>
        <v>57.189999</v>
      </c>
      <c r="G938" s="22">
        <f ca="1"/>
        <v>52.326884999999997</v>
      </c>
      <c r="H938" s="69">
        <f ca="1"/>
        <v>26847000</v>
      </c>
      <c r="I938" s="23" t="str">
        <f t="shared" ca="1" si="29"/>
        <v/>
      </c>
    </row>
    <row r="939" spans="1:9" ht="13.8">
      <c r="A939" s="20">
        <f t="shared" ca="1" si="28"/>
        <v>42629</v>
      </c>
      <c r="B939" s="21" t="str">
        <f ca="1"/>
        <v>2016-09-16</v>
      </c>
      <c r="C939" s="22">
        <f ca="1"/>
        <v>57.630001</v>
      </c>
      <c r="D939" s="22">
        <f ca="1"/>
        <v>57.630001</v>
      </c>
      <c r="E939" s="22">
        <f ca="1"/>
        <v>56.75</v>
      </c>
      <c r="F939" s="22">
        <f ca="1"/>
        <v>57.25</v>
      </c>
      <c r="G939" s="22">
        <f ca="1"/>
        <v>52.381793999999999</v>
      </c>
      <c r="H939" s="69">
        <f ca="1"/>
        <v>44607000</v>
      </c>
      <c r="I939" s="23" t="str">
        <f t="shared" ca="1" si="29"/>
        <v/>
      </c>
    </row>
    <row r="940" spans="1:9" ht="13.8">
      <c r="A940" s="20">
        <f t="shared" ca="1" si="28"/>
        <v>42632</v>
      </c>
      <c r="B940" s="21" t="str">
        <f ca="1"/>
        <v>2016-09-19</v>
      </c>
      <c r="C940" s="22">
        <f ca="1"/>
        <v>57.27</v>
      </c>
      <c r="D940" s="22">
        <f ca="1"/>
        <v>57.75</v>
      </c>
      <c r="E940" s="22">
        <f ca="1"/>
        <v>56.849997999999999</v>
      </c>
      <c r="F940" s="22">
        <f ca="1"/>
        <v>56.93</v>
      </c>
      <c r="G940" s="22">
        <f ca="1"/>
        <v>52.089001000000003</v>
      </c>
      <c r="H940" s="69">
        <f ca="1"/>
        <v>20937100</v>
      </c>
      <c r="I940" s="23" t="str">
        <f t="shared" ca="1" si="29"/>
        <v/>
      </c>
    </row>
    <row r="941" spans="1:9" ht="13.8">
      <c r="A941" s="20">
        <f t="shared" ca="1" si="28"/>
        <v>42633</v>
      </c>
      <c r="B941" s="21" t="str">
        <f ca="1"/>
        <v>2016-09-20</v>
      </c>
      <c r="C941" s="22">
        <f ca="1"/>
        <v>57.349997999999999</v>
      </c>
      <c r="D941" s="22">
        <f ca="1"/>
        <v>57.349997999999999</v>
      </c>
      <c r="E941" s="22">
        <f ca="1"/>
        <v>56.75</v>
      </c>
      <c r="F941" s="22">
        <f ca="1"/>
        <v>56.810001</v>
      </c>
      <c r="G941" s="22">
        <f ca="1"/>
        <v>51.979210000000002</v>
      </c>
      <c r="H941" s="69">
        <f ca="1"/>
        <v>17384000</v>
      </c>
      <c r="I941" s="23" t="str">
        <f t="shared" ca="1" si="29"/>
        <v/>
      </c>
    </row>
    <row r="942" spans="1:9" ht="13.8">
      <c r="A942" s="20">
        <f t="shared" ca="1" si="28"/>
        <v>42634</v>
      </c>
      <c r="B942" s="21" t="str">
        <f ca="1"/>
        <v>2016-09-21</v>
      </c>
      <c r="C942" s="22">
        <f ca="1"/>
        <v>57.509998000000003</v>
      </c>
      <c r="D942" s="22">
        <f ca="1"/>
        <v>57.849997999999999</v>
      </c>
      <c r="E942" s="22">
        <f ca="1"/>
        <v>57.080002</v>
      </c>
      <c r="F942" s="22">
        <f ca="1"/>
        <v>57.759998000000003</v>
      </c>
      <c r="G942" s="22">
        <f ca="1"/>
        <v>52.848415000000003</v>
      </c>
      <c r="H942" s="69">
        <f ca="1"/>
        <v>33707300</v>
      </c>
      <c r="I942" s="23" t="str">
        <f t="shared" ca="1" si="29"/>
        <v/>
      </c>
    </row>
    <row r="943" spans="1:9" ht="13.8">
      <c r="A943" s="20">
        <f t="shared" ca="1" si="28"/>
        <v>42635</v>
      </c>
      <c r="B943" s="21" t="str">
        <f ca="1"/>
        <v>2016-09-22</v>
      </c>
      <c r="C943" s="22">
        <f ca="1"/>
        <v>57.919998</v>
      </c>
      <c r="D943" s="22">
        <f ca="1"/>
        <v>58</v>
      </c>
      <c r="E943" s="22">
        <f ca="1"/>
        <v>57.630001</v>
      </c>
      <c r="F943" s="22">
        <f ca="1"/>
        <v>57.82</v>
      </c>
      <c r="G943" s="22">
        <f ca="1"/>
        <v>52.903312999999997</v>
      </c>
      <c r="H943" s="69">
        <f ca="1"/>
        <v>19822200</v>
      </c>
      <c r="I943" s="23" t="str">
        <f t="shared" ca="1" si="29"/>
        <v/>
      </c>
    </row>
    <row r="944" spans="1:9" ht="13.8">
      <c r="A944" s="20">
        <f t="shared" ca="1" si="28"/>
        <v>42636</v>
      </c>
      <c r="B944" s="21" t="str">
        <f ca="1"/>
        <v>2016-09-23</v>
      </c>
      <c r="C944" s="22">
        <f ca="1"/>
        <v>57.869999</v>
      </c>
      <c r="D944" s="22">
        <f ca="1"/>
        <v>57.91</v>
      </c>
      <c r="E944" s="22">
        <f ca="1"/>
        <v>57.380001</v>
      </c>
      <c r="F944" s="22">
        <f ca="1"/>
        <v>57.43</v>
      </c>
      <c r="G944" s="22">
        <f ca="1"/>
        <v>52.546489999999999</v>
      </c>
      <c r="H944" s="69">
        <f ca="1"/>
        <v>19955300</v>
      </c>
      <c r="I944" s="23" t="str">
        <f t="shared" ca="1" si="29"/>
        <v/>
      </c>
    </row>
    <row r="945" spans="1:9" ht="13.8">
      <c r="A945" s="20">
        <f t="shared" ca="1" si="28"/>
        <v>42639</v>
      </c>
      <c r="B945" s="21" t="str">
        <f ca="1"/>
        <v>2016-09-26</v>
      </c>
      <c r="C945" s="22">
        <f ca="1"/>
        <v>57.080002</v>
      </c>
      <c r="D945" s="22">
        <f ca="1"/>
        <v>57.139999000000003</v>
      </c>
      <c r="E945" s="22">
        <f ca="1"/>
        <v>56.830002</v>
      </c>
      <c r="F945" s="22">
        <f ca="1"/>
        <v>56.900002000000001</v>
      </c>
      <c r="G945" s="22">
        <f ca="1"/>
        <v>52.061557999999998</v>
      </c>
      <c r="H945" s="69">
        <f ca="1"/>
        <v>21688700</v>
      </c>
      <c r="I945" s="23" t="str">
        <f t="shared" ca="1" si="29"/>
        <v/>
      </c>
    </row>
    <row r="946" spans="1:9" ht="13.8">
      <c r="A946" s="20">
        <f t="shared" ca="1" si="28"/>
        <v>42640</v>
      </c>
      <c r="B946" s="21" t="str">
        <f ca="1"/>
        <v>2016-09-27</v>
      </c>
      <c r="C946" s="22">
        <f ca="1"/>
        <v>56.93</v>
      </c>
      <c r="D946" s="22">
        <f ca="1"/>
        <v>58.060001</v>
      </c>
      <c r="E946" s="22">
        <f ca="1"/>
        <v>56.68</v>
      </c>
      <c r="F946" s="22">
        <f ca="1"/>
        <v>57.950001</v>
      </c>
      <c r="G946" s="22">
        <f ca="1"/>
        <v>53.022266000000002</v>
      </c>
      <c r="H946" s="69">
        <f ca="1"/>
        <v>28065100</v>
      </c>
      <c r="I946" s="23" t="str">
        <f t="shared" ca="1" si="29"/>
        <v/>
      </c>
    </row>
    <row r="947" spans="1:9" ht="13.8">
      <c r="A947" s="20">
        <f t="shared" ca="1" si="28"/>
        <v>42641</v>
      </c>
      <c r="B947" s="21" t="str">
        <f ca="1"/>
        <v>2016-09-28</v>
      </c>
      <c r="C947" s="22">
        <f ca="1"/>
        <v>57.880001</v>
      </c>
      <c r="D947" s="22">
        <f ca="1"/>
        <v>58.060001</v>
      </c>
      <c r="E947" s="22">
        <f ca="1"/>
        <v>57.669998</v>
      </c>
      <c r="F947" s="22">
        <f ca="1"/>
        <v>58.029998999999997</v>
      </c>
      <c r="G947" s="22">
        <f ca="1"/>
        <v>53.095458999999998</v>
      </c>
      <c r="H947" s="69">
        <f ca="1"/>
        <v>20536400</v>
      </c>
      <c r="I947" s="23" t="str">
        <f t="shared" ca="1" si="29"/>
        <v/>
      </c>
    </row>
    <row r="948" spans="1:9" ht="13.8">
      <c r="A948" s="20">
        <f t="shared" ca="1" si="28"/>
        <v>42642</v>
      </c>
      <c r="B948" s="21" t="str">
        <f ca="1"/>
        <v>2016-09-29</v>
      </c>
      <c r="C948" s="22">
        <f ca="1"/>
        <v>57.810001</v>
      </c>
      <c r="D948" s="22">
        <f ca="1"/>
        <v>58.169998</v>
      </c>
      <c r="E948" s="22">
        <f ca="1"/>
        <v>57.209999000000003</v>
      </c>
      <c r="F948" s="22">
        <f ca="1"/>
        <v>57.400002000000001</v>
      </c>
      <c r="G948" s="22">
        <f ca="1"/>
        <v>52.519035000000002</v>
      </c>
      <c r="H948" s="69">
        <f ca="1"/>
        <v>25463500</v>
      </c>
      <c r="I948" s="23" t="str">
        <f t="shared" ca="1" si="29"/>
        <v/>
      </c>
    </row>
    <row r="949" spans="1:9" ht="13.8">
      <c r="A949" s="20">
        <f t="shared" ca="1" si="28"/>
        <v>42643</v>
      </c>
      <c r="B949" s="21" t="str">
        <f ca="1"/>
        <v>2016-09-30</v>
      </c>
      <c r="C949" s="22">
        <f ca="1"/>
        <v>57.57</v>
      </c>
      <c r="D949" s="22">
        <f ca="1"/>
        <v>57.77</v>
      </c>
      <c r="E949" s="22">
        <f ca="1"/>
        <v>57.34</v>
      </c>
      <c r="F949" s="22">
        <f ca="1"/>
        <v>57.599997999999999</v>
      </c>
      <c r="G949" s="22">
        <f ca="1"/>
        <v>52.702030000000001</v>
      </c>
      <c r="H949" s="69">
        <f ca="1"/>
        <v>29910800</v>
      </c>
      <c r="I949" s="23" t="str">
        <f t="shared" ca="1" si="29"/>
        <v/>
      </c>
    </row>
    <row r="950" spans="1:9" ht="13.8">
      <c r="A950" s="20">
        <f t="shared" ca="1" si="28"/>
        <v>42646</v>
      </c>
      <c r="B950" s="21" t="str">
        <f ca="1"/>
        <v>2016-10-03</v>
      </c>
      <c r="C950" s="22">
        <f ca="1"/>
        <v>57.41</v>
      </c>
      <c r="D950" s="22">
        <f ca="1"/>
        <v>57.549999</v>
      </c>
      <c r="E950" s="22">
        <f ca="1"/>
        <v>57.060001</v>
      </c>
      <c r="F950" s="22">
        <f ca="1"/>
        <v>57.419998</v>
      </c>
      <c r="G950" s="22">
        <f ca="1"/>
        <v>52.537334000000001</v>
      </c>
      <c r="H950" s="69">
        <f ca="1"/>
        <v>19189500</v>
      </c>
      <c r="I950" s="23" t="str">
        <f t="shared" ca="1" si="29"/>
        <v/>
      </c>
    </row>
    <row r="951" spans="1:9" ht="13.8">
      <c r="A951" s="20">
        <f t="shared" ca="1" si="28"/>
        <v>42647</v>
      </c>
      <c r="B951" s="21" t="str">
        <f ca="1"/>
        <v>2016-10-04</v>
      </c>
      <c r="C951" s="22">
        <f ca="1"/>
        <v>57.27</v>
      </c>
      <c r="D951" s="22">
        <f ca="1"/>
        <v>57.599997999999999</v>
      </c>
      <c r="E951" s="22">
        <f ca="1"/>
        <v>56.970001000000003</v>
      </c>
      <c r="F951" s="22">
        <f ca="1"/>
        <v>57.240001999999997</v>
      </c>
      <c r="G951" s="22">
        <f ca="1"/>
        <v>52.372638999999999</v>
      </c>
      <c r="H951" s="69">
        <f ca="1"/>
        <v>20085900</v>
      </c>
      <c r="I951" s="23" t="str">
        <f t="shared" ca="1" si="29"/>
        <v/>
      </c>
    </row>
    <row r="952" spans="1:9" ht="13.8">
      <c r="A952" s="20">
        <f t="shared" ca="1" si="28"/>
        <v>42648</v>
      </c>
      <c r="B952" s="21" t="str">
        <f ca="1"/>
        <v>2016-10-05</v>
      </c>
      <c r="C952" s="22">
        <f ca="1"/>
        <v>57.290000999999997</v>
      </c>
      <c r="D952" s="22">
        <f ca="1"/>
        <v>57.959999000000003</v>
      </c>
      <c r="E952" s="22">
        <f ca="1"/>
        <v>57.259998000000003</v>
      </c>
      <c r="F952" s="22">
        <f ca="1"/>
        <v>57.639999000000003</v>
      </c>
      <c r="G952" s="22">
        <f ca="1"/>
        <v>52.738627999999999</v>
      </c>
      <c r="H952" s="69">
        <f ca="1"/>
        <v>16726400</v>
      </c>
      <c r="I952" s="23" t="str">
        <f t="shared" ca="1" si="29"/>
        <v/>
      </c>
    </row>
    <row r="953" spans="1:9" ht="13.8">
      <c r="A953" s="20">
        <f t="shared" ca="1" si="28"/>
        <v>42649</v>
      </c>
      <c r="B953" s="21" t="str">
        <f ca="1"/>
        <v>2016-10-06</v>
      </c>
      <c r="C953" s="22">
        <f ca="1"/>
        <v>57.740001999999997</v>
      </c>
      <c r="D953" s="22">
        <f ca="1"/>
        <v>57.860000999999997</v>
      </c>
      <c r="E953" s="22">
        <f ca="1"/>
        <v>57.279998999999997</v>
      </c>
      <c r="F953" s="22">
        <f ca="1"/>
        <v>57.740001999999997</v>
      </c>
      <c r="G953" s="22">
        <f ca="1"/>
        <v>52.830128000000002</v>
      </c>
      <c r="H953" s="69">
        <f ca="1"/>
        <v>16212600</v>
      </c>
      <c r="I953" s="23" t="str">
        <f t="shared" ca="1" si="29"/>
        <v/>
      </c>
    </row>
    <row r="954" spans="1:9" ht="13.8">
      <c r="A954" s="20">
        <f t="shared" ca="1" si="28"/>
        <v>42650</v>
      </c>
      <c r="B954" s="21" t="str">
        <f ca="1"/>
        <v>2016-10-07</v>
      </c>
      <c r="C954" s="22">
        <f ca="1"/>
        <v>57.849997999999999</v>
      </c>
      <c r="D954" s="22">
        <f ca="1"/>
        <v>57.98</v>
      </c>
      <c r="E954" s="22">
        <f ca="1"/>
        <v>57.419998</v>
      </c>
      <c r="F954" s="22">
        <f ca="1"/>
        <v>57.799999</v>
      </c>
      <c r="G954" s="22">
        <f ca="1"/>
        <v>52.885021000000002</v>
      </c>
      <c r="H954" s="69">
        <f ca="1"/>
        <v>20089000</v>
      </c>
      <c r="I954" s="23" t="str">
        <f t="shared" ca="1" si="29"/>
        <v/>
      </c>
    </row>
    <row r="955" spans="1:9" ht="13.8">
      <c r="A955" s="20">
        <f t="shared" ca="1" si="28"/>
        <v>42653</v>
      </c>
      <c r="B955" s="21" t="str">
        <f ca="1"/>
        <v>2016-10-10</v>
      </c>
      <c r="C955" s="22">
        <f ca="1"/>
        <v>57.91</v>
      </c>
      <c r="D955" s="22">
        <f ca="1"/>
        <v>58.389999000000003</v>
      </c>
      <c r="E955" s="22">
        <f ca="1"/>
        <v>57.869999</v>
      </c>
      <c r="F955" s="22">
        <f ca="1"/>
        <v>58.040000999999997</v>
      </c>
      <c r="G955" s="22">
        <f ca="1"/>
        <v>53.104613999999998</v>
      </c>
      <c r="H955" s="69">
        <f ca="1"/>
        <v>18196500</v>
      </c>
      <c r="I955" s="23" t="str">
        <f t="shared" ca="1" si="29"/>
        <v/>
      </c>
    </row>
    <row r="956" spans="1:9" ht="13.8">
      <c r="A956" s="20">
        <f t="shared" ca="1" si="28"/>
        <v>42654</v>
      </c>
      <c r="B956" s="21" t="str">
        <f ca="1"/>
        <v>2016-10-11</v>
      </c>
      <c r="C956" s="22">
        <f ca="1"/>
        <v>57.889999000000003</v>
      </c>
      <c r="D956" s="22">
        <f ca="1"/>
        <v>58.02</v>
      </c>
      <c r="E956" s="22">
        <f ca="1"/>
        <v>56.889999000000003</v>
      </c>
      <c r="F956" s="22">
        <f ca="1"/>
        <v>57.189999</v>
      </c>
      <c r="G956" s="22">
        <f ca="1"/>
        <v>52.326884999999997</v>
      </c>
      <c r="H956" s="69">
        <f ca="1"/>
        <v>26497400</v>
      </c>
      <c r="I956" s="23" t="str">
        <f t="shared" ca="1" si="29"/>
        <v/>
      </c>
    </row>
    <row r="957" spans="1:9" ht="13.8">
      <c r="A957" s="20">
        <f t="shared" ca="1" si="28"/>
        <v>42655</v>
      </c>
      <c r="B957" s="21" t="str">
        <f ca="1"/>
        <v>2016-10-12</v>
      </c>
      <c r="C957" s="22">
        <f ca="1"/>
        <v>57.110000999999997</v>
      </c>
      <c r="D957" s="22">
        <f ca="1"/>
        <v>57.27</v>
      </c>
      <c r="E957" s="22">
        <f ca="1"/>
        <v>56.400002000000001</v>
      </c>
      <c r="F957" s="22">
        <f ca="1"/>
        <v>57.110000999999997</v>
      </c>
      <c r="G957" s="22">
        <f ca="1"/>
        <v>52.253692999999998</v>
      </c>
      <c r="H957" s="69">
        <f ca="1"/>
        <v>22177500</v>
      </c>
      <c r="I957" s="23" t="str">
        <f t="shared" ca="1" si="29"/>
        <v/>
      </c>
    </row>
    <row r="958" spans="1:9" ht="13.8">
      <c r="A958" s="20">
        <f t="shared" ca="1" si="28"/>
        <v>42656</v>
      </c>
      <c r="B958" s="21" t="str">
        <f ca="1"/>
        <v>2016-10-13</v>
      </c>
      <c r="C958" s="22">
        <f ca="1"/>
        <v>56.700001</v>
      </c>
      <c r="D958" s="22">
        <f ca="1"/>
        <v>57.299999</v>
      </c>
      <c r="E958" s="22">
        <f ca="1"/>
        <v>56.32</v>
      </c>
      <c r="F958" s="22">
        <f ca="1"/>
        <v>56.919998</v>
      </c>
      <c r="G958" s="22">
        <f ca="1"/>
        <v>52.079856999999997</v>
      </c>
      <c r="H958" s="69">
        <f ca="1"/>
        <v>25313700</v>
      </c>
      <c r="I958" s="23" t="str">
        <f t="shared" ca="1" si="29"/>
        <v/>
      </c>
    </row>
    <row r="959" spans="1:9" ht="13.8">
      <c r="A959" s="20">
        <f t="shared" ca="1" si="28"/>
        <v>42657</v>
      </c>
      <c r="B959" s="21" t="str">
        <f ca="1"/>
        <v>2016-10-14</v>
      </c>
      <c r="C959" s="22">
        <f ca="1"/>
        <v>57.119999</v>
      </c>
      <c r="D959" s="22">
        <f ca="1"/>
        <v>57.740001999999997</v>
      </c>
      <c r="E959" s="22">
        <f ca="1"/>
        <v>57.119999</v>
      </c>
      <c r="F959" s="22">
        <f ca="1"/>
        <v>57.419998</v>
      </c>
      <c r="G959" s="22">
        <f ca="1"/>
        <v>52.537334000000001</v>
      </c>
      <c r="H959" s="69">
        <f ca="1"/>
        <v>27402500</v>
      </c>
      <c r="I959" s="23" t="str">
        <f t="shared" ca="1" si="29"/>
        <v/>
      </c>
    </row>
    <row r="960" spans="1:9" ht="13.8">
      <c r="A960" s="20">
        <f t="shared" ca="1" si="28"/>
        <v>42660</v>
      </c>
      <c r="B960" s="21" t="str">
        <f ca="1"/>
        <v>2016-10-17</v>
      </c>
      <c r="C960" s="22">
        <f ca="1"/>
        <v>57.360000999999997</v>
      </c>
      <c r="D960" s="22">
        <f ca="1"/>
        <v>57.459999000000003</v>
      </c>
      <c r="E960" s="22">
        <f ca="1"/>
        <v>56.869999</v>
      </c>
      <c r="F960" s="22">
        <f ca="1"/>
        <v>57.220001000000003</v>
      </c>
      <c r="G960" s="22">
        <f ca="1"/>
        <v>52.354346999999997</v>
      </c>
      <c r="H960" s="69">
        <f ca="1"/>
        <v>23830000</v>
      </c>
      <c r="I960" s="23" t="str">
        <f t="shared" ca="1" si="29"/>
        <v/>
      </c>
    </row>
    <row r="961" spans="1:9" ht="13.8">
      <c r="A961" s="20">
        <f t="shared" ca="1" si="28"/>
        <v>42661</v>
      </c>
      <c r="B961" s="21" t="str">
        <f ca="1"/>
        <v>2016-10-18</v>
      </c>
      <c r="C961" s="22">
        <f ca="1"/>
        <v>57.529998999999997</v>
      </c>
      <c r="D961" s="22">
        <f ca="1"/>
        <v>57.950001</v>
      </c>
      <c r="E961" s="22">
        <f ca="1"/>
        <v>57.41</v>
      </c>
      <c r="F961" s="22">
        <f ca="1"/>
        <v>57.66</v>
      </c>
      <c r="G961" s="22">
        <f ca="1"/>
        <v>52.756926999999997</v>
      </c>
      <c r="H961" s="69">
        <f ca="1"/>
        <v>19149500</v>
      </c>
      <c r="I961" s="23" t="str">
        <f t="shared" ca="1" si="29"/>
        <v/>
      </c>
    </row>
    <row r="962" spans="1:9" ht="13.8">
      <c r="A962" s="20">
        <f t="shared" ca="1" si="28"/>
        <v>42662</v>
      </c>
      <c r="B962" s="21" t="str">
        <f ca="1"/>
        <v>2016-10-19</v>
      </c>
      <c r="C962" s="22">
        <f ca="1"/>
        <v>57.470001000000003</v>
      </c>
      <c r="D962" s="22">
        <f ca="1"/>
        <v>57.84</v>
      </c>
      <c r="E962" s="22">
        <f ca="1"/>
        <v>57.400002000000001</v>
      </c>
      <c r="F962" s="22">
        <f ca="1"/>
        <v>57.529998999999997</v>
      </c>
      <c r="G962" s="22">
        <f ca="1"/>
        <v>52.637985</v>
      </c>
      <c r="H962" s="69">
        <f ca="1"/>
        <v>22878400</v>
      </c>
      <c r="I962" s="23" t="str">
        <f t="shared" ca="1" si="29"/>
        <v/>
      </c>
    </row>
    <row r="963" spans="1:9" ht="13.8">
      <c r="A963" s="20">
        <f t="shared" ca="1" si="28"/>
        <v>42663</v>
      </c>
      <c r="B963" s="21" t="str">
        <f ca="1"/>
        <v>2016-10-20</v>
      </c>
      <c r="C963" s="22">
        <f ca="1"/>
        <v>57.5</v>
      </c>
      <c r="D963" s="22">
        <f ca="1"/>
        <v>57.52</v>
      </c>
      <c r="E963" s="22">
        <f ca="1"/>
        <v>56.66</v>
      </c>
      <c r="F963" s="22">
        <f ca="1"/>
        <v>57.25</v>
      </c>
      <c r="G963" s="22">
        <f ca="1"/>
        <v>52.381793999999999</v>
      </c>
      <c r="H963" s="69">
        <f ca="1"/>
        <v>49455600</v>
      </c>
      <c r="I963" s="23" t="str">
        <f t="shared" ca="1" si="29"/>
        <v/>
      </c>
    </row>
    <row r="964" spans="1:9" ht="13.8">
      <c r="A964" s="20">
        <f t="shared" ca="1" si="28"/>
        <v>42664</v>
      </c>
      <c r="B964" s="21" t="str">
        <f ca="1"/>
        <v>2016-10-21</v>
      </c>
      <c r="C964" s="22">
        <f ca="1"/>
        <v>60.279998999999997</v>
      </c>
      <c r="D964" s="22">
        <f ca="1"/>
        <v>60.450001</v>
      </c>
      <c r="E964" s="22">
        <f ca="1"/>
        <v>59.490001999999997</v>
      </c>
      <c r="F964" s="22">
        <f ca="1"/>
        <v>59.66</v>
      </c>
      <c r="G964" s="22">
        <f ca="1"/>
        <v>54.586860999999999</v>
      </c>
      <c r="H964" s="69">
        <f ca="1"/>
        <v>80032200</v>
      </c>
      <c r="I964" s="23" t="str">
        <f t="shared" ca="1" si="29"/>
        <v/>
      </c>
    </row>
    <row r="965" spans="1:9" ht="13.8">
      <c r="A965" s="20">
        <f t="shared" ca="1" si="28"/>
        <v>42667</v>
      </c>
      <c r="B965" s="21" t="str">
        <f ca="1"/>
        <v>2016-10-24</v>
      </c>
      <c r="C965" s="22">
        <f ca="1"/>
        <v>59.939999</v>
      </c>
      <c r="D965" s="22">
        <f ca="1"/>
        <v>61</v>
      </c>
      <c r="E965" s="22">
        <f ca="1"/>
        <v>59.93</v>
      </c>
      <c r="F965" s="22">
        <f ca="1"/>
        <v>61</v>
      </c>
      <c r="G965" s="22">
        <f ca="1"/>
        <v>55.812904000000003</v>
      </c>
      <c r="H965" s="69">
        <f ca="1"/>
        <v>54067000</v>
      </c>
      <c r="I965" s="23" t="str">
        <f t="shared" ca="1" si="29"/>
        <v/>
      </c>
    </row>
    <row r="966" spans="1:9" ht="13.8">
      <c r="A966" s="20">
        <f t="shared" ref="A966:A1029" ca="1" si="30">IFERROR(DATEVALUE($B966),"--")</f>
        <v>42668</v>
      </c>
      <c r="B966" s="21" t="str">
        <f ca="1"/>
        <v>2016-10-25</v>
      </c>
      <c r="C966" s="22">
        <f ca="1"/>
        <v>60.849997999999999</v>
      </c>
      <c r="D966" s="22">
        <f ca="1"/>
        <v>61.369999</v>
      </c>
      <c r="E966" s="22">
        <f ca="1"/>
        <v>60.799999</v>
      </c>
      <c r="F966" s="22">
        <f ca="1"/>
        <v>60.990001999999997</v>
      </c>
      <c r="G966" s="22">
        <f ca="1"/>
        <v>55.803753</v>
      </c>
      <c r="H966" s="69">
        <f ca="1"/>
        <v>35137200</v>
      </c>
      <c r="I966" s="23" t="str">
        <f t="shared" ref="I966:I1029" ca="1" si="31">IFERROR(IF(Ticker&lt;&gt;$Q$2,"",INDEX($P:$P,MATCH($A966,$O:$O,0))),"")</f>
        <v/>
      </c>
    </row>
    <row r="967" spans="1:9" ht="13.8">
      <c r="A967" s="20">
        <f t="shared" ca="1" si="30"/>
        <v>42669</v>
      </c>
      <c r="B967" s="21" t="str">
        <f ca="1"/>
        <v>2016-10-26</v>
      </c>
      <c r="C967" s="22">
        <f ca="1"/>
        <v>60.810001</v>
      </c>
      <c r="D967" s="22">
        <f ca="1"/>
        <v>61.200001</v>
      </c>
      <c r="E967" s="22">
        <f ca="1"/>
        <v>60.470001000000003</v>
      </c>
      <c r="F967" s="22">
        <f ca="1"/>
        <v>60.630001</v>
      </c>
      <c r="G967" s="22">
        <f ca="1"/>
        <v>55.474369000000003</v>
      </c>
      <c r="H967" s="69">
        <f ca="1"/>
        <v>29911600</v>
      </c>
      <c r="I967" s="23" t="str">
        <f t="shared" ca="1" si="31"/>
        <v/>
      </c>
    </row>
    <row r="968" spans="1:9" ht="13.8">
      <c r="A968" s="20">
        <f t="shared" ca="1" si="30"/>
        <v>42670</v>
      </c>
      <c r="B968" s="21" t="str">
        <f ca="1"/>
        <v>2016-10-27</v>
      </c>
      <c r="C968" s="22">
        <f ca="1"/>
        <v>60.610000999999997</v>
      </c>
      <c r="D968" s="22">
        <f ca="1"/>
        <v>60.830002</v>
      </c>
      <c r="E968" s="22">
        <f ca="1"/>
        <v>60.09</v>
      </c>
      <c r="F968" s="22">
        <f ca="1"/>
        <v>60.099997999999999</v>
      </c>
      <c r="G968" s="22">
        <f ca="1"/>
        <v>54.989437000000002</v>
      </c>
      <c r="H968" s="69">
        <f ca="1"/>
        <v>28479900</v>
      </c>
      <c r="I968" s="23" t="str">
        <f t="shared" ca="1" si="31"/>
        <v/>
      </c>
    </row>
    <row r="969" spans="1:9" ht="13.8">
      <c r="A969" s="20">
        <f t="shared" ca="1" si="30"/>
        <v>42671</v>
      </c>
      <c r="B969" s="21" t="str">
        <f ca="1"/>
        <v>2016-10-28</v>
      </c>
      <c r="C969" s="22">
        <f ca="1"/>
        <v>60.009998000000003</v>
      </c>
      <c r="D969" s="22">
        <f ca="1"/>
        <v>60.52</v>
      </c>
      <c r="E969" s="22">
        <f ca="1"/>
        <v>59.580002</v>
      </c>
      <c r="F969" s="22">
        <f ca="1"/>
        <v>59.869999</v>
      </c>
      <c r="G969" s="22">
        <f ca="1"/>
        <v>54.778998999999999</v>
      </c>
      <c r="H969" s="69">
        <f ca="1"/>
        <v>33574700</v>
      </c>
      <c r="I969" s="23" t="str">
        <f t="shared" ca="1" si="31"/>
        <v/>
      </c>
    </row>
    <row r="970" spans="1:9" ht="13.8">
      <c r="A970" s="20">
        <f t="shared" ca="1" si="30"/>
        <v>42674</v>
      </c>
      <c r="B970" s="21" t="str">
        <f ca="1"/>
        <v>2016-10-31</v>
      </c>
      <c r="C970" s="22">
        <f ca="1"/>
        <v>60.16</v>
      </c>
      <c r="D970" s="22">
        <f ca="1"/>
        <v>60.419998</v>
      </c>
      <c r="E970" s="22">
        <f ca="1"/>
        <v>59.919998</v>
      </c>
      <c r="F970" s="22">
        <f ca="1"/>
        <v>59.919998</v>
      </c>
      <c r="G970" s="22">
        <f ca="1"/>
        <v>54.824741000000003</v>
      </c>
      <c r="H970" s="69">
        <f ca="1"/>
        <v>26434700</v>
      </c>
      <c r="I970" s="23" t="str">
        <f t="shared" ca="1" si="31"/>
        <v/>
      </c>
    </row>
    <row r="971" spans="1:9" ht="13.8">
      <c r="A971" s="20">
        <f t="shared" ca="1" si="30"/>
        <v>42675</v>
      </c>
      <c r="B971" s="21" t="str">
        <f ca="1"/>
        <v>2016-11-01</v>
      </c>
      <c r="C971" s="22">
        <f ca="1"/>
        <v>59.970001000000003</v>
      </c>
      <c r="D971" s="22">
        <f ca="1"/>
        <v>60.02</v>
      </c>
      <c r="E971" s="22">
        <f ca="1"/>
        <v>59.25</v>
      </c>
      <c r="F971" s="22">
        <f ca="1"/>
        <v>59.799999</v>
      </c>
      <c r="G971" s="22">
        <f ca="1"/>
        <v>54.714950999999999</v>
      </c>
      <c r="H971" s="69">
        <f ca="1"/>
        <v>24533000</v>
      </c>
      <c r="I971" s="23" t="str">
        <f t="shared" ca="1" si="31"/>
        <v/>
      </c>
    </row>
    <row r="972" spans="1:9" ht="13.8">
      <c r="A972" s="20">
        <f t="shared" ca="1" si="30"/>
        <v>42676</v>
      </c>
      <c r="B972" s="21" t="str">
        <f ca="1"/>
        <v>2016-11-02</v>
      </c>
      <c r="C972" s="22">
        <f ca="1"/>
        <v>59.82</v>
      </c>
      <c r="D972" s="22">
        <f ca="1"/>
        <v>59.93</v>
      </c>
      <c r="E972" s="22">
        <f ca="1"/>
        <v>59.299999</v>
      </c>
      <c r="F972" s="22">
        <f ca="1"/>
        <v>59.43</v>
      </c>
      <c r="G972" s="22">
        <f ca="1"/>
        <v>54.376415000000001</v>
      </c>
      <c r="H972" s="69">
        <f ca="1"/>
        <v>22147000</v>
      </c>
      <c r="I972" s="23" t="str">
        <f t="shared" ca="1" si="31"/>
        <v/>
      </c>
    </row>
    <row r="973" spans="1:9" ht="13.8">
      <c r="A973" s="20">
        <f t="shared" ca="1" si="30"/>
        <v>42677</v>
      </c>
      <c r="B973" s="21" t="str">
        <f ca="1"/>
        <v>2016-11-03</v>
      </c>
      <c r="C973" s="22">
        <f ca="1"/>
        <v>59.529998999999997</v>
      </c>
      <c r="D973" s="22">
        <f ca="1"/>
        <v>59.639999000000003</v>
      </c>
      <c r="E973" s="22">
        <f ca="1"/>
        <v>59.110000999999997</v>
      </c>
      <c r="F973" s="22">
        <f ca="1"/>
        <v>59.209999000000003</v>
      </c>
      <c r="G973" s="22">
        <f ca="1"/>
        <v>54.175125000000001</v>
      </c>
      <c r="H973" s="69">
        <f ca="1"/>
        <v>21600400</v>
      </c>
      <c r="I973" s="23" t="str">
        <f t="shared" ca="1" si="31"/>
        <v/>
      </c>
    </row>
    <row r="974" spans="1:9" ht="13.8">
      <c r="A974" s="20">
        <f t="shared" ca="1" si="30"/>
        <v>42678</v>
      </c>
      <c r="B974" s="21" t="str">
        <f ca="1"/>
        <v>2016-11-04</v>
      </c>
      <c r="C974" s="22">
        <f ca="1"/>
        <v>58.650002000000001</v>
      </c>
      <c r="D974" s="22">
        <f ca="1"/>
        <v>59.279998999999997</v>
      </c>
      <c r="E974" s="22">
        <f ca="1"/>
        <v>58.52</v>
      </c>
      <c r="F974" s="22">
        <f ca="1"/>
        <v>58.709999000000003</v>
      </c>
      <c r="G974" s="22">
        <f ca="1"/>
        <v>53.717632000000002</v>
      </c>
      <c r="H974" s="69">
        <f ca="1"/>
        <v>28697000</v>
      </c>
      <c r="I974" s="23" t="str">
        <f t="shared" ca="1" si="31"/>
        <v/>
      </c>
    </row>
    <row r="975" spans="1:9" ht="13.8">
      <c r="A975" s="20">
        <f t="shared" ca="1" si="30"/>
        <v>42681</v>
      </c>
      <c r="B975" s="21" t="str">
        <f ca="1"/>
        <v>2016-11-07</v>
      </c>
      <c r="C975" s="22">
        <f ca="1"/>
        <v>59.779998999999997</v>
      </c>
      <c r="D975" s="22">
        <f ca="1"/>
        <v>60.52</v>
      </c>
      <c r="E975" s="22">
        <f ca="1"/>
        <v>59.779998999999997</v>
      </c>
      <c r="F975" s="22">
        <f ca="1"/>
        <v>60.419998</v>
      </c>
      <c r="G975" s="22">
        <f ca="1"/>
        <v>55.282229999999998</v>
      </c>
      <c r="H975" s="69">
        <f ca="1"/>
        <v>31664800</v>
      </c>
      <c r="I975" s="23" t="str">
        <f t="shared" ca="1" si="31"/>
        <v/>
      </c>
    </row>
    <row r="976" spans="1:9" ht="13.8">
      <c r="A976" s="20">
        <f t="shared" ca="1" si="30"/>
        <v>42682</v>
      </c>
      <c r="B976" s="21" t="str">
        <f ca="1"/>
        <v>2016-11-08</v>
      </c>
      <c r="C976" s="22">
        <f ca="1"/>
        <v>60.549999</v>
      </c>
      <c r="D976" s="22">
        <f ca="1"/>
        <v>60.779998999999997</v>
      </c>
      <c r="E976" s="22">
        <f ca="1"/>
        <v>60.150002000000001</v>
      </c>
      <c r="F976" s="22">
        <f ca="1"/>
        <v>60.470001000000003</v>
      </c>
      <c r="G976" s="22">
        <f ca="1"/>
        <v>55.327979999999997</v>
      </c>
      <c r="H976" s="69">
        <f ca="1"/>
        <v>22935400</v>
      </c>
      <c r="I976" s="23" t="str">
        <f t="shared" ca="1" si="31"/>
        <v/>
      </c>
    </row>
    <row r="977" spans="1:9" ht="13.8">
      <c r="A977" s="20">
        <f t="shared" ca="1" si="30"/>
        <v>42683</v>
      </c>
      <c r="B977" s="21" t="str">
        <f ca="1"/>
        <v>2016-11-09</v>
      </c>
      <c r="C977" s="22">
        <f ca="1"/>
        <v>60</v>
      </c>
      <c r="D977" s="22">
        <f ca="1"/>
        <v>60.59</v>
      </c>
      <c r="E977" s="22">
        <f ca="1"/>
        <v>59.200001</v>
      </c>
      <c r="F977" s="22">
        <f ca="1"/>
        <v>60.169998</v>
      </c>
      <c r="G977" s="22">
        <f ca="1"/>
        <v>55.053485999999999</v>
      </c>
      <c r="H977" s="69">
        <f ca="1"/>
        <v>49632500</v>
      </c>
      <c r="I977" s="23" t="str">
        <f t="shared" ca="1" si="31"/>
        <v/>
      </c>
    </row>
    <row r="978" spans="1:9" ht="13.8">
      <c r="A978" s="20">
        <f t="shared" ca="1" si="30"/>
        <v>42684</v>
      </c>
      <c r="B978" s="21" t="str">
        <f ca="1"/>
        <v>2016-11-10</v>
      </c>
      <c r="C978" s="22">
        <f ca="1"/>
        <v>60.48</v>
      </c>
      <c r="D978" s="22">
        <f ca="1"/>
        <v>60.490001999999997</v>
      </c>
      <c r="E978" s="22">
        <f ca="1"/>
        <v>57.630001</v>
      </c>
      <c r="F978" s="22">
        <f ca="1"/>
        <v>58.700001</v>
      </c>
      <c r="G978" s="22">
        <f ca="1"/>
        <v>53.708492</v>
      </c>
      <c r="H978" s="69">
        <f ca="1"/>
        <v>57822400</v>
      </c>
      <c r="I978" s="23" t="str">
        <f t="shared" ca="1" si="31"/>
        <v/>
      </c>
    </row>
    <row r="979" spans="1:9" ht="13.8">
      <c r="A979" s="20">
        <f t="shared" ca="1" si="30"/>
        <v>42685</v>
      </c>
      <c r="B979" s="21" t="str">
        <f ca="1"/>
        <v>2016-11-11</v>
      </c>
      <c r="C979" s="22">
        <f ca="1"/>
        <v>58.23</v>
      </c>
      <c r="D979" s="22">
        <f ca="1"/>
        <v>59.119999</v>
      </c>
      <c r="E979" s="22">
        <f ca="1"/>
        <v>58.009998000000003</v>
      </c>
      <c r="F979" s="22">
        <f ca="1"/>
        <v>59.02</v>
      </c>
      <c r="G979" s="22">
        <f ca="1"/>
        <v>54.001286</v>
      </c>
      <c r="H979" s="69">
        <f ca="1"/>
        <v>38767800</v>
      </c>
      <c r="I979" s="23" t="str">
        <f t="shared" ca="1" si="31"/>
        <v/>
      </c>
    </row>
    <row r="980" spans="1:9" ht="13.8">
      <c r="A980" s="20">
        <f t="shared" ca="1" si="30"/>
        <v>42688</v>
      </c>
      <c r="B980" s="21" t="str">
        <f ca="1"/>
        <v>2016-11-14</v>
      </c>
      <c r="C980" s="22">
        <f ca="1"/>
        <v>59.02</v>
      </c>
      <c r="D980" s="22">
        <f ca="1"/>
        <v>59.080002</v>
      </c>
      <c r="E980" s="22">
        <f ca="1"/>
        <v>57.279998999999997</v>
      </c>
      <c r="F980" s="22">
        <f ca="1"/>
        <v>58.119999</v>
      </c>
      <c r="G980" s="22">
        <f ca="1"/>
        <v>53.177807000000001</v>
      </c>
      <c r="H980" s="69">
        <f ca="1"/>
        <v>41328400</v>
      </c>
      <c r="I980" s="23" t="str">
        <f t="shared" ca="1" si="31"/>
        <v/>
      </c>
    </row>
    <row r="981" spans="1:9" ht="13.8">
      <c r="A981" s="20">
        <f t="shared" ca="1" si="30"/>
        <v>42689</v>
      </c>
      <c r="B981" s="21" t="str">
        <f ca="1"/>
        <v>2016-11-15</v>
      </c>
      <c r="C981" s="22">
        <f ca="1"/>
        <v>58.330002</v>
      </c>
      <c r="D981" s="22">
        <f ca="1"/>
        <v>59.490001999999997</v>
      </c>
      <c r="E981" s="22">
        <f ca="1"/>
        <v>58.32</v>
      </c>
      <c r="F981" s="22">
        <f ca="1"/>
        <v>58.869999</v>
      </c>
      <c r="G981" s="22">
        <f ca="1"/>
        <v>54.227908999999997</v>
      </c>
      <c r="H981" s="69">
        <f ca="1"/>
        <v>35904100</v>
      </c>
      <c r="I981" s="23">
        <f t="shared" ca="1" si="31"/>
        <v>0.39</v>
      </c>
    </row>
    <row r="982" spans="1:9" ht="13.8">
      <c r="A982" s="20">
        <f t="shared" ca="1" si="30"/>
        <v>42690</v>
      </c>
      <c r="B982" s="21" t="str">
        <f ca="1"/>
        <v>2016-11-16</v>
      </c>
      <c r="C982" s="22">
        <f ca="1"/>
        <v>58.939999</v>
      </c>
      <c r="D982" s="22">
        <f ca="1"/>
        <v>59.66</v>
      </c>
      <c r="E982" s="22">
        <f ca="1"/>
        <v>58.810001</v>
      </c>
      <c r="F982" s="22">
        <f ca="1"/>
        <v>59.650002000000001</v>
      </c>
      <c r="G982" s="22">
        <f ca="1"/>
        <v>54.946407000000001</v>
      </c>
      <c r="H982" s="69">
        <f ca="1"/>
        <v>27332500</v>
      </c>
      <c r="I982" s="23" t="str">
        <f t="shared" ca="1" si="31"/>
        <v/>
      </c>
    </row>
    <row r="983" spans="1:9" ht="13.8">
      <c r="A983" s="20">
        <f t="shared" ca="1" si="30"/>
        <v>42691</v>
      </c>
      <c r="B983" s="21" t="str">
        <f ca="1"/>
        <v>2016-11-17</v>
      </c>
      <c r="C983" s="22">
        <f ca="1"/>
        <v>60.41</v>
      </c>
      <c r="D983" s="22">
        <f ca="1"/>
        <v>60.950001</v>
      </c>
      <c r="E983" s="22">
        <f ca="1"/>
        <v>59.970001000000003</v>
      </c>
      <c r="F983" s="22">
        <f ca="1"/>
        <v>60.639999000000003</v>
      </c>
      <c r="G983" s="22">
        <f ca="1"/>
        <v>55.858353000000001</v>
      </c>
      <c r="H983" s="69">
        <f ca="1"/>
        <v>32132700</v>
      </c>
      <c r="I983" s="23" t="str">
        <f t="shared" ca="1" si="31"/>
        <v/>
      </c>
    </row>
    <row r="984" spans="1:9" ht="13.8">
      <c r="A984" s="20">
        <f t="shared" ca="1" si="30"/>
        <v>42692</v>
      </c>
      <c r="B984" s="21" t="str">
        <f ca="1"/>
        <v>2016-11-18</v>
      </c>
      <c r="C984" s="22">
        <f ca="1"/>
        <v>60.779998999999997</v>
      </c>
      <c r="D984" s="22">
        <f ca="1"/>
        <v>61.139999000000003</v>
      </c>
      <c r="E984" s="22">
        <f ca="1"/>
        <v>60.299999</v>
      </c>
      <c r="F984" s="22">
        <f ca="1"/>
        <v>60.349997999999999</v>
      </c>
      <c r="G984" s="22">
        <f ca="1"/>
        <v>55.591213000000003</v>
      </c>
      <c r="H984" s="69">
        <f ca="1"/>
        <v>27686300</v>
      </c>
      <c r="I984" s="23" t="str">
        <f t="shared" ca="1" si="31"/>
        <v/>
      </c>
    </row>
    <row r="985" spans="1:9" ht="13.8">
      <c r="A985" s="20">
        <f t="shared" ca="1" si="30"/>
        <v>42695</v>
      </c>
      <c r="B985" s="21" t="str">
        <f ca="1"/>
        <v>2016-11-21</v>
      </c>
      <c r="C985" s="22">
        <f ca="1"/>
        <v>60.5</v>
      </c>
      <c r="D985" s="22">
        <f ca="1"/>
        <v>60.970001000000003</v>
      </c>
      <c r="E985" s="22">
        <f ca="1"/>
        <v>60.419998</v>
      </c>
      <c r="F985" s="22">
        <f ca="1"/>
        <v>60.860000999999997</v>
      </c>
      <c r="G985" s="22">
        <f ca="1"/>
        <v>56.061000999999997</v>
      </c>
      <c r="H985" s="69">
        <f ca="1"/>
        <v>19652600</v>
      </c>
      <c r="I985" s="23" t="str">
        <f t="shared" ca="1" si="31"/>
        <v/>
      </c>
    </row>
    <row r="986" spans="1:9" ht="13.8">
      <c r="A986" s="20">
        <f t="shared" ca="1" si="30"/>
        <v>42696</v>
      </c>
      <c r="B986" s="21" t="str">
        <f ca="1"/>
        <v>2016-11-22</v>
      </c>
      <c r="C986" s="22">
        <f ca="1"/>
        <v>60.98</v>
      </c>
      <c r="D986" s="22">
        <f ca="1"/>
        <v>61.259998000000003</v>
      </c>
      <c r="E986" s="22">
        <f ca="1"/>
        <v>60.810001</v>
      </c>
      <c r="F986" s="22">
        <f ca="1"/>
        <v>61.119999</v>
      </c>
      <c r="G986" s="22">
        <f ca="1"/>
        <v>56.300488000000001</v>
      </c>
      <c r="H986" s="69">
        <f ca="1"/>
        <v>23206700</v>
      </c>
      <c r="I986" s="23" t="str">
        <f t="shared" ca="1" si="31"/>
        <v/>
      </c>
    </row>
    <row r="987" spans="1:9" ht="13.8">
      <c r="A987" s="20">
        <f t="shared" ca="1" si="30"/>
        <v>42697</v>
      </c>
      <c r="B987" s="21" t="str">
        <f ca="1"/>
        <v>2016-11-23</v>
      </c>
      <c r="C987" s="22">
        <f ca="1"/>
        <v>61.009998000000003</v>
      </c>
      <c r="D987" s="22">
        <f ca="1"/>
        <v>61.099997999999999</v>
      </c>
      <c r="E987" s="22">
        <f ca="1"/>
        <v>60.25</v>
      </c>
      <c r="F987" s="22">
        <f ca="1"/>
        <v>60.400002000000001</v>
      </c>
      <c r="G987" s="22">
        <f ca="1"/>
        <v>55.637276</v>
      </c>
      <c r="H987" s="69">
        <f ca="1"/>
        <v>21848900</v>
      </c>
      <c r="I987" s="23" t="str">
        <f t="shared" ca="1" si="31"/>
        <v/>
      </c>
    </row>
    <row r="988" spans="1:9" ht="13.8">
      <c r="A988" s="20">
        <f t="shared" ca="1" si="30"/>
        <v>42699</v>
      </c>
      <c r="B988" s="21" t="str">
        <f ca="1"/>
        <v>2016-11-25</v>
      </c>
      <c r="C988" s="22">
        <f ca="1"/>
        <v>60.299999</v>
      </c>
      <c r="D988" s="22">
        <f ca="1"/>
        <v>60.529998999999997</v>
      </c>
      <c r="E988" s="22">
        <f ca="1"/>
        <v>60.130001</v>
      </c>
      <c r="F988" s="22">
        <f ca="1"/>
        <v>60.529998999999997</v>
      </c>
      <c r="G988" s="22">
        <f ca="1"/>
        <v>55.75703</v>
      </c>
      <c r="H988" s="69">
        <f ca="1"/>
        <v>8409600</v>
      </c>
      <c r="I988" s="23" t="str">
        <f t="shared" ca="1" si="31"/>
        <v/>
      </c>
    </row>
    <row r="989" spans="1:9" ht="13.8">
      <c r="A989" s="20">
        <f t="shared" ca="1" si="30"/>
        <v>42702</v>
      </c>
      <c r="B989" s="21" t="str">
        <f ca="1"/>
        <v>2016-11-28</v>
      </c>
      <c r="C989" s="22">
        <f ca="1"/>
        <v>60.34</v>
      </c>
      <c r="D989" s="22">
        <f ca="1"/>
        <v>61.02</v>
      </c>
      <c r="E989" s="22">
        <f ca="1"/>
        <v>60.209999000000003</v>
      </c>
      <c r="F989" s="22">
        <f ca="1"/>
        <v>60.610000999999997</v>
      </c>
      <c r="G989" s="22">
        <f ca="1"/>
        <v>55.8307</v>
      </c>
      <c r="H989" s="69">
        <f ca="1"/>
        <v>20732600</v>
      </c>
      <c r="I989" s="23" t="str">
        <f t="shared" ca="1" si="31"/>
        <v/>
      </c>
    </row>
    <row r="990" spans="1:9" ht="13.8">
      <c r="A990" s="20">
        <f t="shared" ca="1" si="30"/>
        <v>42703</v>
      </c>
      <c r="B990" s="21" t="str">
        <f ca="1"/>
        <v>2016-11-29</v>
      </c>
      <c r="C990" s="22">
        <f ca="1"/>
        <v>60.650002000000001</v>
      </c>
      <c r="D990" s="22">
        <f ca="1"/>
        <v>61.41</v>
      </c>
      <c r="E990" s="22">
        <f ca="1"/>
        <v>60.52</v>
      </c>
      <c r="F990" s="22">
        <f ca="1"/>
        <v>61.09</v>
      </c>
      <c r="G990" s="22">
        <f ca="1"/>
        <v>56.272865000000003</v>
      </c>
      <c r="H990" s="69">
        <f ca="1"/>
        <v>22366700</v>
      </c>
      <c r="I990" s="23" t="str">
        <f t="shared" ca="1" si="31"/>
        <v/>
      </c>
    </row>
    <row r="991" spans="1:9" ht="13.8">
      <c r="A991" s="20">
        <f t="shared" ca="1" si="30"/>
        <v>42704</v>
      </c>
      <c r="B991" s="21" t="str">
        <f ca="1"/>
        <v>2016-11-30</v>
      </c>
      <c r="C991" s="22">
        <f ca="1"/>
        <v>60.860000999999997</v>
      </c>
      <c r="D991" s="22">
        <f ca="1"/>
        <v>61.18</v>
      </c>
      <c r="E991" s="22">
        <f ca="1"/>
        <v>60.220001000000003</v>
      </c>
      <c r="F991" s="22">
        <f ca="1"/>
        <v>60.259998000000003</v>
      </c>
      <c r="G991" s="22">
        <f ca="1"/>
        <v>55.508311999999997</v>
      </c>
      <c r="H991" s="69">
        <f ca="1"/>
        <v>34655400</v>
      </c>
      <c r="I991" s="23" t="str">
        <f t="shared" ca="1" si="31"/>
        <v/>
      </c>
    </row>
    <row r="992" spans="1:9" ht="13.8">
      <c r="A992" s="20">
        <f t="shared" ca="1" si="30"/>
        <v>42705</v>
      </c>
      <c r="B992" s="21" t="str">
        <f ca="1"/>
        <v>2016-12-01</v>
      </c>
      <c r="C992" s="22">
        <f ca="1"/>
        <v>60.110000999999997</v>
      </c>
      <c r="D992" s="22">
        <f ca="1"/>
        <v>60.150002000000001</v>
      </c>
      <c r="E992" s="22">
        <f ca="1"/>
        <v>58.939999</v>
      </c>
      <c r="F992" s="22">
        <f ca="1"/>
        <v>59.200001</v>
      </c>
      <c r="G992" s="22">
        <f ca="1"/>
        <v>54.531891000000002</v>
      </c>
      <c r="H992" s="69">
        <f ca="1"/>
        <v>34542100</v>
      </c>
      <c r="I992" s="23" t="str">
        <f t="shared" ca="1" si="31"/>
        <v/>
      </c>
    </row>
    <row r="993" spans="1:9" ht="13.8">
      <c r="A993" s="20">
        <f t="shared" ca="1" si="30"/>
        <v>42706</v>
      </c>
      <c r="B993" s="21" t="str">
        <f ca="1"/>
        <v>2016-12-02</v>
      </c>
      <c r="C993" s="22">
        <f ca="1"/>
        <v>59.080002</v>
      </c>
      <c r="D993" s="22">
        <f ca="1"/>
        <v>59.470001000000003</v>
      </c>
      <c r="E993" s="22">
        <f ca="1"/>
        <v>58.799999</v>
      </c>
      <c r="F993" s="22">
        <f ca="1"/>
        <v>59.25</v>
      </c>
      <c r="G993" s="22">
        <f ca="1"/>
        <v>54.577956999999998</v>
      </c>
      <c r="H993" s="69">
        <f ca="1"/>
        <v>25515700</v>
      </c>
      <c r="I993" s="23" t="str">
        <f t="shared" ca="1" si="31"/>
        <v/>
      </c>
    </row>
    <row r="994" spans="1:9" ht="13.8">
      <c r="A994" s="20">
        <f t="shared" ca="1" si="30"/>
        <v>42709</v>
      </c>
      <c r="B994" s="21" t="str">
        <f ca="1"/>
        <v>2016-12-05</v>
      </c>
      <c r="C994" s="22">
        <f ca="1"/>
        <v>59.700001</v>
      </c>
      <c r="D994" s="22">
        <f ca="1"/>
        <v>60.59</v>
      </c>
      <c r="E994" s="22">
        <f ca="1"/>
        <v>59.560001</v>
      </c>
      <c r="F994" s="22">
        <f ca="1"/>
        <v>60.220001000000003</v>
      </c>
      <c r="G994" s="22">
        <f ca="1"/>
        <v>55.471469999999997</v>
      </c>
      <c r="H994" s="69">
        <f ca="1"/>
        <v>23552700</v>
      </c>
      <c r="I994" s="23" t="str">
        <f t="shared" ca="1" si="31"/>
        <v/>
      </c>
    </row>
    <row r="995" spans="1:9" ht="13.8">
      <c r="A995" s="20">
        <f t="shared" ca="1" si="30"/>
        <v>42710</v>
      </c>
      <c r="B995" s="21" t="str">
        <f ca="1"/>
        <v>2016-12-06</v>
      </c>
      <c r="C995" s="22">
        <f ca="1"/>
        <v>60.43</v>
      </c>
      <c r="D995" s="22">
        <f ca="1"/>
        <v>60.459999000000003</v>
      </c>
      <c r="E995" s="22">
        <f ca="1"/>
        <v>59.799999</v>
      </c>
      <c r="F995" s="22">
        <f ca="1"/>
        <v>59.950001</v>
      </c>
      <c r="G995" s="22">
        <f ca="1"/>
        <v>55.222759000000003</v>
      </c>
      <c r="H995" s="69">
        <f ca="1"/>
        <v>19907000</v>
      </c>
      <c r="I995" s="23" t="str">
        <f t="shared" ca="1" si="31"/>
        <v/>
      </c>
    </row>
    <row r="996" spans="1:9" ht="13.8">
      <c r="A996" s="20">
        <f t="shared" ca="1" si="30"/>
        <v>42711</v>
      </c>
      <c r="B996" s="21" t="str">
        <f ca="1"/>
        <v>2016-12-07</v>
      </c>
      <c r="C996" s="22">
        <f ca="1"/>
        <v>60.009998000000003</v>
      </c>
      <c r="D996" s="22">
        <f ca="1"/>
        <v>61.380001</v>
      </c>
      <c r="E996" s="22">
        <f ca="1"/>
        <v>59.799999</v>
      </c>
      <c r="F996" s="22">
        <f ca="1"/>
        <v>61.369999</v>
      </c>
      <c r="G996" s="22">
        <f ca="1"/>
        <v>56.530785000000002</v>
      </c>
      <c r="H996" s="69">
        <f ca="1"/>
        <v>30809000</v>
      </c>
      <c r="I996" s="23" t="str">
        <f t="shared" ca="1" si="31"/>
        <v/>
      </c>
    </row>
    <row r="997" spans="1:9" ht="13.8">
      <c r="A997" s="20">
        <f t="shared" ca="1" si="30"/>
        <v>42712</v>
      </c>
      <c r="B997" s="21" t="str">
        <f ca="1"/>
        <v>2016-12-08</v>
      </c>
      <c r="C997" s="22">
        <f ca="1"/>
        <v>61.299999</v>
      </c>
      <c r="D997" s="22">
        <f ca="1"/>
        <v>61.580002</v>
      </c>
      <c r="E997" s="22">
        <f ca="1"/>
        <v>60.84</v>
      </c>
      <c r="F997" s="22">
        <f ca="1"/>
        <v>61.009998000000003</v>
      </c>
      <c r="G997" s="22">
        <f ca="1"/>
        <v>56.199168999999998</v>
      </c>
      <c r="H997" s="69">
        <f ca="1"/>
        <v>21220800</v>
      </c>
      <c r="I997" s="23" t="str">
        <f t="shared" ca="1" si="31"/>
        <v/>
      </c>
    </row>
    <row r="998" spans="1:9" ht="13.8">
      <c r="A998" s="20">
        <f t="shared" ca="1" si="30"/>
        <v>42713</v>
      </c>
      <c r="B998" s="21" t="str">
        <f ca="1"/>
        <v>2016-12-09</v>
      </c>
      <c r="C998" s="22">
        <f ca="1"/>
        <v>61.18</v>
      </c>
      <c r="D998" s="22">
        <f ca="1"/>
        <v>61.990001999999997</v>
      </c>
      <c r="E998" s="22">
        <f ca="1"/>
        <v>61.130001</v>
      </c>
      <c r="F998" s="22">
        <f ca="1"/>
        <v>61.970001000000003</v>
      </c>
      <c r="G998" s="22">
        <f ca="1"/>
        <v>57.083472999999998</v>
      </c>
      <c r="H998" s="69">
        <f ca="1"/>
        <v>27349400</v>
      </c>
      <c r="I998" s="23" t="str">
        <f t="shared" ca="1" si="31"/>
        <v/>
      </c>
    </row>
    <row r="999" spans="1:9" ht="13.8">
      <c r="A999" s="20">
        <f t="shared" ca="1" si="30"/>
        <v>42716</v>
      </c>
      <c r="B999" s="21" t="str">
        <f ca="1"/>
        <v>2016-12-12</v>
      </c>
      <c r="C999" s="22">
        <f ca="1"/>
        <v>61.82</v>
      </c>
      <c r="D999" s="22">
        <f ca="1"/>
        <v>62.299999</v>
      </c>
      <c r="E999" s="22">
        <f ca="1"/>
        <v>61.720001000000003</v>
      </c>
      <c r="F999" s="22">
        <f ca="1"/>
        <v>62.169998</v>
      </c>
      <c r="G999" s="22">
        <f ca="1"/>
        <v>57.267699999999998</v>
      </c>
      <c r="H999" s="69">
        <f ca="1"/>
        <v>20198100</v>
      </c>
      <c r="I999" s="23" t="str">
        <f t="shared" ca="1" si="31"/>
        <v/>
      </c>
    </row>
    <row r="1000" spans="1:9" ht="13.8">
      <c r="A1000" s="20">
        <f t="shared" ca="1" si="30"/>
        <v>42717</v>
      </c>
      <c r="B1000" s="21" t="str">
        <f ca="1"/>
        <v>2016-12-13</v>
      </c>
      <c r="C1000" s="22">
        <f ca="1"/>
        <v>62.5</v>
      </c>
      <c r="D1000" s="22">
        <f ca="1"/>
        <v>63.419998</v>
      </c>
      <c r="E1000" s="22">
        <f ca="1"/>
        <v>62.240001999999997</v>
      </c>
      <c r="F1000" s="22">
        <f ca="1"/>
        <v>62.98</v>
      </c>
      <c r="G1000" s="22">
        <f ca="1"/>
        <v>58.013827999999997</v>
      </c>
      <c r="H1000" s="69">
        <f ca="1"/>
        <v>35718900</v>
      </c>
      <c r="I1000" s="23" t="str">
        <f t="shared" ca="1" si="31"/>
        <v/>
      </c>
    </row>
    <row r="1001" spans="1:9" ht="13.8">
      <c r="A1001" s="20">
        <f t="shared" ca="1" si="30"/>
        <v>42718</v>
      </c>
      <c r="B1001" s="21" t="str">
        <f ca="1"/>
        <v>2016-12-14</v>
      </c>
      <c r="C1001" s="22">
        <f ca="1"/>
        <v>63</v>
      </c>
      <c r="D1001" s="22">
        <f ca="1"/>
        <v>63.450001</v>
      </c>
      <c r="E1001" s="22">
        <f ca="1"/>
        <v>62.529998999999997</v>
      </c>
      <c r="F1001" s="22">
        <f ca="1"/>
        <v>62.68</v>
      </c>
      <c r="G1001" s="22">
        <f ca="1"/>
        <v>57.737492000000003</v>
      </c>
      <c r="H1001" s="69">
        <f ca="1"/>
        <v>30352700</v>
      </c>
      <c r="I1001" s="23" t="str">
        <f t="shared" ca="1" si="31"/>
        <v/>
      </c>
    </row>
    <row r="1002" spans="1:9" ht="13.8">
      <c r="A1002" s="20">
        <f t="shared" ca="1" si="30"/>
        <v>42719</v>
      </c>
      <c r="B1002" s="21" t="str">
        <f ca="1"/>
        <v>2016-12-15</v>
      </c>
      <c r="C1002" s="22">
        <f ca="1"/>
        <v>62.700001</v>
      </c>
      <c r="D1002" s="22">
        <f ca="1"/>
        <v>63.150002000000001</v>
      </c>
      <c r="E1002" s="22">
        <f ca="1"/>
        <v>62.299999</v>
      </c>
      <c r="F1002" s="22">
        <f ca="1"/>
        <v>62.580002</v>
      </c>
      <c r="G1002" s="22">
        <f ca="1"/>
        <v>57.645373999999997</v>
      </c>
      <c r="H1002" s="69">
        <f ca="1"/>
        <v>27669900</v>
      </c>
      <c r="I1002" s="23" t="str">
        <f t="shared" ca="1" si="31"/>
        <v/>
      </c>
    </row>
    <row r="1003" spans="1:9" ht="13.8">
      <c r="A1003" s="20">
        <f t="shared" ca="1" si="30"/>
        <v>42720</v>
      </c>
      <c r="B1003" s="21" t="str">
        <f ca="1"/>
        <v>2016-12-16</v>
      </c>
      <c r="C1003" s="22">
        <f ca="1"/>
        <v>62.950001</v>
      </c>
      <c r="D1003" s="22">
        <f ca="1"/>
        <v>62.950001</v>
      </c>
      <c r="E1003" s="22">
        <f ca="1"/>
        <v>62.119999</v>
      </c>
      <c r="F1003" s="22">
        <f ca="1"/>
        <v>62.299999</v>
      </c>
      <c r="G1003" s="22">
        <f ca="1"/>
        <v>57.387444000000002</v>
      </c>
      <c r="H1003" s="69">
        <f ca="1"/>
        <v>42453100</v>
      </c>
      <c r="I1003" s="23" t="str">
        <f t="shared" ca="1" si="31"/>
        <v/>
      </c>
    </row>
    <row r="1004" spans="1:9" ht="13.8">
      <c r="A1004" s="20">
        <f t="shared" ca="1" si="30"/>
        <v>42723</v>
      </c>
      <c r="B1004" s="21" t="str">
        <f ca="1"/>
        <v>2016-12-19</v>
      </c>
      <c r="C1004" s="22">
        <f ca="1"/>
        <v>62.560001</v>
      </c>
      <c r="D1004" s="22">
        <f ca="1"/>
        <v>63.77</v>
      </c>
      <c r="E1004" s="22">
        <f ca="1"/>
        <v>62.419998</v>
      </c>
      <c r="F1004" s="22">
        <f ca="1"/>
        <v>63.619999</v>
      </c>
      <c r="G1004" s="22">
        <f ca="1"/>
        <v>58.603363000000002</v>
      </c>
      <c r="H1004" s="69">
        <f ca="1"/>
        <v>34338200</v>
      </c>
      <c r="I1004" s="23" t="str">
        <f t="shared" ca="1" si="31"/>
        <v/>
      </c>
    </row>
    <row r="1005" spans="1:9" ht="13.8">
      <c r="A1005" s="20">
        <f t="shared" ca="1" si="30"/>
        <v>42724</v>
      </c>
      <c r="B1005" s="21" t="str">
        <f ca="1"/>
        <v>2016-12-20</v>
      </c>
      <c r="C1005" s="22">
        <f ca="1"/>
        <v>63.689999</v>
      </c>
      <c r="D1005" s="22">
        <f ca="1"/>
        <v>63.799999</v>
      </c>
      <c r="E1005" s="22">
        <f ca="1"/>
        <v>63.029998999999997</v>
      </c>
      <c r="F1005" s="22">
        <f ca="1"/>
        <v>63.540000999999997</v>
      </c>
      <c r="G1005" s="22">
        <f ca="1"/>
        <v>58.529667000000003</v>
      </c>
      <c r="H1005" s="69">
        <f ca="1"/>
        <v>26028400</v>
      </c>
      <c r="I1005" s="23" t="str">
        <f t="shared" ca="1" si="31"/>
        <v/>
      </c>
    </row>
    <row r="1006" spans="1:9" ht="13.8">
      <c r="A1006" s="20">
        <f t="shared" ca="1" si="30"/>
        <v>42725</v>
      </c>
      <c r="B1006" s="21" t="str">
        <f ca="1"/>
        <v>2016-12-21</v>
      </c>
      <c r="C1006" s="22">
        <f ca="1"/>
        <v>63.43</v>
      </c>
      <c r="D1006" s="22">
        <f ca="1"/>
        <v>63.700001</v>
      </c>
      <c r="E1006" s="22">
        <f ca="1"/>
        <v>63.119999</v>
      </c>
      <c r="F1006" s="22">
        <f ca="1"/>
        <v>63.540000999999997</v>
      </c>
      <c r="G1006" s="22">
        <f ca="1"/>
        <v>58.529667000000003</v>
      </c>
      <c r="H1006" s="69">
        <f ca="1"/>
        <v>17096300</v>
      </c>
      <c r="I1006" s="23" t="str">
        <f t="shared" ca="1" si="31"/>
        <v/>
      </c>
    </row>
    <row r="1007" spans="1:9" ht="13.8">
      <c r="A1007" s="20">
        <f t="shared" ca="1" si="30"/>
        <v>42726</v>
      </c>
      <c r="B1007" s="21" t="str">
        <f ca="1"/>
        <v>2016-12-22</v>
      </c>
      <c r="C1007" s="22">
        <f ca="1"/>
        <v>63.84</v>
      </c>
      <c r="D1007" s="22">
        <f ca="1"/>
        <v>64.099997999999999</v>
      </c>
      <c r="E1007" s="22">
        <f ca="1"/>
        <v>63.41</v>
      </c>
      <c r="F1007" s="22">
        <f ca="1"/>
        <v>63.549999</v>
      </c>
      <c r="G1007" s="22">
        <f ca="1"/>
        <v>58.538879000000001</v>
      </c>
      <c r="H1007" s="69">
        <f ca="1"/>
        <v>22176600</v>
      </c>
      <c r="I1007" s="23" t="str">
        <f t="shared" ca="1" si="31"/>
        <v/>
      </c>
    </row>
    <row r="1008" spans="1:9" ht="13.8">
      <c r="A1008" s="20">
        <f t="shared" ca="1" si="30"/>
        <v>42727</v>
      </c>
      <c r="B1008" s="21" t="str">
        <f ca="1"/>
        <v>2016-12-23</v>
      </c>
      <c r="C1008" s="22">
        <f ca="1"/>
        <v>63.450001</v>
      </c>
      <c r="D1008" s="22">
        <f ca="1"/>
        <v>63.540000999999997</v>
      </c>
      <c r="E1008" s="22">
        <f ca="1"/>
        <v>62.799999</v>
      </c>
      <c r="F1008" s="22">
        <f ca="1"/>
        <v>63.240001999999997</v>
      </c>
      <c r="G1008" s="22">
        <f ca="1"/>
        <v>58.253329999999998</v>
      </c>
      <c r="H1008" s="69">
        <f ca="1"/>
        <v>12403800</v>
      </c>
      <c r="I1008" s="23" t="str">
        <f t="shared" ca="1" si="31"/>
        <v/>
      </c>
    </row>
    <row r="1009" spans="1:9" ht="13.8">
      <c r="A1009" s="20">
        <f t="shared" ca="1" si="30"/>
        <v>42731</v>
      </c>
      <c r="B1009" s="21" t="str">
        <f ca="1"/>
        <v>2016-12-27</v>
      </c>
      <c r="C1009" s="22">
        <f ca="1"/>
        <v>63.209999000000003</v>
      </c>
      <c r="D1009" s="22">
        <f ca="1"/>
        <v>64.069999999999993</v>
      </c>
      <c r="E1009" s="22">
        <f ca="1"/>
        <v>63.209999000000003</v>
      </c>
      <c r="F1009" s="22">
        <f ca="1"/>
        <v>63.279998999999997</v>
      </c>
      <c r="G1009" s="22">
        <f ca="1"/>
        <v>58.290168999999999</v>
      </c>
      <c r="H1009" s="69">
        <f ca="1"/>
        <v>11763200</v>
      </c>
      <c r="I1009" s="23" t="str">
        <f t="shared" ca="1" si="31"/>
        <v/>
      </c>
    </row>
    <row r="1010" spans="1:9" ht="13.8">
      <c r="A1010" s="20">
        <f t="shared" ca="1" si="30"/>
        <v>42732</v>
      </c>
      <c r="B1010" s="21" t="str">
        <f ca="1"/>
        <v>2016-12-28</v>
      </c>
      <c r="C1010" s="22">
        <f ca="1"/>
        <v>63.400002000000001</v>
      </c>
      <c r="D1010" s="22">
        <f ca="1"/>
        <v>63.400002000000001</v>
      </c>
      <c r="E1010" s="22">
        <f ca="1"/>
        <v>62.830002</v>
      </c>
      <c r="F1010" s="22">
        <f ca="1"/>
        <v>62.990001999999997</v>
      </c>
      <c r="G1010" s="22">
        <f ca="1"/>
        <v>58.023040999999999</v>
      </c>
      <c r="H1010" s="69">
        <f ca="1"/>
        <v>14653300</v>
      </c>
      <c r="I1010" s="23" t="str">
        <f t="shared" ca="1" si="31"/>
        <v/>
      </c>
    </row>
    <row r="1011" spans="1:9" ht="13.8">
      <c r="A1011" s="20">
        <f t="shared" ca="1" si="30"/>
        <v>42733</v>
      </c>
      <c r="B1011" s="21" t="str">
        <f ca="1"/>
        <v>2016-12-29</v>
      </c>
      <c r="C1011" s="22">
        <f ca="1"/>
        <v>62.860000999999997</v>
      </c>
      <c r="D1011" s="22">
        <f ca="1"/>
        <v>63.200001</v>
      </c>
      <c r="E1011" s="22">
        <f ca="1"/>
        <v>62.73</v>
      </c>
      <c r="F1011" s="22">
        <f ca="1"/>
        <v>62.900002000000001</v>
      </c>
      <c r="G1011" s="22">
        <f ca="1"/>
        <v>57.940136000000003</v>
      </c>
      <c r="H1011" s="69">
        <f ca="1"/>
        <v>10250600</v>
      </c>
      <c r="I1011" s="23" t="str">
        <f t="shared" ca="1" si="31"/>
        <v/>
      </c>
    </row>
    <row r="1012" spans="1:9" ht="13.8">
      <c r="A1012" s="20">
        <f t="shared" ca="1" si="30"/>
        <v>42734</v>
      </c>
      <c r="B1012" s="21" t="str">
        <f ca="1"/>
        <v>2016-12-30</v>
      </c>
      <c r="C1012" s="22">
        <f ca="1"/>
        <v>62.959999000000003</v>
      </c>
      <c r="D1012" s="22">
        <f ca="1"/>
        <v>62.990001999999997</v>
      </c>
      <c r="E1012" s="22">
        <f ca="1"/>
        <v>62.029998999999997</v>
      </c>
      <c r="F1012" s="22">
        <f ca="1"/>
        <v>62.139999000000003</v>
      </c>
      <c r="G1012" s="22">
        <f ca="1"/>
        <v>57.240067000000003</v>
      </c>
      <c r="H1012" s="69">
        <f ca="1"/>
        <v>25579900</v>
      </c>
      <c r="I1012" s="23" t="str">
        <f t="shared" ca="1" si="31"/>
        <v/>
      </c>
    </row>
    <row r="1013" spans="1:9" ht="13.8">
      <c r="A1013" s="20">
        <f t="shared" ca="1" si="30"/>
        <v>42738</v>
      </c>
      <c r="B1013" s="21" t="str">
        <f ca="1"/>
        <v>2017-01-03</v>
      </c>
      <c r="C1013" s="22">
        <f ca="1"/>
        <v>62.790000999999997</v>
      </c>
      <c r="D1013" s="22">
        <f ca="1"/>
        <v>62.84</v>
      </c>
      <c r="E1013" s="22">
        <f ca="1"/>
        <v>62.130001</v>
      </c>
      <c r="F1013" s="22">
        <f ca="1"/>
        <v>62.580002</v>
      </c>
      <c r="G1013" s="22">
        <f ca="1"/>
        <v>57.645373999999997</v>
      </c>
      <c r="H1013" s="69">
        <f ca="1"/>
        <v>20694100</v>
      </c>
      <c r="I1013" s="23" t="str">
        <f t="shared" ca="1" si="31"/>
        <v/>
      </c>
    </row>
    <row r="1014" spans="1:9" ht="13.8">
      <c r="A1014" s="20">
        <f t="shared" ca="1" si="30"/>
        <v>42739</v>
      </c>
      <c r="B1014" s="21" t="str">
        <f ca="1"/>
        <v>2017-01-04</v>
      </c>
      <c r="C1014" s="22">
        <f ca="1"/>
        <v>62.48</v>
      </c>
      <c r="D1014" s="22">
        <f ca="1"/>
        <v>62.75</v>
      </c>
      <c r="E1014" s="22">
        <f ca="1"/>
        <v>62.119999</v>
      </c>
      <c r="F1014" s="22">
        <f ca="1"/>
        <v>62.299999</v>
      </c>
      <c r="G1014" s="22">
        <f ca="1"/>
        <v>57.387444000000002</v>
      </c>
      <c r="H1014" s="69">
        <f ca="1"/>
        <v>21340000</v>
      </c>
      <c r="I1014" s="23" t="str">
        <f t="shared" ca="1" si="31"/>
        <v/>
      </c>
    </row>
    <row r="1015" spans="1:9" ht="13.8">
      <c r="A1015" s="20">
        <f t="shared" ca="1" si="30"/>
        <v>42740</v>
      </c>
      <c r="B1015" s="21" t="str">
        <f ca="1"/>
        <v>2017-01-05</v>
      </c>
      <c r="C1015" s="22">
        <f ca="1"/>
        <v>62.189999</v>
      </c>
      <c r="D1015" s="22">
        <f ca="1"/>
        <v>62.66</v>
      </c>
      <c r="E1015" s="22">
        <f ca="1"/>
        <v>62.029998999999997</v>
      </c>
      <c r="F1015" s="22">
        <f ca="1"/>
        <v>62.299999</v>
      </c>
      <c r="G1015" s="22">
        <f ca="1"/>
        <v>57.387444000000002</v>
      </c>
      <c r="H1015" s="69">
        <f ca="1"/>
        <v>24876000</v>
      </c>
      <c r="I1015" s="23" t="str">
        <f t="shared" ca="1" si="31"/>
        <v/>
      </c>
    </row>
    <row r="1016" spans="1:9" ht="13.8">
      <c r="A1016" s="20">
        <f t="shared" ca="1" si="30"/>
        <v>42741</v>
      </c>
      <c r="B1016" s="21" t="str">
        <f ca="1"/>
        <v>2017-01-06</v>
      </c>
      <c r="C1016" s="22">
        <f ca="1"/>
        <v>62.299999</v>
      </c>
      <c r="D1016" s="22">
        <f ca="1"/>
        <v>63.150002000000001</v>
      </c>
      <c r="E1016" s="22">
        <f ca="1"/>
        <v>62.040000999999997</v>
      </c>
      <c r="F1016" s="22">
        <f ca="1"/>
        <v>62.84</v>
      </c>
      <c r="G1016" s="22">
        <f ca="1"/>
        <v>57.884869000000002</v>
      </c>
      <c r="H1016" s="69">
        <f ca="1"/>
        <v>19922900</v>
      </c>
      <c r="I1016" s="23" t="str">
        <f t="shared" ca="1" si="31"/>
        <v/>
      </c>
    </row>
    <row r="1017" spans="1:9" ht="13.8">
      <c r="A1017" s="20">
        <f t="shared" ca="1" si="30"/>
        <v>42744</v>
      </c>
      <c r="B1017" s="21" t="str">
        <f ca="1"/>
        <v>2017-01-09</v>
      </c>
      <c r="C1017" s="22">
        <f ca="1"/>
        <v>62.759998000000003</v>
      </c>
      <c r="D1017" s="22">
        <f ca="1"/>
        <v>63.080002</v>
      </c>
      <c r="E1017" s="22">
        <f ca="1"/>
        <v>62.540000999999997</v>
      </c>
      <c r="F1017" s="22">
        <f ca="1"/>
        <v>62.639999000000003</v>
      </c>
      <c r="G1017" s="22">
        <f ca="1"/>
        <v>57.700642000000002</v>
      </c>
      <c r="H1017" s="69">
        <f ca="1"/>
        <v>20382700</v>
      </c>
      <c r="I1017" s="23" t="str">
        <f t="shared" ca="1" si="31"/>
        <v/>
      </c>
    </row>
    <row r="1018" spans="1:9" ht="13.8">
      <c r="A1018" s="20">
        <f t="shared" ca="1" si="30"/>
        <v>42745</v>
      </c>
      <c r="B1018" s="21" t="str">
        <f ca="1"/>
        <v>2017-01-10</v>
      </c>
      <c r="C1018" s="22">
        <f ca="1"/>
        <v>62.73</v>
      </c>
      <c r="D1018" s="22">
        <f ca="1"/>
        <v>63.07</v>
      </c>
      <c r="E1018" s="22">
        <f ca="1"/>
        <v>62.279998999999997</v>
      </c>
      <c r="F1018" s="22">
        <f ca="1"/>
        <v>62.619999</v>
      </c>
      <c r="G1018" s="22">
        <f ca="1"/>
        <v>57.682212999999997</v>
      </c>
      <c r="H1018" s="69">
        <f ca="1"/>
        <v>18593000</v>
      </c>
      <c r="I1018" s="23" t="str">
        <f t="shared" ca="1" si="31"/>
        <v/>
      </c>
    </row>
    <row r="1019" spans="1:9" ht="13.8">
      <c r="A1019" s="20">
        <f t="shared" ca="1" si="30"/>
        <v>42746</v>
      </c>
      <c r="B1019" s="21" t="str">
        <f ca="1"/>
        <v>2017-01-11</v>
      </c>
      <c r="C1019" s="22">
        <f ca="1"/>
        <v>62.610000999999997</v>
      </c>
      <c r="D1019" s="22">
        <f ca="1"/>
        <v>63.23</v>
      </c>
      <c r="E1019" s="22">
        <f ca="1"/>
        <v>62.43</v>
      </c>
      <c r="F1019" s="22">
        <f ca="1"/>
        <v>63.189999</v>
      </c>
      <c r="G1019" s="22">
        <f ca="1"/>
        <v>58.207279</v>
      </c>
      <c r="H1019" s="69">
        <f ca="1"/>
        <v>21517300</v>
      </c>
      <c r="I1019" s="23" t="str">
        <f t="shared" ca="1" si="31"/>
        <v/>
      </c>
    </row>
    <row r="1020" spans="1:9" ht="13.8">
      <c r="A1020" s="20">
        <f t="shared" ca="1" si="30"/>
        <v>42747</v>
      </c>
      <c r="B1020" s="21" t="str">
        <f ca="1"/>
        <v>2017-01-12</v>
      </c>
      <c r="C1020" s="22">
        <f ca="1"/>
        <v>63.060001</v>
      </c>
      <c r="D1020" s="22">
        <f ca="1"/>
        <v>63.400002000000001</v>
      </c>
      <c r="E1020" s="22">
        <f ca="1"/>
        <v>61.950001</v>
      </c>
      <c r="F1020" s="22">
        <f ca="1"/>
        <v>62.610000999999997</v>
      </c>
      <c r="G1020" s="22">
        <f ca="1"/>
        <v>57.673003999999999</v>
      </c>
      <c r="H1020" s="69">
        <f ca="1"/>
        <v>20968200</v>
      </c>
      <c r="I1020" s="23" t="str">
        <f t="shared" ca="1" si="31"/>
        <v/>
      </c>
    </row>
    <row r="1021" spans="1:9" ht="13.8">
      <c r="A1021" s="20">
        <f t="shared" ca="1" si="30"/>
        <v>42748</v>
      </c>
      <c r="B1021" s="21" t="str">
        <f ca="1"/>
        <v>2017-01-13</v>
      </c>
      <c r="C1021" s="22">
        <f ca="1"/>
        <v>62.619999</v>
      </c>
      <c r="D1021" s="22">
        <f ca="1"/>
        <v>62.869999</v>
      </c>
      <c r="E1021" s="22">
        <f ca="1"/>
        <v>62.349997999999999</v>
      </c>
      <c r="F1021" s="22">
        <f ca="1"/>
        <v>62.700001</v>
      </c>
      <c r="G1021" s="22">
        <f ca="1"/>
        <v>57.755901000000001</v>
      </c>
      <c r="H1021" s="69">
        <f ca="1"/>
        <v>19422300</v>
      </c>
      <c r="I1021" s="23" t="str">
        <f t="shared" ca="1" si="31"/>
        <v/>
      </c>
    </row>
    <row r="1022" spans="1:9" ht="13.8">
      <c r="A1022" s="20">
        <f t="shared" ca="1" si="30"/>
        <v>42752</v>
      </c>
      <c r="B1022" s="21" t="str">
        <f ca="1"/>
        <v>2017-01-17</v>
      </c>
      <c r="C1022" s="22">
        <f ca="1"/>
        <v>62.68</v>
      </c>
      <c r="D1022" s="22">
        <f ca="1"/>
        <v>62.700001</v>
      </c>
      <c r="E1022" s="22">
        <f ca="1"/>
        <v>62.029998999999997</v>
      </c>
      <c r="F1022" s="22">
        <f ca="1"/>
        <v>62.529998999999997</v>
      </c>
      <c r="G1022" s="22">
        <f ca="1"/>
        <v>57.599316000000002</v>
      </c>
      <c r="H1022" s="69">
        <f ca="1"/>
        <v>20664000</v>
      </c>
      <c r="I1022" s="23" t="str">
        <f t="shared" ca="1" si="31"/>
        <v/>
      </c>
    </row>
    <row r="1023" spans="1:9" ht="13.8">
      <c r="A1023" s="20">
        <f t="shared" ca="1" si="30"/>
        <v>42753</v>
      </c>
      <c r="B1023" s="21" t="str">
        <f ca="1"/>
        <v>2017-01-18</v>
      </c>
      <c r="C1023" s="22">
        <f ca="1"/>
        <v>62.669998</v>
      </c>
      <c r="D1023" s="22">
        <f ca="1"/>
        <v>62.700001</v>
      </c>
      <c r="E1023" s="22">
        <f ca="1"/>
        <v>62.119999</v>
      </c>
      <c r="F1023" s="22">
        <f ca="1"/>
        <v>62.5</v>
      </c>
      <c r="G1023" s="22">
        <f ca="1"/>
        <v>57.571671000000002</v>
      </c>
      <c r="H1023" s="69">
        <f ca="1"/>
        <v>19670100</v>
      </c>
      <c r="I1023" s="23" t="str">
        <f t="shared" ca="1" si="31"/>
        <v/>
      </c>
    </row>
    <row r="1024" spans="1:9" ht="13.8">
      <c r="A1024" s="20">
        <f t="shared" ca="1" si="30"/>
        <v>42754</v>
      </c>
      <c r="B1024" s="21" t="str">
        <f ca="1"/>
        <v>2017-01-19</v>
      </c>
      <c r="C1024" s="22">
        <f ca="1"/>
        <v>62.240001999999997</v>
      </c>
      <c r="D1024" s="22">
        <f ca="1"/>
        <v>62.98</v>
      </c>
      <c r="E1024" s="22">
        <f ca="1"/>
        <v>62.200001</v>
      </c>
      <c r="F1024" s="22">
        <f ca="1"/>
        <v>62.299999</v>
      </c>
      <c r="G1024" s="22">
        <f ca="1"/>
        <v>57.387444000000002</v>
      </c>
      <c r="H1024" s="69">
        <f ca="1"/>
        <v>18451700</v>
      </c>
      <c r="I1024" s="23" t="str">
        <f t="shared" ca="1" si="31"/>
        <v/>
      </c>
    </row>
    <row r="1025" spans="1:9" ht="13.8">
      <c r="A1025" s="20">
        <f t="shared" ca="1" si="30"/>
        <v>42755</v>
      </c>
      <c r="B1025" s="21" t="str">
        <f ca="1"/>
        <v>2017-01-20</v>
      </c>
      <c r="C1025" s="22">
        <f ca="1"/>
        <v>62.669998</v>
      </c>
      <c r="D1025" s="22">
        <f ca="1"/>
        <v>62.82</v>
      </c>
      <c r="E1025" s="22">
        <f ca="1"/>
        <v>62.369999</v>
      </c>
      <c r="F1025" s="22">
        <f ca="1"/>
        <v>62.740001999999997</v>
      </c>
      <c r="G1025" s="22">
        <f ca="1"/>
        <v>57.792755</v>
      </c>
      <c r="H1025" s="69">
        <f ca="1"/>
        <v>30213500</v>
      </c>
      <c r="I1025" s="23" t="str">
        <f t="shared" ca="1" si="31"/>
        <v/>
      </c>
    </row>
    <row r="1026" spans="1:9" ht="13.8">
      <c r="A1026" s="20">
        <f t="shared" ca="1" si="30"/>
        <v>42758</v>
      </c>
      <c r="B1026" s="21" t="str">
        <f ca="1"/>
        <v>2017-01-23</v>
      </c>
      <c r="C1026" s="22">
        <f ca="1"/>
        <v>62.700001</v>
      </c>
      <c r="D1026" s="22">
        <f ca="1"/>
        <v>63.119999</v>
      </c>
      <c r="E1026" s="22">
        <f ca="1"/>
        <v>62.57</v>
      </c>
      <c r="F1026" s="22">
        <f ca="1"/>
        <v>62.959999000000003</v>
      </c>
      <c r="G1026" s="22">
        <f ca="1"/>
        <v>57.995410999999997</v>
      </c>
      <c r="H1026" s="69">
        <f ca="1"/>
        <v>23097600</v>
      </c>
      <c r="I1026" s="23" t="str">
        <f t="shared" ca="1" si="31"/>
        <v/>
      </c>
    </row>
    <row r="1027" spans="1:9" ht="13.8">
      <c r="A1027" s="20">
        <f t="shared" ca="1" si="30"/>
        <v>42759</v>
      </c>
      <c r="B1027" s="21" t="str">
        <f ca="1"/>
        <v>2017-01-24</v>
      </c>
      <c r="C1027" s="22">
        <f ca="1"/>
        <v>63.200001</v>
      </c>
      <c r="D1027" s="22">
        <f ca="1"/>
        <v>63.740001999999997</v>
      </c>
      <c r="E1027" s="22">
        <f ca="1"/>
        <v>62.939999</v>
      </c>
      <c r="F1027" s="22">
        <f ca="1"/>
        <v>63.52</v>
      </c>
      <c r="G1027" s="22">
        <f ca="1"/>
        <v>58.511257000000001</v>
      </c>
      <c r="H1027" s="69">
        <f ca="1"/>
        <v>24672900</v>
      </c>
      <c r="I1027" s="23" t="str">
        <f t="shared" ca="1" si="31"/>
        <v/>
      </c>
    </row>
    <row r="1028" spans="1:9" ht="13.8">
      <c r="A1028" s="20">
        <f t="shared" ca="1" si="30"/>
        <v>42760</v>
      </c>
      <c r="B1028" s="21" t="str">
        <f ca="1"/>
        <v>2017-01-25</v>
      </c>
      <c r="C1028" s="22">
        <f ca="1"/>
        <v>63.950001</v>
      </c>
      <c r="D1028" s="22">
        <f ca="1"/>
        <v>64.099997999999999</v>
      </c>
      <c r="E1028" s="22">
        <f ca="1"/>
        <v>63.450001</v>
      </c>
      <c r="F1028" s="22">
        <f ca="1"/>
        <v>63.68</v>
      </c>
      <c r="G1028" s="22">
        <f ca="1"/>
        <v>58.658633999999999</v>
      </c>
      <c r="H1028" s="69">
        <f ca="1"/>
        <v>23672700</v>
      </c>
      <c r="I1028" s="23" t="str">
        <f t="shared" ca="1" si="31"/>
        <v/>
      </c>
    </row>
    <row r="1029" spans="1:9" ht="13.8">
      <c r="A1029" s="20">
        <f t="shared" ca="1" si="30"/>
        <v>42761</v>
      </c>
      <c r="B1029" s="21" t="str">
        <f ca="1"/>
        <v>2017-01-26</v>
      </c>
      <c r="C1029" s="22">
        <f ca="1"/>
        <v>64.120002999999997</v>
      </c>
      <c r="D1029" s="22">
        <f ca="1"/>
        <v>64.540001000000004</v>
      </c>
      <c r="E1029" s="22">
        <f ca="1"/>
        <v>63.549999</v>
      </c>
      <c r="F1029" s="22">
        <f ca="1"/>
        <v>64.269997000000004</v>
      </c>
      <c r="G1029" s="22">
        <f ca="1"/>
        <v>59.202106000000001</v>
      </c>
      <c r="H1029" s="69">
        <f ca="1"/>
        <v>43554600</v>
      </c>
      <c r="I1029" s="23" t="str">
        <f t="shared" ca="1" si="31"/>
        <v/>
      </c>
    </row>
    <row r="1030" spans="1:9" ht="13.8">
      <c r="A1030" s="20">
        <f t="shared" ref="A1030:A1093" ca="1" si="32">IFERROR(DATEVALUE($B1030),"--")</f>
        <v>42762</v>
      </c>
      <c r="B1030" s="21" t="str">
        <f ca="1"/>
        <v>2017-01-27</v>
      </c>
      <c r="C1030" s="22">
        <f ca="1"/>
        <v>65.389999000000003</v>
      </c>
      <c r="D1030" s="22">
        <f ca="1"/>
        <v>65.910004000000001</v>
      </c>
      <c r="E1030" s="22">
        <f ca="1"/>
        <v>64.889999000000003</v>
      </c>
      <c r="F1030" s="22">
        <f ca="1"/>
        <v>65.779999000000004</v>
      </c>
      <c r="G1030" s="22">
        <f ca="1"/>
        <v>60.593040000000002</v>
      </c>
      <c r="H1030" s="69">
        <f ca="1"/>
        <v>44818000</v>
      </c>
      <c r="I1030" s="23" t="str">
        <f t="shared" ref="I1030:I1093" ca="1" si="33">IFERROR(IF(Ticker&lt;&gt;$Q$2,"",INDEX($P:$P,MATCH($A1030,$O:$O,0))),"")</f>
        <v/>
      </c>
    </row>
    <row r="1031" spans="1:9" ht="13.8">
      <c r="A1031" s="20">
        <f t="shared" ca="1" si="32"/>
        <v>42765</v>
      </c>
      <c r="B1031" s="21" t="str">
        <f ca="1"/>
        <v>2017-01-30</v>
      </c>
      <c r="C1031" s="22">
        <f ca="1"/>
        <v>65.690002000000007</v>
      </c>
      <c r="D1031" s="22">
        <f ca="1"/>
        <v>65.790001000000004</v>
      </c>
      <c r="E1031" s="22">
        <f ca="1"/>
        <v>64.800003000000004</v>
      </c>
      <c r="F1031" s="22">
        <f ca="1"/>
        <v>65.129997000000003</v>
      </c>
      <c r="G1031" s="22">
        <f ca="1"/>
        <v>59.994289000000002</v>
      </c>
      <c r="H1031" s="69">
        <f ca="1"/>
        <v>31651400</v>
      </c>
      <c r="I1031" s="23" t="str">
        <f t="shared" ca="1" si="33"/>
        <v/>
      </c>
    </row>
    <row r="1032" spans="1:9" ht="13.8">
      <c r="A1032" s="20">
        <f t="shared" ca="1" si="32"/>
        <v>42766</v>
      </c>
      <c r="B1032" s="21" t="str">
        <f ca="1"/>
        <v>2017-01-31</v>
      </c>
      <c r="C1032" s="22">
        <f ca="1"/>
        <v>64.860000999999997</v>
      </c>
      <c r="D1032" s="22">
        <f ca="1"/>
        <v>65.150002000000001</v>
      </c>
      <c r="E1032" s="22">
        <f ca="1"/>
        <v>64.260002</v>
      </c>
      <c r="F1032" s="22">
        <f ca="1"/>
        <v>64.650002000000001</v>
      </c>
      <c r="G1032" s="22">
        <f ca="1"/>
        <v>59.552138999999997</v>
      </c>
      <c r="H1032" s="69">
        <f ca="1"/>
        <v>25270500</v>
      </c>
      <c r="I1032" s="23" t="str">
        <f t="shared" ca="1" si="33"/>
        <v/>
      </c>
    </row>
    <row r="1033" spans="1:9" ht="13.8">
      <c r="A1033" s="20">
        <f t="shared" ca="1" si="32"/>
        <v>42767</v>
      </c>
      <c r="B1033" s="21" t="str">
        <f ca="1"/>
        <v>2017-02-01</v>
      </c>
      <c r="C1033" s="22">
        <f ca="1"/>
        <v>64.360000999999997</v>
      </c>
      <c r="D1033" s="22">
        <f ca="1"/>
        <v>64.620002999999997</v>
      </c>
      <c r="E1033" s="22">
        <f ca="1"/>
        <v>63.470001000000003</v>
      </c>
      <c r="F1033" s="22">
        <f ca="1"/>
        <v>63.580002</v>
      </c>
      <c r="G1033" s="22">
        <f ca="1"/>
        <v>58.566521000000002</v>
      </c>
      <c r="H1033" s="69">
        <f ca="1"/>
        <v>39671500</v>
      </c>
      <c r="I1033" s="23" t="str">
        <f t="shared" ca="1" si="33"/>
        <v/>
      </c>
    </row>
    <row r="1034" spans="1:9" ht="13.8">
      <c r="A1034" s="20">
        <f t="shared" ca="1" si="32"/>
        <v>42768</v>
      </c>
      <c r="B1034" s="21" t="str">
        <f ca="1"/>
        <v>2017-02-02</v>
      </c>
      <c r="C1034" s="22">
        <f ca="1"/>
        <v>63.25</v>
      </c>
      <c r="D1034" s="22">
        <f ca="1"/>
        <v>63.41</v>
      </c>
      <c r="E1034" s="22">
        <f ca="1"/>
        <v>62.75</v>
      </c>
      <c r="F1034" s="22">
        <f ca="1"/>
        <v>63.169998</v>
      </c>
      <c r="G1034" s="22">
        <f ca="1"/>
        <v>58.188847000000003</v>
      </c>
      <c r="H1034" s="69">
        <f ca="1"/>
        <v>45827000</v>
      </c>
      <c r="I1034" s="23" t="str">
        <f t="shared" ca="1" si="33"/>
        <v/>
      </c>
    </row>
    <row r="1035" spans="1:9" ht="13.8">
      <c r="A1035" s="20">
        <f t="shared" ca="1" si="32"/>
        <v>42769</v>
      </c>
      <c r="B1035" s="21" t="str">
        <f ca="1"/>
        <v>2017-02-03</v>
      </c>
      <c r="C1035" s="22">
        <f ca="1"/>
        <v>63.5</v>
      </c>
      <c r="D1035" s="22">
        <f ca="1"/>
        <v>63.700001</v>
      </c>
      <c r="E1035" s="22">
        <f ca="1"/>
        <v>63.07</v>
      </c>
      <c r="F1035" s="22">
        <f ca="1"/>
        <v>63.68</v>
      </c>
      <c r="G1035" s="22">
        <f ca="1"/>
        <v>58.658633999999999</v>
      </c>
      <c r="H1035" s="69">
        <f ca="1"/>
        <v>30301800</v>
      </c>
      <c r="I1035" s="23" t="str">
        <f t="shared" ca="1" si="33"/>
        <v/>
      </c>
    </row>
    <row r="1036" spans="1:9" ht="13.8">
      <c r="A1036" s="20">
        <f t="shared" ca="1" si="32"/>
        <v>42772</v>
      </c>
      <c r="B1036" s="21" t="str">
        <f ca="1"/>
        <v>2017-02-06</v>
      </c>
      <c r="C1036" s="22">
        <f ca="1"/>
        <v>63.5</v>
      </c>
      <c r="D1036" s="22">
        <f ca="1"/>
        <v>63.650002000000001</v>
      </c>
      <c r="E1036" s="22">
        <f ca="1"/>
        <v>63.139999000000003</v>
      </c>
      <c r="F1036" s="22">
        <f ca="1"/>
        <v>63.639999000000003</v>
      </c>
      <c r="G1036" s="22">
        <f ca="1"/>
        <v>58.621780000000001</v>
      </c>
      <c r="H1036" s="69">
        <f ca="1"/>
        <v>19796400</v>
      </c>
      <c r="I1036" s="23" t="str">
        <f t="shared" ca="1" si="33"/>
        <v/>
      </c>
    </row>
    <row r="1037" spans="1:9" ht="13.8">
      <c r="A1037" s="20">
        <f t="shared" ca="1" si="32"/>
        <v>42773</v>
      </c>
      <c r="B1037" s="21" t="str">
        <f ca="1"/>
        <v>2017-02-07</v>
      </c>
      <c r="C1037" s="22">
        <f ca="1"/>
        <v>63.740001999999997</v>
      </c>
      <c r="D1037" s="22">
        <f ca="1"/>
        <v>63.779998999999997</v>
      </c>
      <c r="E1037" s="22">
        <f ca="1"/>
        <v>63.23</v>
      </c>
      <c r="F1037" s="22">
        <f ca="1"/>
        <v>63.43</v>
      </c>
      <c r="G1037" s="22">
        <f ca="1"/>
        <v>58.428348999999997</v>
      </c>
      <c r="H1037" s="69">
        <f ca="1"/>
        <v>20277200</v>
      </c>
      <c r="I1037" s="23" t="str">
        <f t="shared" ca="1" si="33"/>
        <v/>
      </c>
    </row>
    <row r="1038" spans="1:9" ht="13.8">
      <c r="A1038" s="20">
        <f t="shared" ca="1" si="32"/>
        <v>42774</v>
      </c>
      <c r="B1038" s="21" t="str">
        <f ca="1"/>
        <v>2017-02-08</v>
      </c>
      <c r="C1038" s="22">
        <f ca="1"/>
        <v>63.57</v>
      </c>
      <c r="D1038" s="22">
        <f ca="1"/>
        <v>63.810001</v>
      </c>
      <c r="E1038" s="22">
        <f ca="1"/>
        <v>63.220001000000003</v>
      </c>
      <c r="F1038" s="22">
        <f ca="1"/>
        <v>63.34</v>
      </c>
      <c r="G1038" s="22">
        <f ca="1"/>
        <v>58.345440000000004</v>
      </c>
      <c r="H1038" s="69">
        <f ca="1"/>
        <v>18096400</v>
      </c>
      <c r="I1038" s="23" t="str">
        <f t="shared" ca="1" si="33"/>
        <v/>
      </c>
    </row>
    <row r="1039" spans="1:9" ht="13.8">
      <c r="A1039" s="20">
        <f t="shared" ca="1" si="32"/>
        <v>42775</v>
      </c>
      <c r="B1039" s="21" t="str">
        <f ca="1"/>
        <v>2017-02-09</v>
      </c>
      <c r="C1039" s="22">
        <f ca="1"/>
        <v>63.52</v>
      </c>
      <c r="D1039" s="22">
        <f ca="1"/>
        <v>64.440002000000007</v>
      </c>
      <c r="E1039" s="22">
        <f ca="1"/>
        <v>63.32</v>
      </c>
      <c r="F1039" s="22">
        <f ca="1"/>
        <v>64.059997999999993</v>
      </c>
      <c r="G1039" s="22">
        <f ca="1"/>
        <v>59.008674999999997</v>
      </c>
      <c r="H1039" s="69">
        <f ca="1"/>
        <v>22644400</v>
      </c>
      <c r="I1039" s="23" t="str">
        <f t="shared" ca="1" si="33"/>
        <v/>
      </c>
    </row>
    <row r="1040" spans="1:9" ht="13.8">
      <c r="A1040" s="20">
        <f t="shared" ca="1" si="32"/>
        <v>42776</v>
      </c>
      <c r="B1040" s="21" t="str">
        <f ca="1"/>
        <v>2017-02-10</v>
      </c>
      <c r="C1040" s="22">
        <f ca="1"/>
        <v>64.25</v>
      </c>
      <c r="D1040" s="22">
        <f ca="1"/>
        <v>64.300003000000004</v>
      </c>
      <c r="E1040" s="22">
        <f ca="1"/>
        <v>63.98</v>
      </c>
      <c r="F1040" s="22">
        <f ca="1"/>
        <v>64</v>
      </c>
      <c r="G1040" s="22">
        <f ca="1"/>
        <v>58.953395999999998</v>
      </c>
      <c r="H1040" s="69">
        <f ca="1"/>
        <v>18170700</v>
      </c>
      <c r="I1040" s="23" t="str">
        <f t="shared" ca="1" si="33"/>
        <v/>
      </c>
    </row>
    <row r="1041" spans="1:9" ht="13.8">
      <c r="A1041" s="20">
        <f t="shared" ca="1" si="32"/>
        <v>42779</v>
      </c>
      <c r="B1041" s="21" t="str">
        <f ca="1"/>
        <v>2017-02-13</v>
      </c>
      <c r="C1041" s="22">
        <f ca="1"/>
        <v>64.239998</v>
      </c>
      <c r="D1041" s="22">
        <f ca="1"/>
        <v>64.860000999999997</v>
      </c>
      <c r="E1041" s="22">
        <f ca="1"/>
        <v>64.129997000000003</v>
      </c>
      <c r="F1041" s="22">
        <f ca="1"/>
        <v>64.720000999999996</v>
      </c>
      <c r="G1041" s="22">
        <f ca="1"/>
        <v>59.616622999999997</v>
      </c>
      <c r="H1041" s="69">
        <f ca="1"/>
        <v>22920100</v>
      </c>
      <c r="I1041" s="23" t="str">
        <f t="shared" ca="1" si="33"/>
        <v/>
      </c>
    </row>
    <row r="1042" spans="1:9" ht="13.8">
      <c r="A1042" s="20">
        <f t="shared" ca="1" si="32"/>
        <v>42780</v>
      </c>
      <c r="B1042" s="21" t="str">
        <f ca="1"/>
        <v>2017-02-14</v>
      </c>
      <c r="C1042" s="22">
        <f ca="1"/>
        <v>64.410004000000001</v>
      </c>
      <c r="D1042" s="22">
        <f ca="1"/>
        <v>64.720000999999996</v>
      </c>
      <c r="E1042" s="22">
        <f ca="1"/>
        <v>64.019997000000004</v>
      </c>
      <c r="F1042" s="22">
        <f ca="1"/>
        <v>64.569999999999993</v>
      </c>
      <c r="G1042" s="22">
        <f ca="1"/>
        <v>59.839035000000003</v>
      </c>
      <c r="H1042" s="69">
        <f ca="1"/>
        <v>23108400</v>
      </c>
      <c r="I1042" s="23">
        <f t="shared" ca="1" si="33"/>
        <v>0.39</v>
      </c>
    </row>
    <row r="1043" spans="1:9" ht="13.8">
      <c r="A1043" s="20">
        <f t="shared" ca="1" si="32"/>
        <v>42781</v>
      </c>
      <c r="B1043" s="21" t="str">
        <f ca="1"/>
        <v>2017-02-15</v>
      </c>
      <c r="C1043" s="22">
        <f ca="1"/>
        <v>64.5</v>
      </c>
      <c r="D1043" s="22">
        <f ca="1"/>
        <v>64.569999999999993</v>
      </c>
      <c r="E1043" s="22">
        <f ca="1"/>
        <v>64.160004000000001</v>
      </c>
      <c r="F1043" s="22">
        <f ca="1"/>
        <v>64.529999000000004</v>
      </c>
      <c r="G1043" s="22">
        <f ca="1"/>
        <v>59.801968000000002</v>
      </c>
      <c r="H1043" s="69">
        <f ca="1"/>
        <v>17005200</v>
      </c>
      <c r="I1043" s="23" t="str">
        <f t="shared" ca="1" si="33"/>
        <v/>
      </c>
    </row>
    <row r="1044" spans="1:9" ht="13.8">
      <c r="A1044" s="20">
        <f t="shared" ca="1" si="32"/>
        <v>42782</v>
      </c>
      <c r="B1044" s="21" t="str">
        <f ca="1"/>
        <v>2017-02-16</v>
      </c>
      <c r="C1044" s="22">
        <f ca="1"/>
        <v>64.739998</v>
      </c>
      <c r="D1044" s="22">
        <f ca="1"/>
        <v>65.239998</v>
      </c>
      <c r="E1044" s="22">
        <f ca="1"/>
        <v>64.440002000000007</v>
      </c>
      <c r="F1044" s="22">
        <f ca="1"/>
        <v>64.519997000000004</v>
      </c>
      <c r="G1044" s="22">
        <f ca="1"/>
        <v>59.792701999999998</v>
      </c>
      <c r="H1044" s="69">
        <f ca="1"/>
        <v>20546300</v>
      </c>
      <c r="I1044" s="23" t="str">
        <f t="shared" ca="1" si="33"/>
        <v/>
      </c>
    </row>
    <row r="1045" spans="1:9" ht="13.8">
      <c r="A1045" s="20">
        <f t="shared" ca="1" si="32"/>
        <v>42783</v>
      </c>
      <c r="B1045" s="21" t="str">
        <f ca="1"/>
        <v>2017-02-17</v>
      </c>
      <c r="C1045" s="22">
        <f ca="1"/>
        <v>64.470000999999996</v>
      </c>
      <c r="D1045" s="22">
        <f ca="1"/>
        <v>64.690002000000007</v>
      </c>
      <c r="E1045" s="22">
        <f ca="1"/>
        <v>64.300003000000004</v>
      </c>
      <c r="F1045" s="22">
        <f ca="1"/>
        <v>64.620002999999997</v>
      </c>
      <c r="G1045" s="22">
        <f ca="1"/>
        <v>59.885384000000002</v>
      </c>
      <c r="H1045" s="69">
        <f ca="1"/>
        <v>21248800</v>
      </c>
      <c r="I1045" s="23" t="str">
        <f t="shared" ca="1" si="33"/>
        <v/>
      </c>
    </row>
    <row r="1046" spans="1:9" ht="13.8">
      <c r="A1046" s="20">
        <f t="shared" ca="1" si="32"/>
        <v>42787</v>
      </c>
      <c r="B1046" s="21" t="str">
        <f ca="1"/>
        <v>2017-02-21</v>
      </c>
      <c r="C1046" s="22">
        <f ca="1"/>
        <v>64.610000999999997</v>
      </c>
      <c r="D1046" s="22">
        <f ca="1"/>
        <v>64.949996999999996</v>
      </c>
      <c r="E1046" s="22">
        <f ca="1"/>
        <v>64.449996999999996</v>
      </c>
      <c r="F1046" s="22">
        <f ca="1"/>
        <v>64.489998</v>
      </c>
      <c r="G1046" s="22">
        <f ca="1"/>
        <v>59.764904000000001</v>
      </c>
      <c r="H1046" s="69">
        <f ca="1"/>
        <v>20655900</v>
      </c>
      <c r="I1046" s="23" t="str">
        <f t="shared" ca="1" si="33"/>
        <v/>
      </c>
    </row>
    <row r="1047" spans="1:9" ht="13.8">
      <c r="A1047" s="20">
        <f t="shared" ca="1" si="32"/>
        <v>42788</v>
      </c>
      <c r="B1047" s="21" t="str">
        <f ca="1"/>
        <v>2017-02-22</v>
      </c>
      <c r="C1047" s="22">
        <f ca="1"/>
        <v>64.330001999999993</v>
      </c>
      <c r="D1047" s="22">
        <f ca="1"/>
        <v>64.389999000000003</v>
      </c>
      <c r="E1047" s="22">
        <f ca="1"/>
        <v>64.050003000000004</v>
      </c>
      <c r="F1047" s="22">
        <f ca="1"/>
        <v>64.360000999999997</v>
      </c>
      <c r="G1047" s="22">
        <f ca="1"/>
        <v>59.644427999999998</v>
      </c>
      <c r="H1047" s="69">
        <f ca="1"/>
        <v>19292700</v>
      </c>
      <c r="I1047" s="23" t="str">
        <f t="shared" ca="1" si="33"/>
        <v/>
      </c>
    </row>
    <row r="1048" spans="1:9" ht="13.8">
      <c r="A1048" s="20">
        <f t="shared" ca="1" si="32"/>
        <v>42789</v>
      </c>
      <c r="B1048" s="21" t="str">
        <f ca="1"/>
        <v>2017-02-23</v>
      </c>
      <c r="C1048" s="22">
        <f ca="1"/>
        <v>64.419998000000007</v>
      </c>
      <c r="D1048" s="22">
        <f ca="1"/>
        <v>64.730002999999996</v>
      </c>
      <c r="E1048" s="22">
        <f ca="1"/>
        <v>64.190002000000007</v>
      </c>
      <c r="F1048" s="22">
        <f ca="1"/>
        <v>64.620002999999997</v>
      </c>
      <c r="G1048" s="22">
        <f ca="1"/>
        <v>59.885384000000002</v>
      </c>
      <c r="H1048" s="69">
        <f ca="1"/>
        <v>20273100</v>
      </c>
      <c r="I1048" s="23" t="str">
        <f t="shared" ca="1" si="33"/>
        <v/>
      </c>
    </row>
    <row r="1049" spans="1:9" ht="13.8">
      <c r="A1049" s="20">
        <f t="shared" ca="1" si="32"/>
        <v>42790</v>
      </c>
      <c r="B1049" s="21" t="str">
        <f ca="1"/>
        <v>2017-02-24</v>
      </c>
      <c r="C1049" s="22">
        <f ca="1"/>
        <v>64.529999000000004</v>
      </c>
      <c r="D1049" s="22">
        <f ca="1"/>
        <v>64.800003000000004</v>
      </c>
      <c r="E1049" s="22">
        <f ca="1"/>
        <v>64.139999000000003</v>
      </c>
      <c r="F1049" s="22">
        <f ca="1"/>
        <v>64.620002999999997</v>
      </c>
      <c r="G1049" s="22">
        <f ca="1"/>
        <v>59.885384000000002</v>
      </c>
      <c r="H1049" s="69">
        <f ca="1"/>
        <v>21796800</v>
      </c>
      <c r="I1049" s="23" t="str">
        <f t="shared" ca="1" si="33"/>
        <v/>
      </c>
    </row>
    <row r="1050" spans="1:9" ht="13.8">
      <c r="A1050" s="20">
        <f t="shared" ca="1" si="32"/>
        <v>42793</v>
      </c>
      <c r="B1050" s="21" t="str">
        <f ca="1"/>
        <v>2017-02-27</v>
      </c>
      <c r="C1050" s="22">
        <f ca="1"/>
        <v>64.540001000000004</v>
      </c>
      <c r="D1050" s="22">
        <f ca="1"/>
        <v>64.540001000000004</v>
      </c>
      <c r="E1050" s="22">
        <f ca="1"/>
        <v>64.050003000000004</v>
      </c>
      <c r="F1050" s="22">
        <f ca="1"/>
        <v>64.230002999999996</v>
      </c>
      <c r="G1050" s="22">
        <f ca="1"/>
        <v>59.523963999999999</v>
      </c>
      <c r="H1050" s="69">
        <f ca="1"/>
        <v>15871500</v>
      </c>
      <c r="I1050" s="23" t="str">
        <f t="shared" ca="1" si="33"/>
        <v/>
      </c>
    </row>
    <row r="1051" spans="1:9" ht="13.8">
      <c r="A1051" s="20">
        <f t="shared" ca="1" si="32"/>
        <v>42794</v>
      </c>
      <c r="B1051" s="21" t="str">
        <f ca="1"/>
        <v>2017-02-28</v>
      </c>
      <c r="C1051" s="22">
        <f ca="1"/>
        <v>64.080001999999993</v>
      </c>
      <c r="D1051" s="22">
        <f ca="1"/>
        <v>64.199996999999996</v>
      </c>
      <c r="E1051" s="22">
        <f ca="1"/>
        <v>63.759998000000003</v>
      </c>
      <c r="F1051" s="22">
        <f ca="1"/>
        <v>63.98</v>
      </c>
      <c r="G1051" s="22">
        <f ca="1"/>
        <v>59.292262999999998</v>
      </c>
      <c r="H1051" s="69">
        <f ca="1"/>
        <v>23239800</v>
      </c>
      <c r="I1051" s="23" t="str">
        <f t="shared" ca="1" si="33"/>
        <v/>
      </c>
    </row>
    <row r="1052" spans="1:9" ht="13.8">
      <c r="A1052" s="20">
        <f t="shared" ca="1" si="32"/>
        <v>42795</v>
      </c>
      <c r="B1052" s="21" t="str">
        <f ca="1"/>
        <v>2017-03-01</v>
      </c>
      <c r="C1052" s="22">
        <f ca="1"/>
        <v>64.129997000000003</v>
      </c>
      <c r="D1052" s="22">
        <f ca="1"/>
        <v>64.989998</v>
      </c>
      <c r="E1052" s="22">
        <f ca="1"/>
        <v>64.019997000000004</v>
      </c>
      <c r="F1052" s="22">
        <f ca="1"/>
        <v>64.940002000000007</v>
      </c>
      <c r="G1052" s="22">
        <f ca="1"/>
        <v>60.181933999999998</v>
      </c>
      <c r="H1052" s="69">
        <f ca="1"/>
        <v>26937500</v>
      </c>
      <c r="I1052" s="23" t="str">
        <f t="shared" ca="1" si="33"/>
        <v/>
      </c>
    </row>
    <row r="1053" spans="1:9" ht="13.8">
      <c r="A1053" s="20">
        <f t="shared" ca="1" si="32"/>
        <v>42796</v>
      </c>
      <c r="B1053" s="21" t="str">
        <f ca="1"/>
        <v>2017-03-02</v>
      </c>
      <c r="C1053" s="22">
        <f ca="1"/>
        <v>64.690002000000007</v>
      </c>
      <c r="D1053" s="22">
        <f ca="1"/>
        <v>64.75</v>
      </c>
      <c r="E1053" s="22">
        <f ca="1"/>
        <v>63.880001</v>
      </c>
      <c r="F1053" s="22">
        <f ca="1"/>
        <v>64.010002</v>
      </c>
      <c r="G1053" s="22">
        <f ca="1"/>
        <v>59.320079999999997</v>
      </c>
      <c r="H1053" s="69">
        <f ca="1"/>
        <v>24539600</v>
      </c>
      <c r="I1053" s="23" t="str">
        <f t="shared" ca="1" si="33"/>
        <v/>
      </c>
    </row>
    <row r="1054" spans="1:9" ht="13.8">
      <c r="A1054" s="20">
        <f t="shared" ca="1" si="32"/>
        <v>42797</v>
      </c>
      <c r="B1054" s="21" t="str">
        <f ca="1"/>
        <v>2017-03-03</v>
      </c>
      <c r="C1054" s="22">
        <f ca="1"/>
        <v>63.990001999999997</v>
      </c>
      <c r="D1054" s="22">
        <f ca="1"/>
        <v>64.279999000000004</v>
      </c>
      <c r="E1054" s="22">
        <f ca="1"/>
        <v>63.619999</v>
      </c>
      <c r="F1054" s="22">
        <f ca="1"/>
        <v>64.25</v>
      </c>
      <c r="G1054" s="22">
        <f ca="1"/>
        <v>59.542484000000002</v>
      </c>
      <c r="H1054" s="69">
        <f ca="1"/>
        <v>18135900</v>
      </c>
      <c r="I1054" s="23" t="str">
        <f t="shared" ca="1" si="33"/>
        <v/>
      </c>
    </row>
    <row r="1055" spans="1:9" ht="13.8">
      <c r="A1055" s="20">
        <f t="shared" ca="1" si="32"/>
        <v>42800</v>
      </c>
      <c r="B1055" s="21" t="str">
        <f ca="1"/>
        <v>2017-03-06</v>
      </c>
      <c r="C1055" s="22">
        <f ca="1"/>
        <v>63.970001000000003</v>
      </c>
      <c r="D1055" s="22">
        <f ca="1"/>
        <v>64.559997999999993</v>
      </c>
      <c r="E1055" s="22">
        <f ca="1"/>
        <v>63.810001</v>
      </c>
      <c r="F1055" s="22">
        <f ca="1"/>
        <v>64.269997000000004</v>
      </c>
      <c r="G1055" s="22">
        <f ca="1"/>
        <v>59.561028</v>
      </c>
      <c r="H1055" s="69">
        <f ca="1"/>
        <v>18750300</v>
      </c>
      <c r="I1055" s="23" t="str">
        <f t="shared" ca="1" si="33"/>
        <v/>
      </c>
    </row>
    <row r="1056" spans="1:9" ht="13.8">
      <c r="A1056" s="20">
        <f t="shared" ca="1" si="32"/>
        <v>42801</v>
      </c>
      <c r="B1056" s="21" t="str">
        <f ca="1"/>
        <v>2017-03-07</v>
      </c>
      <c r="C1056" s="22">
        <f ca="1"/>
        <v>64.190002000000007</v>
      </c>
      <c r="D1056" s="22">
        <f ca="1"/>
        <v>64.779999000000004</v>
      </c>
      <c r="E1056" s="22">
        <f ca="1"/>
        <v>64.190002000000007</v>
      </c>
      <c r="F1056" s="22">
        <f ca="1"/>
        <v>64.400002000000001</v>
      </c>
      <c r="G1056" s="22">
        <f ca="1"/>
        <v>59.681491999999999</v>
      </c>
      <c r="H1056" s="69">
        <f ca="1"/>
        <v>18521000</v>
      </c>
      <c r="I1056" s="23" t="str">
        <f t="shared" ca="1" si="33"/>
        <v/>
      </c>
    </row>
    <row r="1057" spans="1:9" ht="13.8">
      <c r="A1057" s="20">
        <f t="shared" ca="1" si="32"/>
        <v>42802</v>
      </c>
      <c r="B1057" s="21" t="str">
        <f ca="1"/>
        <v>2017-03-08</v>
      </c>
      <c r="C1057" s="22">
        <f ca="1"/>
        <v>64.260002</v>
      </c>
      <c r="D1057" s="22">
        <f ca="1"/>
        <v>65.080001999999993</v>
      </c>
      <c r="E1057" s="22">
        <f ca="1"/>
        <v>64.25</v>
      </c>
      <c r="F1057" s="22">
        <f ca="1"/>
        <v>64.989998</v>
      </c>
      <c r="G1057" s="22">
        <f ca="1"/>
        <v>60.228264000000003</v>
      </c>
      <c r="H1057" s="69">
        <f ca="1"/>
        <v>21510900</v>
      </c>
      <c r="I1057" s="23" t="str">
        <f t="shared" ca="1" si="33"/>
        <v/>
      </c>
    </row>
    <row r="1058" spans="1:9" ht="13.8">
      <c r="A1058" s="20">
        <f t="shared" ca="1" si="32"/>
        <v>42803</v>
      </c>
      <c r="B1058" s="21" t="str">
        <f ca="1"/>
        <v>2017-03-09</v>
      </c>
      <c r="C1058" s="22">
        <f ca="1"/>
        <v>65.190002000000007</v>
      </c>
      <c r="D1058" s="22">
        <f ca="1"/>
        <v>65.199996999999996</v>
      </c>
      <c r="E1058" s="22">
        <f ca="1"/>
        <v>64.480002999999996</v>
      </c>
      <c r="F1058" s="22">
        <f ca="1"/>
        <v>64.730002999999996</v>
      </c>
      <c r="G1058" s="22">
        <f ca="1"/>
        <v>59.987312000000003</v>
      </c>
      <c r="H1058" s="69">
        <f ca="1"/>
        <v>19846800</v>
      </c>
      <c r="I1058" s="23" t="str">
        <f t="shared" ca="1" si="33"/>
        <v/>
      </c>
    </row>
    <row r="1059" spans="1:9" ht="13.8">
      <c r="A1059" s="20">
        <f t="shared" ca="1" si="32"/>
        <v>42804</v>
      </c>
      <c r="B1059" s="21" t="str">
        <f ca="1"/>
        <v>2017-03-10</v>
      </c>
      <c r="C1059" s="22">
        <f ca="1"/>
        <v>65.110000999999997</v>
      </c>
      <c r="D1059" s="22">
        <f ca="1"/>
        <v>65.260002</v>
      </c>
      <c r="E1059" s="22">
        <f ca="1"/>
        <v>64.75</v>
      </c>
      <c r="F1059" s="22">
        <f ca="1"/>
        <v>64.930000000000007</v>
      </c>
      <c r="G1059" s="22">
        <f ca="1"/>
        <v>60.172657000000001</v>
      </c>
      <c r="H1059" s="69">
        <f ca="1"/>
        <v>19538200</v>
      </c>
      <c r="I1059" s="23" t="str">
        <f t="shared" ca="1" si="33"/>
        <v/>
      </c>
    </row>
    <row r="1060" spans="1:9" ht="13.8">
      <c r="A1060" s="20">
        <f t="shared" ca="1" si="32"/>
        <v>42807</v>
      </c>
      <c r="B1060" s="21" t="str">
        <f ca="1"/>
        <v>2017-03-13</v>
      </c>
      <c r="C1060" s="22">
        <f ca="1"/>
        <v>65.010002</v>
      </c>
      <c r="D1060" s="22">
        <f ca="1"/>
        <v>65.190002000000007</v>
      </c>
      <c r="E1060" s="22">
        <f ca="1"/>
        <v>64.569999999999993</v>
      </c>
      <c r="F1060" s="22">
        <f ca="1"/>
        <v>64.709998999999996</v>
      </c>
      <c r="G1060" s="22">
        <f ca="1"/>
        <v>59.968777000000003</v>
      </c>
      <c r="H1060" s="69">
        <f ca="1"/>
        <v>20100000</v>
      </c>
      <c r="I1060" s="23" t="str">
        <f t="shared" ca="1" si="33"/>
        <v/>
      </c>
    </row>
    <row r="1061" spans="1:9" ht="13.8">
      <c r="A1061" s="20">
        <f t="shared" ca="1" si="32"/>
        <v>42808</v>
      </c>
      <c r="B1061" s="21" t="str">
        <f ca="1"/>
        <v>2017-03-14</v>
      </c>
      <c r="C1061" s="22">
        <f ca="1"/>
        <v>64.529999000000004</v>
      </c>
      <c r="D1061" s="22">
        <f ca="1"/>
        <v>64.550003000000004</v>
      </c>
      <c r="E1061" s="22">
        <f ca="1"/>
        <v>64.150002000000001</v>
      </c>
      <c r="F1061" s="22">
        <f ca="1"/>
        <v>64.410004000000001</v>
      </c>
      <c r="G1061" s="22">
        <f ca="1"/>
        <v>59.690776999999997</v>
      </c>
      <c r="H1061" s="69">
        <f ca="1"/>
        <v>14280200</v>
      </c>
      <c r="I1061" s="23" t="str">
        <f t="shared" ca="1" si="33"/>
        <v/>
      </c>
    </row>
    <row r="1062" spans="1:9" ht="13.8">
      <c r="A1062" s="20">
        <f t="shared" ca="1" si="32"/>
        <v>42809</v>
      </c>
      <c r="B1062" s="21" t="str">
        <f ca="1"/>
        <v>2017-03-15</v>
      </c>
      <c r="C1062" s="22">
        <f ca="1"/>
        <v>64.550003000000004</v>
      </c>
      <c r="D1062" s="22">
        <f ca="1"/>
        <v>64.919998000000007</v>
      </c>
      <c r="E1062" s="22">
        <f ca="1"/>
        <v>64.25</v>
      </c>
      <c r="F1062" s="22">
        <f ca="1"/>
        <v>64.75</v>
      </c>
      <c r="G1062" s="22">
        <f ca="1"/>
        <v>60.005851999999997</v>
      </c>
      <c r="H1062" s="69">
        <f ca="1"/>
        <v>24833800</v>
      </c>
      <c r="I1062" s="23" t="str">
        <f t="shared" ca="1" si="33"/>
        <v/>
      </c>
    </row>
    <row r="1063" spans="1:9" ht="13.8">
      <c r="A1063" s="20">
        <f t="shared" ca="1" si="32"/>
        <v>42810</v>
      </c>
      <c r="B1063" s="21" t="str">
        <f ca="1"/>
        <v>2017-03-16</v>
      </c>
      <c r="C1063" s="22">
        <f ca="1"/>
        <v>64.75</v>
      </c>
      <c r="D1063" s="22">
        <f ca="1"/>
        <v>64.760002</v>
      </c>
      <c r="E1063" s="22">
        <f ca="1"/>
        <v>64.300003000000004</v>
      </c>
      <c r="F1063" s="22">
        <f ca="1"/>
        <v>64.639999000000003</v>
      </c>
      <c r="G1063" s="22">
        <f ca="1"/>
        <v>59.903919000000002</v>
      </c>
      <c r="H1063" s="69">
        <f ca="1"/>
        <v>20674300</v>
      </c>
      <c r="I1063" s="23" t="str">
        <f t="shared" ca="1" si="33"/>
        <v/>
      </c>
    </row>
    <row r="1064" spans="1:9" ht="13.8">
      <c r="A1064" s="20">
        <f t="shared" ca="1" si="32"/>
        <v>42811</v>
      </c>
      <c r="B1064" s="21" t="str">
        <f ca="1"/>
        <v>2017-03-17</v>
      </c>
      <c r="C1064" s="22">
        <f ca="1"/>
        <v>64.910004000000001</v>
      </c>
      <c r="D1064" s="22">
        <f ca="1"/>
        <v>65.239998</v>
      </c>
      <c r="E1064" s="22">
        <f ca="1"/>
        <v>64.680000000000007</v>
      </c>
      <c r="F1064" s="22">
        <f ca="1"/>
        <v>64.870002999999997</v>
      </c>
      <c r="G1064" s="22">
        <f ca="1"/>
        <v>60.117072999999998</v>
      </c>
      <c r="H1064" s="69">
        <f ca="1"/>
        <v>49219700</v>
      </c>
      <c r="I1064" s="23" t="str">
        <f t="shared" ca="1" si="33"/>
        <v/>
      </c>
    </row>
    <row r="1065" spans="1:9" ht="13.8">
      <c r="A1065" s="20">
        <f t="shared" ca="1" si="32"/>
        <v>42814</v>
      </c>
      <c r="B1065" s="21" t="str">
        <f ca="1"/>
        <v>2017-03-20</v>
      </c>
      <c r="C1065" s="22">
        <f ca="1"/>
        <v>64.910004000000001</v>
      </c>
      <c r="D1065" s="22">
        <f ca="1"/>
        <v>65.180000000000007</v>
      </c>
      <c r="E1065" s="22">
        <f ca="1"/>
        <v>64.720000999999996</v>
      </c>
      <c r="F1065" s="22">
        <f ca="1"/>
        <v>64.930000000000007</v>
      </c>
      <c r="G1065" s="22">
        <f ca="1"/>
        <v>60.172657000000001</v>
      </c>
      <c r="H1065" s="69">
        <f ca="1"/>
        <v>14598100</v>
      </c>
      <c r="I1065" s="23" t="str">
        <f t="shared" ca="1" si="33"/>
        <v/>
      </c>
    </row>
    <row r="1066" spans="1:9" ht="13.8">
      <c r="A1066" s="20">
        <f t="shared" ca="1" si="32"/>
        <v>42815</v>
      </c>
      <c r="B1066" s="21" t="str">
        <f ca="1"/>
        <v>2017-03-21</v>
      </c>
      <c r="C1066" s="22">
        <f ca="1"/>
        <v>65.190002000000007</v>
      </c>
      <c r="D1066" s="22">
        <f ca="1"/>
        <v>65.5</v>
      </c>
      <c r="E1066" s="22">
        <f ca="1"/>
        <v>64.129997000000003</v>
      </c>
      <c r="F1066" s="22">
        <f ca="1"/>
        <v>64.209998999999996</v>
      </c>
      <c r="G1066" s="22">
        <f ca="1"/>
        <v>59.505412999999997</v>
      </c>
      <c r="H1066" s="69">
        <f ca="1"/>
        <v>26640500</v>
      </c>
      <c r="I1066" s="23" t="str">
        <f t="shared" ca="1" si="33"/>
        <v/>
      </c>
    </row>
    <row r="1067" spans="1:9" ht="13.8">
      <c r="A1067" s="20">
        <f t="shared" ca="1" si="32"/>
        <v>42816</v>
      </c>
      <c r="B1067" s="21" t="str">
        <f ca="1"/>
        <v>2017-03-22</v>
      </c>
      <c r="C1067" s="22">
        <f ca="1"/>
        <v>64.120002999999997</v>
      </c>
      <c r="D1067" s="22">
        <f ca="1"/>
        <v>65.139999000000003</v>
      </c>
      <c r="E1067" s="22">
        <f ca="1"/>
        <v>64.120002999999997</v>
      </c>
      <c r="F1067" s="22">
        <f ca="1"/>
        <v>65.029999000000004</v>
      </c>
      <c r="G1067" s="22">
        <f ca="1"/>
        <v>60.265354000000002</v>
      </c>
      <c r="H1067" s="69">
        <f ca="1"/>
        <v>20680000</v>
      </c>
      <c r="I1067" s="23" t="str">
        <f t="shared" ca="1" si="33"/>
        <v/>
      </c>
    </row>
    <row r="1068" spans="1:9" ht="13.8">
      <c r="A1068" s="20">
        <f t="shared" ca="1" si="32"/>
        <v>42817</v>
      </c>
      <c r="B1068" s="21" t="str">
        <f ca="1"/>
        <v>2017-03-23</v>
      </c>
      <c r="C1068" s="22">
        <f ca="1"/>
        <v>64.940002000000007</v>
      </c>
      <c r="D1068" s="22">
        <f ca="1"/>
        <v>65.239998</v>
      </c>
      <c r="E1068" s="22">
        <f ca="1"/>
        <v>64.769997000000004</v>
      </c>
      <c r="F1068" s="22">
        <f ca="1"/>
        <v>64.870002999999997</v>
      </c>
      <c r="G1068" s="22">
        <f ca="1"/>
        <v>60.117072999999998</v>
      </c>
      <c r="H1068" s="69">
        <f ca="1"/>
        <v>19269200</v>
      </c>
      <c r="I1068" s="23" t="str">
        <f t="shared" ca="1" si="33"/>
        <v/>
      </c>
    </row>
    <row r="1069" spans="1:9" ht="13.8">
      <c r="A1069" s="20">
        <f t="shared" ca="1" si="32"/>
        <v>42818</v>
      </c>
      <c r="B1069" s="21" t="str">
        <f ca="1"/>
        <v>2017-03-24</v>
      </c>
      <c r="C1069" s="22">
        <f ca="1"/>
        <v>65.360000999999997</v>
      </c>
      <c r="D1069" s="22">
        <f ca="1"/>
        <v>65.449996999999996</v>
      </c>
      <c r="E1069" s="22">
        <f ca="1"/>
        <v>64.760002</v>
      </c>
      <c r="F1069" s="22">
        <f ca="1"/>
        <v>64.980002999999996</v>
      </c>
      <c r="G1069" s="22">
        <f ca="1"/>
        <v>60.219012999999997</v>
      </c>
      <c r="H1069" s="69">
        <f ca="1"/>
        <v>22617100</v>
      </c>
      <c r="I1069" s="23" t="str">
        <f t="shared" ca="1" si="33"/>
        <v/>
      </c>
    </row>
    <row r="1070" spans="1:9" ht="13.8">
      <c r="A1070" s="20">
        <f t="shared" ca="1" si="32"/>
        <v>42821</v>
      </c>
      <c r="B1070" s="21" t="str">
        <f ca="1"/>
        <v>2017-03-27</v>
      </c>
      <c r="C1070" s="22">
        <f ca="1"/>
        <v>64.629997000000003</v>
      </c>
      <c r="D1070" s="22">
        <f ca="1"/>
        <v>65.220000999999996</v>
      </c>
      <c r="E1070" s="22">
        <f ca="1"/>
        <v>64.349997999999999</v>
      </c>
      <c r="F1070" s="22">
        <f ca="1"/>
        <v>65.099997999999999</v>
      </c>
      <c r="G1070" s="22">
        <f ca="1"/>
        <v>60.330212000000003</v>
      </c>
      <c r="H1070" s="69">
        <f ca="1"/>
        <v>18614700</v>
      </c>
      <c r="I1070" s="23" t="str">
        <f t="shared" ca="1" si="33"/>
        <v/>
      </c>
    </row>
    <row r="1071" spans="1:9" ht="13.8">
      <c r="A1071" s="20">
        <f t="shared" ca="1" si="32"/>
        <v>42822</v>
      </c>
      <c r="B1071" s="21" t="str">
        <f ca="1"/>
        <v>2017-03-28</v>
      </c>
      <c r="C1071" s="22">
        <f ca="1"/>
        <v>64.959998999999996</v>
      </c>
      <c r="D1071" s="22">
        <f ca="1"/>
        <v>65.470000999999996</v>
      </c>
      <c r="E1071" s="22">
        <f ca="1"/>
        <v>64.650002000000001</v>
      </c>
      <c r="F1071" s="22">
        <f ca="1"/>
        <v>65.290001000000004</v>
      </c>
      <c r="G1071" s="22">
        <f ca="1"/>
        <v>60.506287</v>
      </c>
      <c r="H1071" s="69">
        <f ca="1"/>
        <v>20080400</v>
      </c>
      <c r="I1071" s="23" t="str">
        <f t="shared" ca="1" si="33"/>
        <v/>
      </c>
    </row>
    <row r="1072" spans="1:9" ht="13.8">
      <c r="A1072" s="20">
        <f t="shared" ca="1" si="32"/>
        <v>42823</v>
      </c>
      <c r="B1072" s="21" t="str">
        <f ca="1"/>
        <v>2017-03-29</v>
      </c>
      <c r="C1072" s="22">
        <f ca="1"/>
        <v>65.120002999999997</v>
      </c>
      <c r="D1072" s="22">
        <f ca="1"/>
        <v>65.5</v>
      </c>
      <c r="E1072" s="22">
        <f ca="1"/>
        <v>64.949996999999996</v>
      </c>
      <c r="F1072" s="22">
        <f ca="1"/>
        <v>65.470000999999996</v>
      </c>
      <c r="G1072" s="22">
        <f ca="1"/>
        <v>60.673096000000001</v>
      </c>
      <c r="H1072" s="69">
        <f ca="1"/>
        <v>13618400</v>
      </c>
      <c r="I1072" s="23" t="str">
        <f t="shared" ca="1" si="33"/>
        <v/>
      </c>
    </row>
    <row r="1073" spans="1:9" ht="13.8">
      <c r="A1073" s="20">
        <f t="shared" ca="1" si="32"/>
        <v>42824</v>
      </c>
      <c r="B1073" s="21" t="str">
        <f ca="1"/>
        <v>2017-03-30</v>
      </c>
      <c r="C1073" s="22">
        <f ca="1"/>
        <v>65.419998000000007</v>
      </c>
      <c r="D1073" s="22">
        <f ca="1"/>
        <v>65.980002999999996</v>
      </c>
      <c r="E1073" s="22">
        <f ca="1"/>
        <v>65.360000999999997</v>
      </c>
      <c r="F1073" s="22">
        <f ca="1"/>
        <v>65.709998999999996</v>
      </c>
      <c r="G1073" s="22">
        <f ca="1"/>
        <v>60.895511999999997</v>
      </c>
      <c r="H1073" s="69">
        <f ca="1"/>
        <v>15122800</v>
      </c>
      <c r="I1073" s="23" t="str">
        <f t="shared" ca="1" si="33"/>
        <v/>
      </c>
    </row>
    <row r="1074" spans="1:9" ht="13.8">
      <c r="A1074" s="20">
        <f t="shared" ca="1" si="32"/>
        <v>42825</v>
      </c>
      <c r="B1074" s="21" t="str">
        <f ca="1"/>
        <v>2017-03-31</v>
      </c>
      <c r="C1074" s="22">
        <f ca="1"/>
        <v>65.650002000000001</v>
      </c>
      <c r="D1074" s="22">
        <f ca="1"/>
        <v>66.190002000000007</v>
      </c>
      <c r="E1074" s="22">
        <f ca="1"/>
        <v>65.449996999999996</v>
      </c>
      <c r="F1074" s="22">
        <f ca="1"/>
        <v>65.860000999999997</v>
      </c>
      <c r="G1074" s="22">
        <f ca="1"/>
        <v>61.034519000000003</v>
      </c>
      <c r="H1074" s="69">
        <f ca="1"/>
        <v>21040300</v>
      </c>
      <c r="I1074" s="23" t="str">
        <f t="shared" ca="1" si="33"/>
        <v/>
      </c>
    </row>
    <row r="1075" spans="1:9" ht="13.8">
      <c r="A1075" s="20">
        <f t="shared" ca="1" si="32"/>
        <v>42828</v>
      </c>
      <c r="B1075" s="21" t="str">
        <f ca="1"/>
        <v>2017-04-03</v>
      </c>
      <c r="C1075" s="22">
        <f ca="1"/>
        <v>65.809997999999993</v>
      </c>
      <c r="D1075" s="22">
        <f ca="1"/>
        <v>65.940002000000007</v>
      </c>
      <c r="E1075" s="22">
        <f ca="1"/>
        <v>65.190002000000007</v>
      </c>
      <c r="F1075" s="22">
        <f ca="1"/>
        <v>65.550003000000004</v>
      </c>
      <c r="G1075" s="22">
        <f ca="1"/>
        <v>60.747238000000003</v>
      </c>
      <c r="H1075" s="69">
        <f ca="1"/>
        <v>20400900</v>
      </c>
      <c r="I1075" s="23" t="str">
        <f t="shared" ca="1" si="33"/>
        <v/>
      </c>
    </row>
    <row r="1076" spans="1:9" ht="13.8">
      <c r="A1076" s="20">
        <f t="shared" ca="1" si="32"/>
        <v>42829</v>
      </c>
      <c r="B1076" s="21" t="str">
        <f ca="1"/>
        <v>2017-04-04</v>
      </c>
      <c r="C1076" s="22">
        <f ca="1"/>
        <v>65.389999000000003</v>
      </c>
      <c r="D1076" s="22">
        <f ca="1"/>
        <v>65.809997999999993</v>
      </c>
      <c r="E1076" s="22">
        <f ca="1"/>
        <v>65.279999000000004</v>
      </c>
      <c r="F1076" s="22">
        <f ca="1"/>
        <v>65.730002999999996</v>
      </c>
      <c r="G1076" s="22">
        <f ca="1"/>
        <v>60.914059000000002</v>
      </c>
      <c r="H1076" s="69">
        <f ca="1"/>
        <v>12997400</v>
      </c>
      <c r="I1076" s="23" t="str">
        <f t="shared" ca="1" si="33"/>
        <v/>
      </c>
    </row>
    <row r="1077" spans="1:9" ht="13.8">
      <c r="A1077" s="20">
        <f t="shared" ca="1" si="32"/>
        <v>42830</v>
      </c>
      <c r="B1077" s="21" t="str">
        <f ca="1"/>
        <v>2017-04-05</v>
      </c>
      <c r="C1077" s="22">
        <f ca="1"/>
        <v>66.300003000000004</v>
      </c>
      <c r="D1077" s="22">
        <f ca="1"/>
        <v>66.349997999999999</v>
      </c>
      <c r="E1077" s="22">
        <f ca="1"/>
        <v>65.440002000000007</v>
      </c>
      <c r="F1077" s="22">
        <f ca="1"/>
        <v>65.559997999999993</v>
      </c>
      <c r="G1077" s="22">
        <f ca="1"/>
        <v>60.756504</v>
      </c>
      <c r="H1077" s="69">
        <f ca="1"/>
        <v>21448600</v>
      </c>
      <c r="I1077" s="23" t="str">
        <f t="shared" ca="1" si="33"/>
        <v/>
      </c>
    </row>
    <row r="1078" spans="1:9" ht="13.8">
      <c r="A1078" s="20">
        <f t="shared" ca="1" si="32"/>
        <v>42831</v>
      </c>
      <c r="B1078" s="21" t="str">
        <f ca="1"/>
        <v>2017-04-06</v>
      </c>
      <c r="C1078" s="22">
        <f ca="1"/>
        <v>65.599997999999999</v>
      </c>
      <c r="D1078" s="22">
        <f ca="1"/>
        <v>66.059997999999993</v>
      </c>
      <c r="E1078" s="22">
        <f ca="1"/>
        <v>65.480002999999996</v>
      </c>
      <c r="F1078" s="22">
        <f ca="1"/>
        <v>65.730002999999996</v>
      </c>
      <c r="G1078" s="22">
        <f ca="1"/>
        <v>60.914059000000002</v>
      </c>
      <c r="H1078" s="69">
        <f ca="1"/>
        <v>18103500</v>
      </c>
      <c r="I1078" s="23" t="str">
        <f t="shared" ca="1" si="33"/>
        <v/>
      </c>
    </row>
    <row r="1079" spans="1:9" ht="13.8">
      <c r="A1079" s="20">
        <f t="shared" ca="1" si="32"/>
        <v>42832</v>
      </c>
      <c r="B1079" s="21" t="str">
        <f ca="1"/>
        <v>2017-04-07</v>
      </c>
      <c r="C1079" s="22">
        <f ca="1"/>
        <v>65.849997999999999</v>
      </c>
      <c r="D1079" s="22">
        <f ca="1"/>
        <v>65.959998999999996</v>
      </c>
      <c r="E1079" s="22">
        <f ca="1"/>
        <v>65.440002000000007</v>
      </c>
      <c r="F1079" s="22">
        <f ca="1"/>
        <v>65.680000000000007</v>
      </c>
      <c r="G1079" s="22">
        <f ca="1"/>
        <v>60.867705999999998</v>
      </c>
      <c r="H1079" s="69">
        <f ca="1"/>
        <v>14108500</v>
      </c>
      <c r="I1079" s="23" t="str">
        <f t="shared" ca="1" si="33"/>
        <v/>
      </c>
    </row>
    <row r="1080" spans="1:9" ht="13.8">
      <c r="A1080" s="20">
        <f t="shared" ca="1" si="32"/>
        <v>42835</v>
      </c>
      <c r="B1080" s="21" t="str">
        <f ca="1"/>
        <v>2017-04-10</v>
      </c>
      <c r="C1080" s="22">
        <f ca="1"/>
        <v>65.610000999999997</v>
      </c>
      <c r="D1080" s="22">
        <f ca="1"/>
        <v>65.819999999999993</v>
      </c>
      <c r="E1080" s="22">
        <f ca="1"/>
        <v>65.360000999999997</v>
      </c>
      <c r="F1080" s="22">
        <f ca="1"/>
        <v>65.529999000000004</v>
      </c>
      <c r="G1080" s="22">
        <f ca="1"/>
        <v>60.728698999999999</v>
      </c>
      <c r="H1080" s="69">
        <f ca="1"/>
        <v>17952700</v>
      </c>
      <c r="I1080" s="23" t="str">
        <f t="shared" ca="1" si="33"/>
        <v/>
      </c>
    </row>
    <row r="1081" spans="1:9" ht="13.8">
      <c r="A1081" s="20">
        <f t="shared" ca="1" si="32"/>
        <v>42836</v>
      </c>
      <c r="B1081" s="21" t="str">
        <f ca="1"/>
        <v>2017-04-11</v>
      </c>
      <c r="C1081" s="22">
        <f ca="1"/>
        <v>65.599997999999999</v>
      </c>
      <c r="D1081" s="22">
        <f ca="1"/>
        <v>65.610000999999997</v>
      </c>
      <c r="E1081" s="22">
        <f ca="1"/>
        <v>64.849997999999999</v>
      </c>
      <c r="F1081" s="22">
        <f ca="1"/>
        <v>65.480002999999996</v>
      </c>
      <c r="G1081" s="22">
        <f ca="1"/>
        <v>60.682364999999997</v>
      </c>
      <c r="H1081" s="69">
        <f ca="1"/>
        <v>18791500</v>
      </c>
      <c r="I1081" s="23" t="str">
        <f t="shared" ca="1" si="33"/>
        <v/>
      </c>
    </row>
    <row r="1082" spans="1:9" ht="13.8">
      <c r="A1082" s="20">
        <f t="shared" ca="1" si="32"/>
        <v>42837</v>
      </c>
      <c r="B1082" s="21" t="str">
        <f ca="1"/>
        <v>2017-04-12</v>
      </c>
      <c r="C1082" s="22">
        <f ca="1"/>
        <v>65.419998000000007</v>
      </c>
      <c r="D1082" s="22">
        <f ca="1"/>
        <v>65.510002</v>
      </c>
      <c r="E1082" s="22">
        <f ca="1"/>
        <v>65.110000999999997</v>
      </c>
      <c r="F1082" s="22">
        <f ca="1"/>
        <v>65.230002999999996</v>
      </c>
      <c r="G1082" s="22">
        <f ca="1"/>
        <v>60.450699</v>
      </c>
      <c r="H1082" s="69">
        <f ca="1"/>
        <v>17108500</v>
      </c>
      <c r="I1082" s="23" t="str">
        <f t="shared" ca="1" si="33"/>
        <v/>
      </c>
    </row>
    <row r="1083" spans="1:9" ht="13.8">
      <c r="A1083" s="20">
        <f t="shared" ca="1" si="32"/>
        <v>42838</v>
      </c>
      <c r="B1083" s="21" t="str">
        <f ca="1"/>
        <v>2017-04-13</v>
      </c>
      <c r="C1083" s="22">
        <f ca="1"/>
        <v>65.290001000000004</v>
      </c>
      <c r="D1083" s="22">
        <f ca="1"/>
        <v>65.860000999999997</v>
      </c>
      <c r="E1083" s="22">
        <f ca="1"/>
        <v>64.949996999999996</v>
      </c>
      <c r="F1083" s="22">
        <f ca="1"/>
        <v>64.949996999999996</v>
      </c>
      <c r="G1083" s="22">
        <f ca="1"/>
        <v>60.191200000000002</v>
      </c>
      <c r="H1083" s="69">
        <f ca="1"/>
        <v>17896500</v>
      </c>
      <c r="I1083" s="23" t="str">
        <f t="shared" ca="1" si="33"/>
        <v/>
      </c>
    </row>
    <row r="1084" spans="1:9" ht="13.8">
      <c r="A1084" s="20">
        <f t="shared" ca="1" si="32"/>
        <v>42842</v>
      </c>
      <c r="B1084" s="21" t="str">
        <f ca="1"/>
        <v>2017-04-17</v>
      </c>
      <c r="C1084" s="22">
        <f ca="1"/>
        <v>65.040001000000004</v>
      </c>
      <c r="D1084" s="22">
        <f ca="1"/>
        <v>65.489998</v>
      </c>
      <c r="E1084" s="22">
        <f ca="1"/>
        <v>65.010002</v>
      </c>
      <c r="F1084" s="22">
        <f ca="1"/>
        <v>65.480002999999996</v>
      </c>
      <c r="G1084" s="22">
        <f ca="1"/>
        <v>60.682364999999997</v>
      </c>
      <c r="H1084" s="69">
        <f ca="1"/>
        <v>16689300</v>
      </c>
      <c r="I1084" s="23" t="str">
        <f t="shared" ca="1" si="33"/>
        <v/>
      </c>
    </row>
    <row r="1085" spans="1:9" ht="13.8">
      <c r="A1085" s="20">
        <f t="shared" ca="1" si="32"/>
        <v>42843</v>
      </c>
      <c r="B1085" s="21" t="str">
        <f ca="1"/>
        <v>2017-04-18</v>
      </c>
      <c r="C1085" s="22">
        <f ca="1"/>
        <v>65.330001999999993</v>
      </c>
      <c r="D1085" s="22">
        <f ca="1"/>
        <v>65.709998999999996</v>
      </c>
      <c r="E1085" s="22">
        <f ca="1"/>
        <v>65.160004000000001</v>
      </c>
      <c r="F1085" s="22">
        <f ca="1"/>
        <v>65.389999000000003</v>
      </c>
      <c r="G1085" s="22">
        <f ca="1"/>
        <v>60.598953000000002</v>
      </c>
      <c r="H1085" s="69">
        <f ca="1"/>
        <v>15155600</v>
      </c>
      <c r="I1085" s="23" t="str">
        <f t="shared" ca="1" si="33"/>
        <v/>
      </c>
    </row>
    <row r="1086" spans="1:9" ht="13.8">
      <c r="A1086" s="20">
        <f t="shared" ca="1" si="32"/>
        <v>42844</v>
      </c>
      <c r="B1086" s="21" t="str">
        <f ca="1"/>
        <v>2017-04-19</v>
      </c>
      <c r="C1086" s="22">
        <f ca="1"/>
        <v>65.650002000000001</v>
      </c>
      <c r="D1086" s="22">
        <f ca="1"/>
        <v>65.75</v>
      </c>
      <c r="E1086" s="22">
        <f ca="1"/>
        <v>64.889999000000003</v>
      </c>
      <c r="F1086" s="22">
        <f ca="1"/>
        <v>65.040001000000004</v>
      </c>
      <c r="G1086" s="22">
        <f ca="1"/>
        <v>60.274608999999998</v>
      </c>
      <c r="H1086" s="69">
        <f ca="1"/>
        <v>26992800</v>
      </c>
      <c r="I1086" s="23" t="str">
        <f t="shared" ca="1" si="33"/>
        <v/>
      </c>
    </row>
    <row r="1087" spans="1:9" ht="13.8">
      <c r="A1087" s="20">
        <f t="shared" ca="1" si="32"/>
        <v>42845</v>
      </c>
      <c r="B1087" s="21" t="str">
        <f ca="1"/>
        <v>2017-04-20</v>
      </c>
      <c r="C1087" s="22">
        <f ca="1"/>
        <v>65.459998999999996</v>
      </c>
      <c r="D1087" s="22">
        <f ca="1"/>
        <v>65.75</v>
      </c>
      <c r="E1087" s="22">
        <f ca="1"/>
        <v>65.139999000000003</v>
      </c>
      <c r="F1087" s="22">
        <f ca="1"/>
        <v>65.5</v>
      </c>
      <c r="G1087" s="22">
        <f ca="1"/>
        <v>60.700901000000002</v>
      </c>
      <c r="H1087" s="69">
        <f ca="1"/>
        <v>22299500</v>
      </c>
      <c r="I1087" s="23" t="str">
        <f t="shared" ca="1" si="33"/>
        <v/>
      </c>
    </row>
    <row r="1088" spans="1:9" ht="13.8">
      <c r="A1088" s="20">
        <f t="shared" ca="1" si="32"/>
        <v>42846</v>
      </c>
      <c r="B1088" s="21" t="str">
        <f ca="1"/>
        <v>2017-04-21</v>
      </c>
      <c r="C1088" s="22">
        <f ca="1"/>
        <v>65.669998000000007</v>
      </c>
      <c r="D1088" s="22">
        <f ca="1"/>
        <v>66.699996999999996</v>
      </c>
      <c r="E1088" s="22">
        <f ca="1"/>
        <v>65.449996999999996</v>
      </c>
      <c r="F1088" s="22">
        <f ca="1"/>
        <v>66.400002000000001</v>
      </c>
      <c r="G1088" s="22">
        <f ca="1"/>
        <v>61.534958000000003</v>
      </c>
      <c r="H1088" s="69">
        <f ca="1"/>
        <v>32522600</v>
      </c>
      <c r="I1088" s="23" t="str">
        <f t="shared" ca="1" si="33"/>
        <v/>
      </c>
    </row>
    <row r="1089" spans="1:9" ht="13.8">
      <c r="A1089" s="20">
        <f t="shared" ca="1" si="32"/>
        <v>42849</v>
      </c>
      <c r="B1089" s="21" t="str">
        <f ca="1"/>
        <v>2017-04-24</v>
      </c>
      <c r="C1089" s="22">
        <f ca="1"/>
        <v>67.480002999999996</v>
      </c>
      <c r="D1089" s="22">
        <f ca="1"/>
        <v>67.660004000000001</v>
      </c>
      <c r="E1089" s="22">
        <f ca="1"/>
        <v>67.099997999999999</v>
      </c>
      <c r="F1089" s="22">
        <f ca="1"/>
        <v>67.529999000000004</v>
      </c>
      <c r="G1089" s="22">
        <f ca="1"/>
        <v>62.582157000000002</v>
      </c>
      <c r="H1089" s="69">
        <f ca="1"/>
        <v>29770000</v>
      </c>
      <c r="I1089" s="23" t="str">
        <f t="shared" ca="1" si="33"/>
        <v/>
      </c>
    </row>
    <row r="1090" spans="1:9" ht="13.8">
      <c r="A1090" s="20">
        <f t="shared" ca="1" si="32"/>
        <v>42850</v>
      </c>
      <c r="B1090" s="21" t="str">
        <f ca="1"/>
        <v>2017-04-25</v>
      </c>
      <c r="C1090" s="22">
        <f ca="1"/>
        <v>67.900002000000001</v>
      </c>
      <c r="D1090" s="22">
        <f ca="1"/>
        <v>68.040001000000004</v>
      </c>
      <c r="E1090" s="22">
        <f ca="1"/>
        <v>67.599997999999999</v>
      </c>
      <c r="F1090" s="22">
        <f ca="1"/>
        <v>67.919998000000007</v>
      </c>
      <c r="G1090" s="22">
        <f ca="1"/>
        <v>62.943600000000004</v>
      </c>
      <c r="H1090" s="69">
        <f ca="1"/>
        <v>30242700</v>
      </c>
      <c r="I1090" s="23" t="str">
        <f t="shared" ca="1" si="33"/>
        <v/>
      </c>
    </row>
    <row r="1091" spans="1:9" ht="13.8">
      <c r="A1091" s="20">
        <f t="shared" ca="1" si="32"/>
        <v>42851</v>
      </c>
      <c r="B1091" s="21" t="str">
        <f ca="1"/>
        <v>2017-04-26</v>
      </c>
      <c r="C1091" s="22">
        <f ca="1"/>
        <v>68.080001999999993</v>
      </c>
      <c r="D1091" s="22">
        <f ca="1"/>
        <v>68.309997999999993</v>
      </c>
      <c r="E1091" s="22">
        <f ca="1"/>
        <v>67.620002999999997</v>
      </c>
      <c r="F1091" s="22">
        <f ca="1"/>
        <v>67.830001999999993</v>
      </c>
      <c r="G1091" s="22">
        <f ca="1"/>
        <v>62.860194999999997</v>
      </c>
      <c r="H1091" s="69">
        <f ca="1"/>
        <v>26190800</v>
      </c>
      <c r="I1091" s="23" t="str">
        <f t="shared" ca="1" si="33"/>
        <v/>
      </c>
    </row>
    <row r="1092" spans="1:9" ht="13.8">
      <c r="A1092" s="20">
        <f t="shared" ca="1" si="32"/>
        <v>42852</v>
      </c>
      <c r="B1092" s="21" t="str">
        <f ca="1"/>
        <v>2017-04-27</v>
      </c>
      <c r="C1092" s="22">
        <f ca="1"/>
        <v>68.150002000000001</v>
      </c>
      <c r="D1092" s="22">
        <f ca="1"/>
        <v>68.379997000000003</v>
      </c>
      <c r="E1092" s="22">
        <f ca="1"/>
        <v>67.580001999999993</v>
      </c>
      <c r="F1092" s="22">
        <f ca="1"/>
        <v>68.269997000000004</v>
      </c>
      <c r="G1092" s="22">
        <f ca="1"/>
        <v>63.267941</v>
      </c>
      <c r="H1092" s="69">
        <f ca="1"/>
        <v>34971000</v>
      </c>
      <c r="I1092" s="23" t="str">
        <f t="shared" ca="1" si="33"/>
        <v/>
      </c>
    </row>
    <row r="1093" spans="1:9" ht="13.8">
      <c r="A1093" s="20">
        <f t="shared" ca="1" si="32"/>
        <v>42853</v>
      </c>
      <c r="B1093" s="21" t="str">
        <f ca="1"/>
        <v>2017-04-28</v>
      </c>
      <c r="C1093" s="22">
        <f ca="1"/>
        <v>68.910004000000001</v>
      </c>
      <c r="D1093" s="22">
        <f ca="1"/>
        <v>69.139999000000003</v>
      </c>
      <c r="E1093" s="22">
        <f ca="1"/>
        <v>67.690002000000007</v>
      </c>
      <c r="F1093" s="22">
        <f ca="1"/>
        <v>68.459998999999996</v>
      </c>
      <c r="G1093" s="22">
        <f ca="1"/>
        <v>63.444023000000001</v>
      </c>
      <c r="H1093" s="69">
        <f ca="1"/>
        <v>39548800</v>
      </c>
      <c r="I1093" s="23" t="str">
        <f t="shared" ca="1" si="33"/>
        <v/>
      </c>
    </row>
    <row r="1094" spans="1:9" ht="13.8">
      <c r="A1094" s="20">
        <f t="shared" ref="A1094:A1157" ca="1" si="34">IFERROR(DATEVALUE($B1094),"--")</f>
        <v>42856</v>
      </c>
      <c r="B1094" s="21" t="str">
        <f ca="1"/>
        <v>2017-05-01</v>
      </c>
      <c r="C1094" s="22">
        <f ca="1"/>
        <v>68.680000000000007</v>
      </c>
      <c r="D1094" s="22">
        <f ca="1"/>
        <v>69.550003000000004</v>
      </c>
      <c r="E1094" s="22">
        <f ca="1"/>
        <v>68.5</v>
      </c>
      <c r="F1094" s="22">
        <f ca="1"/>
        <v>69.410004000000001</v>
      </c>
      <c r="G1094" s="22">
        <f ca="1"/>
        <v>64.324425000000005</v>
      </c>
      <c r="H1094" s="69">
        <f ca="1"/>
        <v>31954400</v>
      </c>
      <c r="I1094" s="23" t="str">
        <f t="shared" ref="I1094:I1157" ca="1" si="35">IFERROR(IF(Ticker&lt;&gt;$Q$2,"",INDEX($P:$P,MATCH($A1094,$O:$O,0))),"")</f>
        <v/>
      </c>
    </row>
    <row r="1095" spans="1:9" ht="13.8">
      <c r="A1095" s="20">
        <f t="shared" ca="1" si="34"/>
        <v>42857</v>
      </c>
      <c r="B1095" s="21" t="str">
        <f ca="1"/>
        <v>2017-05-02</v>
      </c>
      <c r="C1095" s="22">
        <f ca="1"/>
        <v>69.709998999999996</v>
      </c>
      <c r="D1095" s="22">
        <f ca="1"/>
        <v>69.709998999999996</v>
      </c>
      <c r="E1095" s="22">
        <f ca="1"/>
        <v>69.129997000000003</v>
      </c>
      <c r="F1095" s="22">
        <f ca="1"/>
        <v>69.300003000000004</v>
      </c>
      <c r="G1095" s="22">
        <f ca="1"/>
        <v>64.222465999999997</v>
      </c>
      <c r="H1095" s="69">
        <f ca="1"/>
        <v>23906100</v>
      </c>
      <c r="I1095" s="23" t="str">
        <f t="shared" ca="1" si="35"/>
        <v/>
      </c>
    </row>
    <row r="1096" spans="1:9" ht="13.8">
      <c r="A1096" s="20">
        <f t="shared" ca="1" si="34"/>
        <v>42858</v>
      </c>
      <c r="B1096" s="21" t="str">
        <f ca="1"/>
        <v>2017-05-03</v>
      </c>
      <c r="C1096" s="22">
        <f ca="1"/>
        <v>69.379997000000003</v>
      </c>
      <c r="D1096" s="22">
        <f ca="1"/>
        <v>69.379997000000003</v>
      </c>
      <c r="E1096" s="22">
        <f ca="1"/>
        <v>68.709998999999996</v>
      </c>
      <c r="F1096" s="22">
        <f ca="1"/>
        <v>69.080001999999993</v>
      </c>
      <c r="G1096" s="22">
        <f ca="1"/>
        <v>64.018608</v>
      </c>
      <c r="H1096" s="69">
        <f ca="1"/>
        <v>28928000</v>
      </c>
      <c r="I1096" s="23" t="str">
        <f t="shared" ca="1" si="35"/>
        <v/>
      </c>
    </row>
    <row r="1097" spans="1:9" ht="13.8">
      <c r="A1097" s="20">
        <f t="shared" ca="1" si="34"/>
        <v>42859</v>
      </c>
      <c r="B1097" s="21" t="str">
        <f ca="1"/>
        <v>2017-05-04</v>
      </c>
      <c r="C1097" s="22">
        <f ca="1"/>
        <v>69.029999000000004</v>
      </c>
      <c r="D1097" s="22">
        <f ca="1"/>
        <v>69.080001999999993</v>
      </c>
      <c r="E1097" s="22">
        <f ca="1"/>
        <v>68.639999000000003</v>
      </c>
      <c r="F1097" s="22">
        <f ca="1"/>
        <v>68.809997999999993</v>
      </c>
      <c r="G1097" s="22">
        <f ca="1"/>
        <v>63.768386999999997</v>
      </c>
      <c r="H1097" s="69">
        <f ca="1"/>
        <v>21749400</v>
      </c>
      <c r="I1097" s="23" t="str">
        <f t="shared" ca="1" si="35"/>
        <v/>
      </c>
    </row>
    <row r="1098" spans="1:9" ht="13.8">
      <c r="A1098" s="20">
        <f t="shared" ca="1" si="34"/>
        <v>42860</v>
      </c>
      <c r="B1098" s="21" t="str">
        <f ca="1"/>
        <v>2017-05-05</v>
      </c>
      <c r="C1098" s="22">
        <f ca="1"/>
        <v>68.900002000000001</v>
      </c>
      <c r="D1098" s="22">
        <f ca="1"/>
        <v>69.029999000000004</v>
      </c>
      <c r="E1098" s="22">
        <f ca="1"/>
        <v>68.489998</v>
      </c>
      <c r="F1098" s="22">
        <f ca="1"/>
        <v>69</v>
      </c>
      <c r="G1098" s="22">
        <f ca="1"/>
        <v>63.944450000000003</v>
      </c>
      <c r="H1098" s="69">
        <f ca="1"/>
        <v>19128800</v>
      </c>
      <c r="I1098" s="23" t="str">
        <f t="shared" ca="1" si="35"/>
        <v/>
      </c>
    </row>
    <row r="1099" spans="1:9" ht="13.8">
      <c r="A1099" s="20">
        <f t="shared" ca="1" si="34"/>
        <v>42863</v>
      </c>
      <c r="B1099" s="21" t="str">
        <f ca="1"/>
        <v>2017-05-08</v>
      </c>
      <c r="C1099" s="22">
        <f ca="1"/>
        <v>68.970000999999996</v>
      </c>
      <c r="D1099" s="22">
        <f ca="1"/>
        <v>69.050003000000004</v>
      </c>
      <c r="E1099" s="22">
        <f ca="1"/>
        <v>68.419998000000007</v>
      </c>
      <c r="F1099" s="22">
        <f ca="1"/>
        <v>68.940002000000007</v>
      </c>
      <c r="G1099" s="22">
        <f ca="1"/>
        <v>63.888851000000003</v>
      </c>
      <c r="H1099" s="69">
        <f ca="1"/>
        <v>18566100</v>
      </c>
      <c r="I1099" s="23" t="str">
        <f t="shared" ca="1" si="35"/>
        <v/>
      </c>
    </row>
    <row r="1100" spans="1:9" ht="13.8">
      <c r="A1100" s="20">
        <f t="shared" ca="1" si="34"/>
        <v>42864</v>
      </c>
      <c r="B1100" s="21" t="str">
        <f ca="1"/>
        <v>2017-05-09</v>
      </c>
      <c r="C1100" s="22">
        <f ca="1"/>
        <v>68.860000999999997</v>
      </c>
      <c r="D1100" s="22">
        <f ca="1"/>
        <v>69.279999000000004</v>
      </c>
      <c r="E1100" s="22">
        <f ca="1"/>
        <v>68.680000000000007</v>
      </c>
      <c r="F1100" s="22">
        <f ca="1"/>
        <v>69.040001000000004</v>
      </c>
      <c r="G1100" s="22">
        <f ca="1"/>
        <v>63.981532999999999</v>
      </c>
      <c r="H1100" s="69">
        <f ca="1"/>
        <v>22858400</v>
      </c>
      <c r="I1100" s="23" t="str">
        <f t="shared" ca="1" si="35"/>
        <v/>
      </c>
    </row>
    <row r="1101" spans="1:9" ht="13.8">
      <c r="A1101" s="20">
        <f t="shared" ca="1" si="34"/>
        <v>42865</v>
      </c>
      <c r="B1101" s="21" t="str">
        <f ca="1"/>
        <v>2017-05-10</v>
      </c>
      <c r="C1101" s="22">
        <f ca="1"/>
        <v>68.989998</v>
      </c>
      <c r="D1101" s="22">
        <f ca="1"/>
        <v>69.559997999999993</v>
      </c>
      <c r="E1101" s="22">
        <f ca="1"/>
        <v>68.919998000000007</v>
      </c>
      <c r="F1101" s="22">
        <f ca="1"/>
        <v>69.309997999999993</v>
      </c>
      <c r="G1101" s="22">
        <f ca="1"/>
        <v>64.231742999999994</v>
      </c>
      <c r="H1101" s="69">
        <f ca="1"/>
        <v>17977800</v>
      </c>
      <c r="I1101" s="23" t="str">
        <f t="shared" ca="1" si="35"/>
        <v/>
      </c>
    </row>
    <row r="1102" spans="1:9" ht="13.8">
      <c r="A1102" s="20">
        <f t="shared" ca="1" si="34"/>
        <v>42866</v>
      </c>
      <c r="B1102" s="21" t="str">
        <f ca="1"/>
        <v>2017-05-11</v>
      </c>
      <c r="C1102" s="22">
        <f ca="1"/>
        <v>68.360000999999997</v>
      </c>
      <c r="D1102" s="22">
        <f ca="1"/>
        <v>68.730002999999996</v>
      </c>
      <c r="E1102" s="22">
        <f ca="1"/>
        <v>68.120002999999997</v>
      </c>
      <c r="F1102" s="22">
        <f ca="1"/>
        <v>68.459998999999996</v>
      </c>
      <c r="G1102" s="22">
        <f ca="1"/>
        <v>63.444023000000001</v>
      </c>
      <c r="H1102" s="69">
        <f ca="1"/>
        <v>28789400</v>
      </c>
      <c r="I1102" s="23" t="str">
        <f t="shared" ca="1" si="35"/>
        <v/>
      </c>
    </row>
    <row r="1103" spans="1:9" ht="13.8">
      <c r="A1103" s="20">
        <f t="shared" ca="1" si="34"/>
        <v>42867</v>
      </c>
      <c r="B1103" s="21" t="str">
        <f ca="1"/>
        <v>2017-05-12</v>
      </c>
      <c r="C1103" s="22">
        <f ca="1"/>
        <v>68.610000999999997</v>
      </c>
      <c r="D1103" s="22">
        <f ca="1"/>
        <v>68.610000999999997</v>
      </c>
      <c r="E1103" s="22">
        <f ca="1"/>
        <v>68.040001000000004</v>
      </c>
      <c r="F1103" s="22">
        <f ca="1"/>
        <v>68.379997000000003</v>
      </c>
      <c r="G1103" s="22">
        <f ca="1"/>
        <v>63.369903999999998</v>
      </c>
      <c r="H1103" s="69">
        <f ca="1"/>
        <v>18714100</v>
      </c>
      <c r="I1103" s="23" t="str">
        <f t="shared" ca="1" si="35"/>
        <v/>
      </c>
    </row>
    <row r="1104" spans="1:9" ht="13.8">
      <c r="A1104" s="20">
        <f t="shared" ca="1" si="34"/>
        <v>42870</v>
      </c>
      <c r="B1104" s="21" t="str">
        <f ca="1"/>
        <v>2017-05-15</v>
      </c>
      <c r="C1104" s="22">
        <f ca="1"/>
        <v>68.139999000000003</v>
      </c>
      <c r="D1104" s="22">
        <f ca="1"/>
        <v>68.480002999999996</v>
      </c>
      <c r="E1104" s="22">
        <f ca="1"/>
        <v>67.569999999999993</v>
      </c>
      <c r="F1104" s="22">
        <f ca="1"/>
        <v>68.430000000000007</v>
      </c>
      <c r="G1104" s="22">
        <f ca="1"/>
        <v>63.416237000000002</v>
      </c>
      <c r="H1104" s="69">
        <f ca="1"/>
        <v>31530300</v>
      </c>
      <c r="I1104" s="23" t="str">
        <f t="shared" ca="1" si="35"/>
        <v/>
      </c>
    </row>
    <row r="1105" spans="1:9" ht="13.8">
      <c r="A1105" s="20">
        <f t="shared" ca="1" si="34"/>
        <v>42871</v>
      </c>
      <c r="B1105" s="21" t="str">
        <f ca="1"/>
        <v>2017-05-16</v>
      </c>
      <c r="C1105" s="22">
        <f ca="1"/>
        <v>68.230002999999996</v>
      </c>
      <c r="D1105" s="22">
        <f ca="1"/>
        <v>69.440002000000007</v>
      </c>
      <c r="E1105" s="22">
        <f ca="1"/>
        <v>68.160004000000001</v>
      </c>
      <c r="F1105" s="22">
        <f ca="1"/>
        <v>69.410004000000001</v>
      </c>
      <c r="G1105" s="22">
        <f ca="1"/>
        <v>64.693129999999996</v>
      </c>
      <c r="H1105" s="69">
        <f ca="1"/>
        <v>34956000</v>
      </c>
      <c r="I1105" s="23">
        <f t="shared" ca="1" si="35"/>
        <v>0.39</v>
      </c>
    </row>
    <row r="1106" spans="1:9" ht="13.8">
      <c r="A1106" s="20">
        <f t="shared" ca="1" si="34"/>
        <v>42872</v>
      </c>
      <c r="B1106" s="21" t="str">
        <f ca="1"/>
        <v>2017-05-17</v>
      </c>
      <c r="C1106" s="22">
        <f ca="1"/>
        <v>68.889999000000003</v>
      </c>
      <c r="D1106" s="22">
        <f ca="1"/>
        <v>69.099997999999999</v>
      </c>
      <c r="E1106" s="22">
        <f ca="1"/>
        <v>67.430000000000007</v>
      </c>
      <c r="F1106" s="22">
        <f ca="1"/>
        <v>67.480002999999996</v>
      </c>
      <c r="G1106" s="22">
        <f ca="1"/>
        <v>62.894283000000001</v>
      </c>
      <c r="H1106" s="69">
        <f ca="1"/>
        <v>30548800</v>
      </c>
      <c r="I1106" s="23" t="str">
        <f t="shared" ca="1" si="35"/>
        <v/>
      </c>
    </row>
    <row r="1107" spans="1:9" ht="13.8">
      <c r="A1107" s="20">
        <f t="shared" ca="1" si="34"/>
        <v>42873</v>
      </c>
      <c r="B1107" s="21" t="str">
        <f ca="1"/>
        <v>2017-05-18</v>
      </c>
      <c r="C1107" s="22">
        <f ca="1"/>
        <v>67.400002000000001</v>
      </c>
      <c r="D1107" s="22">
        <f ca="1"/>
        <v>68.129997000000003</v>
      </c>
      <c r="E1107" s="22">
        <f ca="1"/>
        <v>67.139999000000003</v>
      </c>
      <c r="F1107" s="22">
        <f ca="1"/>
        <v>67.709998999999996</v>
      </c>
      <c r="G1107" s="22">
        <f ca="1"/>
        <v>63.108654000000001</v>
      </c>
      <c r="H1107" s="69">
        <f ca="1"/>
        <v>25201300</v>
      </c>
      <c r="I1107" s="23" t="str">
        <f t="shared" ca="1" si="35"/>
        <v/>
      </c>
    </row>
    <row r="1108" spans="1:9" ht="13.8">
      <c r="A1108" s="20">
        <f t="shared" ca="1" si="34"/>
        <v>42874</v>
      </c>
      <c r="B1108" s="21" t="str">
        <f ca="1"/>
        <v>2017-05-19</v>
      </c>
      <c r="C1108" s="22">
        <f ca="1"/>
        <v>67.5</v>
      </c>
      <c r="D1108" s="22">
        <f ca="1"/>
        <v>68.099997999999999</v>
      </c>
      <c r="E1108" s="22">
        <f ca="1"/>
        <v>67.430000000000007</v>
      </c>
      <c r="F1108" s="22">
        <f ca="1"/>
        <v>67.690002000000007</v>
      </c>
      <c r="G1108" s="22">
        <f ca="1"/>
        <v>63.090026999999999</v>
      </c>
      <c r="H1108" s="69">
        <f ca="1"/>
        <v>26961100</v>
      </c>
      <c r="I1108" s="23" t="str">
        <f t="shared" ca="1" si="35"/>
        <v/>
      </c>
    </row>
    <row r="1109" spans="1:9" ht="13.8">
      <c r="A1109" s="20">
        <f t="shared" ca="1" si="34"/>
        <v>42877</v>
      </c>
      <c r="B1109" s="21" t="str">
        <f ca="1"/>
        <v>2017-05-22</v>
      </c>
      <c r="C1109" s="22">
        <f ca="1"/>
        <v>67.889999000000003</v>
      </c>
      <c r="D1109" s="22">
        <f ca="1"/>
        <v>68.5</v>
      </c>
      <c r="E1109" s="22">
        <f ca="1"/>
        <v>67.5</v>
      </c>
      <c r="F1109" s="22">
        <f ca="1"/>
        <v>68.449996999999996</v>
      </c>
      <c r="G1109" s="22">
        <f ca="1"/>
        <v>63.798340000000003</v>
      </c>
      <c r="H1109" s="69">
        <f ca="1"/>
        <v>16237600</v>
      </c>
      <c r="I1109" s="23" t="str">
        <f t="shared" ca="1" si="35"/>
        <v/>
      </c>
    </row>
    <row r="1110" spans="1:9" ht="13.8">
      <c r="A1110" s="20">
        <f t="shared" ca="1" si="34"/>
        <v>42878</v>
      </c>
      <c r="B1110" s="21" t="str">
        <f ca="1"/>
        <v>2017-05-23</v>
      </c>
      <c r="C1110" s="22">
        <f ca="1"/>
        <v>68.720000999999996</v>
      </c>
      <c r="D1110" s="22">
        <f ca="1"/>
        <v>68.75</v>
      </c>
      <c r="E1110" s="22">
        <f ca="1"/>
        <v>68.379997000000003</v>
      </c>
      <c r="F1110" s="22">
        <f ca="1"/>
        <v>68.680000000000007</v>
      </c>
      <c r="G1110" s="22">
        <f ca="1"/>
        <v>64.012755999999996</v>
      </c>
      <c r="H1110" s="69">
        <f ca="1"/>
        <v>15425800</v>
      </c>
      <c r="I1110" s="23" t="str">
        <f t="shared" ca="1" si="35"/>
        <v/>
      </c>
    </row>
    <row r="1111" spans="1:9" ht="13.8">
      <c r="A1111" s="20">
        <f t="shared" ca="1" si="34"/>
        <v>42879</v>
      </c>
      <c r="B1111" s="21" t="str">
        <f ca="1"/>
        <v>2017-05-24</v>
      </c>
      <c r="C1111" s="22">
        <f ca="1"/>
        <v>68.870002999999997</v>
      </c>
      <c r="D1111" s="22">
        <f ca="1"/>
        <v>68.879997000000003</v>
      </c>
      <c r="E1111" s="22">
        <f ca="1"/>
        <v>68.449996999999996</v>
      </c>
      <c r="F1111" s="22">
        <f ca="1"/>
        <v>68.769997000000004</v>
      </c>
      <c r="G1111" s="22">
        <f ca="1"/>
        <v>64.096626000000001</v>
      </c>
      <c r="H1111" s="69">
        <f ca="1"/>
        <v>14593900</v>
      </c>
      <c r="I1111" s="23" t="str">
        <f t="shared" ca="1" si="35"/>
        <v/>
      </c>
    </row>
    <row r="1112" spans="1:9" ht="13.8">
      <c r="A1112" s="20">
        <f t="shared" ca="1" si="34"/>
        <v>42880</v>
      </c>
      <c r="B1112" s="21" t="str">
        <f ca="1"/>
        <v>2017-05-25</v>
      </c>
      <c r="C1112" s="22">
        <f ca="1"/>
        <v>68.970000999999996</v>
      </c>
      <c r="D1112" s="22">
        <f ca="1"/>
        <v>69.879997000000003</v>
      </c>
      <c r="E1112" s="22">
        <f ca="1"/>
        <v>68.910004000000001</v>
      </c>
      <c r="F1112" s="22">
        <f ca="1"/>
        <v>69.620002999999997</v>
      </c>
      <c r="G1112" s="22">
        <f ca="1"/>
        <v>64.888855000000007</v>
      </c>
      <c r="H1112" s="69">
        <f ca="1"/>
        <v>21854100</v>
      </c>
      <c r="I1112" s="23" t="str">
        <f t="shared" ca="1" si="35"/>
        <v/>
      </c>
    </row>
    <row r="1113" spans="1:9" ht="13.8">
      <c r="A1113" s="20">
        <f t="shared" ca="1" si="34"/>
        <v>42881</v>
      </c>
      <c r="B1113" s="21" t="str">
        <f ca="1"/>
        <v>2017-05-26</v>
      </c>
      <c r="C1113" s="22">
        <f ca="1"/>
        <v>69.800003000000004</v>
      </c>
      <c r="D1113" s="22">
        <f ca="1"/>
        <v>70.220000999999996</v>
      </c>
      <c r="E1113" s="22">
        <f ca="1"/>
        <v>69.519997000000004</v>
      </c>
      <c r="F1113" s="22">
        <f ca="1"/>
        <v>69.959998999999996</v>
      </c>
      <c r="G1113" s="22">
        <f ca="1"/>
        <v>65.205757000000006</v>
      </c>
      <c r="H1113" s="69">
        <f ca="1"/>
        <v>19827900</v>
      </c>
      <c r="I1113" s="23" t="str">
        <f t="shared" ca="1" si="35"/>
        <v/>
      </c>
    </row>
    <row r="1114" spans="1:9" ht="13.8">
      <c r="A1114" s="20">
        <f t="shared" ca="1" si="34"/>
        <v>42885</v>
      </c>
      <c r="B1114" s="21" t="str">
        <f ca="1"/>
        <v>2017-05-30</v>
      </c>
      <c r="C1114" s="22">
        <f ca="1"/>
        <v>69.790001000000004</v>
      </c>
      <c r="D1114" s="22">
        <f ca="1"/>
        <v>70.410004000000001</v>
      </c>
      <c r="E1114" s="22">
        <f ca="1"/>
        <v>69.769997000000004</v>
      </c>
      <c r="F1114" s="22">
        <f ca="1"/>
        <v>70.410004000000001</v>
      </c>
      <c r="G1114" s="22">
        <f ca="1"/>
        <v>65.625183000000007</v>
      </c>
      <c r="H1114" s="69">
        <f ca="1"/>
        <v>17072800</v>
      </c>
      <c r="I1114" s="23" t="str">
        <f t="shared" ca="1" si="35"/>
        <v/>
      </c>
    </row>
    <row r="1115" spans="1:9" ht="13.8">
      <c r="A1115" s="20">
        <f t="shared" ca="1" si="34"/>
        <v>42886</v>
      </c>
      <c r="B1115" s="21" t="str">
        <f ca="1"/>
        <v>2017-05-31</v>
      </c>
      <c r="C1115" s="22">
        <f ca="1"/>
        <v>70.529999000000004</v>
      </c>
      <c r="D1115" s="22">
        <f ca="1"/>
        <v>70.739998</v>
      </c>
      <c r="E1115" s="22">
        <f ca="1"/>
        <v>69.809997999999993</v>
      </c>
      <c r="F1115" s="22">
        <f ca="1"/>
        <v>69.839995999999999</v>
      </c>
      <c r="G1115" s="22">
        <f ca="1"/>
        <v>65.093902999999997</v>
      </c>
      <c r="H1115" s="69">
        <f ca="1"/>
        <v>30436400</v>
      </c>
      <c r="I1115" s="23" t="str">
        <f t="shared" ca="1" si="35"/>
        <v/>
      </c>
    </row>
    <row r="1116" spans="1:9" ht="13.8">
      <c r="A1116" s="20">
        <f t="shared" ca="1" si="34"/>
        <v>42887</v>
      </c>
      <c r="B1116" s="21" t="str">
        <f ca="1"/>
        <v>2017-06-01</v>
      </c>
      <c r="C1116" s="22">
        <f ca="1"/>
        <v>70.239998</v>
      </c>
      <c r="D1116" s="22">
        <f ca="1"/>
        <v>70.610000999999997</v>
      </c>
      <c r="E1116" s="22">
        <f ca="1"/>
        <v>69.449996999999996</v>
      </c>
      <c r="F1116" s="22">
        <f ca="1"/>
        <v>70.099997999999999</v>
      </c>
      <c r="G1116" s="22">
        <f ca="1"/>
        <v>65.336226999999994</v>
      </c>
      <c r="H1116" s="69">
        <f ca="1"/>
        <v>21603600</v>
      </c>
      <c r="I1116" s="23" t="str">
        <f t="shared" ca="1" si="35"/>
        <v/>
      </c>
    </row>
    <row r="1117" spans="1:9" ht="13.8">
      <c r="A1117" s="20">
        <f t="shared" ca="1" si="34"/>
        <v>42888</v>
      </c>
      <c r="B1117" s="21" t="str">
        <f ca="1"/>
        <v>2017-06-02</v>
      </c>
      <c r="C1117" s="22">
        <f ca="1"/>
        <v>70.440002000000007</v>
      </c>
      <c r="D1117" s="22">
        <f ca="1"/>
        <v>71.860000999999997</v>
      </c>
      <c r="E1117" s="22">
        <f ca="1"/>
        <v>70.239998</v>
      </c>
      <c r="F1117" s="22">
        <f ca="1"/>
        <v>71.760002</v>
      </c>
      <c r="G1117" s="22">
        <f ca="1"/>
        <v>66.883437999999998</v>
      </c>
      <c r="H1117" s="69">
        <f ca="1"/>
        <v>34770300</v>
      </c>
      <c r="I1117" s="23" t="str">
        <f t="shared" ca="1" si="35"/>
        <v/>
      </c>
    </row>
    <row r="1118" spans="1:9" ht="13.8">
      <c r="A1118" s="20">
        <f t="shared" ca="1" si="34"/>
        <v>42891</v>
      </c>
      <c r="B1118" s="21" t="str">
        <f ca="1"/>
        <v>2017-06-05</v>
      </c>
      <c r="C1118" s="22">
        <f ca="1"/>
        <v>71.970000999999996</v>
      </c>
      <c r="D1118" s="22">
        <f ca="1"/>
        <v>72.889999000000003</v>
      </c>
      <c r="E1118" s="22">
        <f ca="1"/>
        <v>71.809997999999993</v>
      </c>
      <c r="F1118" s="22">
        <f ca="1"/>
        <v>72.279999000000004</v>
      </c>
      <c r="G1118" s="22">
        <f ca="1"/>
        <v>67.368088</v>
      </c>
      <c r="H1118" s="69">
        <f ca="1"/>
        <v>33316800</v>
      </c>
      <c r="I1118" s="23" t="str">
        <f t="shared" ca="1" si="35"/>
        <v/>
      </c>
    </row>
    <row r="1119" spans="1:9" ht="13.8">
      <c r="A1119" s="20">
        <f t="shared" ca="1" si="34"/>
        <v>42892</v>
      </c>
      <c r="B1119" s="21" t="str">
        <f ca="1"/>
        <v>2017-06-06</v>
      </c>
      <c r="C1119" s="22">
        <f ca="1"/>
        <v>72.300003000000004</v>
      </c>
      <c r="D1119" s="22">
        <f ca="1"/>
        <v>72.620002999999997</v>
      </c>
      <c r="E1119" s="22">
        <f ca="1"/>
        <v>72.269997000000004</v>
      </c>
      <c r="F1119" s="22">
        <f ca="1"/>
        <v>72.519997000000004</v>
      </c>
      <c r="G1119" s="22">
        <f ca="1"/>
        <v>67.591781999999995</v>
      </c>
      <c r="H1119" s="69">
        <f ca="1"/>
        <v>31511100</v>
      </c>
      <c r="I1119" s="23" t="str">
        <f t="shared" ca="1" si="35"/>
        <v/>
      </c>
    </row>
    <row r="1120" spans="1:9" ht="13.8">
      <c r="A1120" s="20">
        <f t="shared" ca="1" si="34"/>
        <v>42893</v>
      </c>
      <c r="B1120" s="21" t="str">
        <f ca="1"/>
        <v>2017-06-07</v>
      </c>
      <c r="C1120" s="22">
        <f ca="1"/>
        <v>72.639999000000003</v>
      </c>
      <c r="D1120" s="22">
        <f ca="1"/>
        <v>72.769997000000004</v>
      </c>
      <c r="E1120" s="22">
        <f ca="1"/>
        <v>71.949996999999996</v>
      </c>
      <c r="F1120" s="22">
        <f ca="1"/>
        <v>72.389999000000003</v>
      </c>
      <c r="G1120" s="22">
        <f ca="1"/>
        <v>67.470596</v>
      </c>
      <c r="H1120" s="69">
        <f ca="1"/>
        <v>22301800</v>
      </c>
      <c r="I1120" s="23" t="str">
        <f t="shared" ca="1" si="35"/>
        <v/>
      </c>
    </row>
    <row r="1121" spans="1:9" ht="13.8">
      <c r="A1121" s="20">
        <f t="shared" ca="1" si="34"/>
        <v>42894</v>
      </c>
      <c r="B1121" s="21" t="str">
        <f ca="1"/>
        <v>2017-06-08</v>
      </c>
      <c r="C1121" s="22">
        <f ca="1"/>
        <v>72.510002</v>
      </c>
      <c r="D1121" s="22">
        <f ca="1"/>
        <v>72.519997000000004</v>
      </c>
      <c r="E1121" s="22">
        <f ca="1"/>
        <v>71.5</v>
      </c>
      <c r="F1121" s="22">
        <f ca="1"/>
        <v>71.949996999999996</v>
      </c>
      <c r="G1121" s="22">
        <f ca="1"/>
        <v>67.060524000000001</v>
      </c>
      <c r="H1121" s="69">
        <f ca="1"/>
        <v>24588300</v>
      </c>
      <c r="I1121" s="23" t="str">
        <f t="shared" ca="1" si="35"/>
        <v/>
      </c>
    </row>
    <row r="1122" spans="1:9" ht="13.8">
      <c r="A1122" s="20">
        <f t="shared" ca="1" si="34"/>
        <v>42895</v>
      </c>
      <c r="B1122" s="21" t="str">
        <f ca="1"/>
        <v>2017-06-09</v>
      </c>
      <c r="C1122" s="22">
        <f ca="1"/>
        <v>72.040001000000004</v>
      </c>
      <c r="D1122" s="22">
        <f ca="1"/>
        <v>72.080001999999993</v>
      </c>
      <c r="E1122" s="22">
        <f ca="1"/>
        <v>68.589995999999999</v>
      </c>
      <c r="F1122" s="22">
        <f ca="1"/>
        <v>70.319999999999993</v>
      </c>
      <c r="G1122" s="22">
        <f ca="1"/>
        <v>65.541290000000004</v>
      </c>
      <c r="H1122" s="69">
        <f ca="1"/>
        <v>49187400</v>
      </c>
      <c r="I1122" s="23" t="str">
        <f t="shared" ca="1" si="35"/>
        <v/>
      </c>
    </row>
    <row r="1123" spans="1:9" ht="13.8">
      <c r="A1123" s="20">
        <f t="shared" ca="1" si="34"/>
        <v>42898</v>
      </c>
      <c r="B1123" s="21" t="str">
        <f ca="1"/>
        <v>2017-06-12</v>
      </c>
      <c r="C1123" s="22">
        <f ca="1"/>
        <v>69.25</v>
      </c>
      <c r="D1123" s="22">
        <f ca="1"/>
        <v>69.940002000000007</v>
      </c>
      <c r="E1123" s="22">
        <f ca="1"/>
        <v>68.129997000000003</v>
      </c>
      <c r="F1123" s="22">
        <f ca="1"/>
        <v>69.779999000000004</v>
      </c>
      <c r="G1123" s="22">
        <f ca="1"/>
        <v>65.037987000000001</v>
      </c>
      <c r="H1123" s="69">
        <f ca="1"/>
        <v>47761700</v>
      </c>
      <c r="I1123" s="23" t="str">
        <f t="shared" ca="1" si="35"/>
        <v/>
      </c>
    </row>
    <row r="1124" spans="1:9" ht="13.8">
      <c r="A1124" s="20">
        <f t="shared" ca="1" si="34"/>
        <v>42899</v>
      </c>
      <c r="B1124" s="21" t="str">
        <f ca="1"/>
        <v>2017-06-13</v>
      </c>
      <c r="C1124" s="22">
        <f ca="1"/>
        <v>70.019997000000004</v>
      </c>
      <c r="D1124" s="22">
        <f ca="1"/>
        <v>70.819999999999993</v>
      </c>
      <c r="E1124" s="22">
        <f ca="1"/>
        <v>69.959998999999996</v>
      </c>
      <c r="F1124" s="22">
        <f ca="1"/>
        <v>70.650002000000001</v>
      </c>
      <c r="G1124" s="22">
        <f ca="1"/>
        <v>65.848845999999995</v>
      </c>
      <c r="H1124" s="69">
        <f ca="1"/>
        <v>25258600</v>
      </c>
      <c r="I1124" s="23" t="str">
        <f t="shared" ca="1" si="35"/>
        <v/>
      </c>
    </row>
    <row r="1125" spans="1:9" ht="13.8">
      <c r="A1125" s="20">
        <f t="shared" ca="1" si="34"/>
        <v>42900</v>
      </c>
      <c r="B1125" s="21" t="str">
        <f ca="1"/>
        <v>2017-06-14</v>
      </c>
      <c r="C1125" s="22">
        <f ca="1"/>
        <v>70.910004000000001</v>
      </c>
      <c r="D1125" s="22">
        <f ca="1"/>
        <v>71.099997999999999</v>
      </c>
      <c r="E1125" s="22">
        <f ca="1"/>
        <v>69.430000000000007</v>
      </c>
      <c r="F1125" s="22">
        <f ca="1"/>
        <v>70.269997000000004</v>
      </c>
      <c r="G1125" s="22">
        <f ca="1"/>
        <v>65.494690000000006</v>
      </c>
      <c r="H1125" s="69">
        <f ca="1"/>
        <v>25510700</v>
      </c>
      <c r="I1125" s="23" t="str">
        <f t="shared" ca="1" si="35"/>
        <v/>
      </c>
    </row>
    <row r="1126" spans="1:9" ht="13.8">
      <c r="A1126" s="20">
        <f t="shared" ca="1" si="34"/>
        <v>42901</v>
      </c>
      <c r="B1126" s="21" t="str">
        <f ca="1"/>
        <v>2017-06-15</v>
      </c>
      <c r="C1126" s="22">
        <f ca="1"/>
        <v>69.269997000000004</v>
      </c>
      <c r="D1126" s="22">
        <f ca="1"/>
        <v>70.209998999999996</v>
      </c>
      <c r="E1126" s="22">
        <f ca="1"/>
        <v>68.800003000000004</v>
      </c>
      <c r="F1126" s="22">
        <f ca="1"/>
        <v>69.900002000000001</v>
      </c>
      <c r="G1126" s="22">
        <f ca="1"/>
        <v>65.149803000000006</v>
      </c>
      <c r="H1126" s="69">
        <f ca="1"/>
        <v>26068700</v>
      </c>
      <c r="I1126" s="23" t="str">
        <f t="shared" ca="1" si="35"/>
        <v/>
      </c>
    </row>
    <row r="1127" spans="1:9" ht="13.8">
      <c r="A1127" s="20">
        <f t="shared" ca="1" si="34"/>
        <v>42902</v>
      </c>
      <c r="B1127" s="21" t="str">
        <f ca="1"/>
        <v>2017-06-16</v>
      </c>
      <c r="C1127" s="22">
        <f ca="1"/>
        <v>69.730002999999996</v>
      </c>
      <c r="D1127" s="22">
        <f ca="1"/>
        <v>70.029999000000004</v>
      </c>
      <c r="E1127" s="22">
        <f ca="1"/>
        <v>69.220000999999996</v>
      </c>
      <c r="F1127" s="22">
        <f ca="1"/>
        <v>70</v>
      </c>
      <c r="G1127" s="22">
        <f ca="1"/>
        <v>65.243019000000004</v>
      </c>
      <c r="H1127" s="69">
        <f ca="1"/>
        <v>48345100</v>
      </c>
      <c r="I1127" s="23" t="str">
        <f t="shared" ca="1" si="35"/>
        <v/>
      </c>
    </row>
    <row r="1128" spans="1:9" ht="13.8">
      <c r="A1128" s="20">
        <f t="shared" ca="1" si="34"/>
        <v>42905</v>
      </c>
      <c r="B1128" s="21" t="str">
        <f ca="1"/>
        <v>2017-06-19</v>
      </c>
      <c r="C1128" s="22">
        <f ca="1"/>
        <v>70.5</v>
      </c>
      <c r="D1128" s="22">
        <f ca="1"/>
        <v>70.940002000000007</v>
      </c>
      <c r="E1128" s="22">
        <f ca="1"/>
        <v>70.349997999999999</v>
      </c>
      <c r="F1128" s="22">
        <f ca="1"/>
        <v>70.870002999999997</v>
      </c>
      <c r="G1128" s="22">
        <f ca="1"/>
        <v>66.053901999999994</v>
      </c>
      <c r="H1128" s="69">
        <f ca="1"/>
        <v>23798300</v>
      </c>
      <c r="I1128" s="23" t="str">
        <f t="shared" ca="1" si="35"/>
        <v/>
      </c>
    </row>
    <row r="1129" spans="1:9" ht="13.8">
      <c r="A1129" s="20">
        <f t="shared" ca="1" si="34"/>
        <v>42906</v>
      </c>
      <c r="B1129" s="21" t="str">
        <f ca="1"/>
        <v>2017-06-20</v>
      </c>
      <c r="C1129" s="22">
        <f ca="1"/>
        <v>70.819999999999993</v>
      </c>
      <c r="D1129" s="22">
        <f ca="1"/>
        <v>70.870002999999997</v>
      </c>
      <c r="E1129" s="22">
        <f ca="1"/>
        <v>69.870002999999997</v>
      </c>
      <c r="F1129" s="22">
        <f ca="1"/>
        <v>69.910004000000001</v>
      </c>
      <c r="G1129" s="22">
        <f ca="1"/>
        <v>65.159142000000003</v>
      </c>
      <c r="H1129" s="69">
        <f ca="1"/>
        <v>21512200</v>
      </c>
      <c r="I1129" s="23" t="str">
        <f t="shared" ca="1" si="35"/>
        <v/>
      </c>
    </row>
    <row r="1130" spans="1:9" ht="13.8">
      <c r="A1130" s="20">
        <f t="shared" ca="1" si="34"/>
        <v>42907</v>
      </c>
      <c r="B1130" s="21" t="str">
        <f ca="1"/>
        <v>2017-06-21</v>
      </c>
      <c r="C1130" s="22">
        <f ca="1"/>
        <v>70.209998999999996</v>
      </c>
      <c r="D1130" s="22">
        <f ca="1"/>
        <v>70.620002999999997</v>
      </c>
      <c r="E1130" s="22">
        <f ca="1"/>
        <v>69.940002000000007</v>
      </c>
      <c r="F1130" s="22">
        <f ca="1"/>
        <v>70.269997000000004</v>
      </c>
      <c r="G1130" s="22">
        <f ca="1"/>
        <v>65.494690000000006</v>
      </c>
      <c r="H1130" s="69">
        <f ca="1"/>
        <v>19891100</v>
      </c>
      <c r="I1130" s="23" t="str">
        <f t="shared" ca="1" si="35"/>
        <v/>
      </c>
    </row>
    <row r="1131" spans="1:9" ht="13.8">
      <c r="A1131" s="20">
        <f t="shared" ca="1" si="34"/>
        <v>42908</v>
      </c>
      <c r="B1131" s="21" t="str">
        <f ca="1"/>
        <v>2017-06-22</v>
      </c>
      <c r="C1131" s="22">
        <f ca="1"/>
        <v>70.540001000000004</v>
      </c>
      <c r="D1131" s="22">
        <f ca="1"/>
        <v>70.589995999999999</v>
      </c>
      <c r="E1131" s="22">
        <f ca="1"/>
        <v>69.709998999999996</v>
      </c>
      <c r="F1131" s="22">
        <f ca="1"/>
        <v>70.260002</v>
      </c>
      <c r="G1131" s="22">
        <f ca="1"/>
        <v>65.485366999999997</v>
      </c>
      <c r="H1131" s="69">
        <f ca="1"/>
        <v>22965700</v>
      </c>
      <c r="I1131" s="23" t="str">
        <f t="shared" ca="1" si="35"/>
        <v/>
      </c>
    </row>
    <row r="1132" spans="1:9" ht="13.8">
      <c r="A1132" s="20">
        <f t="shared" ca="1" si="34"/>
        <v>42909</v>
      </c>
      <c r="B1132" s="21" t="str">
        <f ca="1"/>
        <v>2017-06-23</v>
      </c>
      <c r="C1132" s="22">
        <f ca="1"/>
        <v>70.089995999999999</v>
      </c>
      <c r="D1132" s="22">
        <f ca="1"/>
        <v>71.25</v>
      </c>
      <c r="E1132" s="22">
        <f ca="1"/>
        <v>69.919998000000007</v>
      </c>
      <c r="F1132" s="22">
        <f ca="1"/>
        <v>71.209998999999996</v>
      </c>
      <c r="G1132" s="22">
        <f ca="1"/>
        <v>66.370811000000003</v>
      </c>
      <c r="H1132" s="69">
        <f ca="1"/>
        <v>27617300</v>
      </c>
      <c r="I1132" s="23" t="str">
        <f t="shared" ca="1" si="35"/>
        <v/>
      </c>
    </row>
    <row r="1133" spans="1:9" ht="13.8">
      <c r="A1133" s="20">
        <f t="shared" ca="1" si="34"/>
        <v>42912</v>
      </c>
      <c r="B1133" s="21" t="str">
        <f ca="1"/>
        <v>2017-06-26</v>
      </c>
      <c r="C1133" s="22">
        <f ca="1"/>
        <v>71.400002000000001</v>
      </c>
      <c r="D1133" s="22">
        <f ca="1"/>
        <v>71.709998999999996</v>
      </c>
      <c r="E1133" s="22">
        <f ca="1"/>
        <v>70.440002000000007</v>
      </c>
      <c r="F1133" s="22">
        <f ca="1"/>
        <v>70.529999000000004</v>
      </c>
      <c r="G1133" s="22">
        <f ca="1"/>
        <v>65.737021999999996</v>
      </c>
      <c r="H1133" s="69">
        <f ca="1"/>
        <v>19607000</v>
      </c>
      <c r="I1133" s="23" t="str">
        <f t="shared" ca="1" si="35"/>
        <v/>
      </c>
    </row>
    <row r="1134" spans="1:9" ht="13.8">
      <c r="A1134" s="20">
        <f t="shared" ca="1" si="34"/>
        <v>42913</v>
      </c>
      <c r="B1134" s="21" t="str">
        <f ca="1"/>
        <v>2017-06-27</v>
      </c>
      <c r="C1134" s="22">
        <f ca="1"/>
        <v>70.110000999999997</v>
      </c>
      <c r="D1134" s="22">
        <f ca="1"/>
        <v>70.180000000000007</v>
      </c>
      <c r="E1134" s="22">
        <f ca="1"/>
        <v>69.180000000000007</v>
      </c>
      <c r="F1134" s="22">
        <f ca="1"/>
        <v>69.209998999999996</v>
      </c>
      <c r="G1134" s="22">
        <f ca="1"/>
        <v>64.506729000000007</v>
      </c>
      <c r="H1134" s="69">
        <f ca="1"/>
        <v>25215100</v>
      </c>
      <c r="I1134" s="23" t="str">
        <f t="shared" ca="1" si="35"/>
        <v/>
      </c>
    </row>
    <row r="1135" spans="1:9" ht="13.8">
      <c r="A1135" s="20">
        <f t="shared" ca="1" si="34"/>
        <v>42914</v>
      </c>
      <c r="B1135" s="21" t="str">
        <f ca="1"/>
        <v>2017-06-28</v>
      </c>
      <c r="C1135" s="22">
        <f ca="1"/>
        <v>69.209998999999996</v>
      </c>
      <c r="D1135" s="22">
        <f ca="1"/>
        <v>69.839995999999999</v>
      </c>
      <c r="E1135" s="22">
        <f ca="1"/>
        <v>68.790001000000004</v>
      </c>
      <c r="F1135" s="22">
        <f ca="1"/>
        <v>69.800003000000004</v>
      </c>
      <c r="G1135" s="22">
        <f ca="1"/>
        <v>65.056624999999997</v>
      </c>
      <c r="H1135" s="69">
        <f ca="1"/>
        <v>25806200</v>
      </c>
      <c r="I1135" s="23" t="str">
        <f t="shared" ca="1" si="35"/>
        <v/>
      </c>
    </row>
    <row r="1136" spans="1:9" ht="13.8">
      <c r="A1136" s="20">
        <f t="shared" ca="1" si="34"/>
        <v>42915</v>
      </c>
      <c r="B1136" s="21" t="str">
        <f ca="1"/>
        <v>2017-06-29</v>
      </c>
      <c r="C1136" s="22">
        <f ca="1"/>
        <v>69.379997000000003</v>
      </c>
      <c r="D1136" s="22">
        <f ca="1"/>
        <v>69.489998</v>
      </c>
      <c r="E1136" s="22">
        <f ca="1"/>
        <v>68.089995999999999</v>
      </c>
      <c r="F1136" s="22">
        <f ca="1"/>
        <v>68.489998</v>
      </c>
      <c r="G1136" s="22">
        <f ca="1"/>
        <v>63.835644000000002</v>
      </c>
      <c r="H1136" s="69">
        <f ca="1"/>
        <v>28918700</v>
      </c>
      <c r="I1136" s="23" t="str">
        <f t="shared" ca="1" si="35"/>
        <v/>
      </c>
    </row>
    <row r="1137" spans="1:9" ht="13.8">
      <c r="A1137" s="20">
        <f t="shared" ca="1" si="34"/>
        <v>42916</v>
      </c>
      <c r="B1137" s="21" t="str">
        <f ca="1"/>
        <v>2017-06-30</v>
      </c>
      <c r="C1137" s="22">
        <f ca="1"/>
        <v>68.779999000000004</v>
      </c>
      <c r="D1137" s="22">
        <f ca="1"/>
        <v>69.379997000000003</v>
      </c>
      <c r="E1137" s="22">
        <f ca="1"/>
        <v>68.739998</v>
      </c>
      <c r="F1137" s="22">
        <f ca="1"/>
        <v>68.930000000000007</v>
      </c>
      <c r="G1137" s="22">
        <f ca="1"/>
        <v>64.245750000000001</v>
      </c>
      <c r="H1137" s="69">
        <f ca="1"/>
        <v>24161100</v>
      </c>
      <c r="I1137" s="23" t="str">
        <f t="shared" ca="1" si="35"/>
        <v/>
      </c>
    </row>
    <row r="1138" spans="1:9" ht="13.8">
      <c r="A1138" s="20">
        <f t="shared" ca="1" si="34"/>
        <v>42919</v>
      </c>
      <c r="B1138" s="21" t="str">
        <f ca="1"/>
        <v>2017-07-03</v>
      </c>
      <c r="C1138" s="22">
        <f ca="1"/>
        <v>69.330001999999993</v>
      </c>
      <c r="D1138" s="22">
        <f ca="1"/>
        <v>69.599997999999999</v>
      </c>
      <c r="E1138" s="22">
        <f ca="1"/>
        <v>68.019997000000004</v>
      </c>
      <c r="F1138" s="22">
        <f ca="1"/>
        <v>68.169998000000007</v>
      </c>
      <c r="G1138" s="22">
        <f ca="1"/>
        <v>63.537379999999999</v>
      </c>
      <c r="H1138" s="69">
        <f ca="1"/>
        <v>16165500</v>
      </c>
      <c r="I1138" s="23" t="str">
        <f t="shared" ca="1" si="35"/>
        <v/>
      </c>
    </row>
    <row r="1139" spans="1:9" ht="13.8">
      <c r="A1139" s="20">
        <f t="shared" ca="1" si="34"/>
        <v>42921</v>
      </c>
      <c r="B1139" s="21" t="str">
        <f ca="1"/>
        <v>2017-07-05</v>
      </c>
      <c r="C1139" s="22">
        <f ca="1"/>
        <v>68.260002</v>
      </c>
      <c r="D1139" s="22">
        <f ca="1"/>
        <v>69.440002000000007</v>
      </c>
      <c r="E1139" s="22">
        <f ca="1"/>
        <v>68.220000999999996</v>
      </c>
      <c r="F1139" s="22">
        <f ca="1"/>
        <v>69.080001999999993</v>
      </c>
      <c r="G1139" s="22">
        <f ca="1"/>
        <v>64.385566999999995</v>
      </c>
      <c r="H1139" s="69">
        <f ca="1"/>
        <v>21176300</v>
      </c>
      <c r="I1139" s="23" t="str">
        <f t="shared" ca="1" si="35"/>
        <v/>
      </c>
    </row>
    <row r="1140" spans="1:9" ht="13.8">
      <c r="A1140" s="20">
        <f t="shared" ca="1" si="34"/>
        <v>42922</v>
      </c>
      <c r="B1140" s="21" t="str">
        <f ca="1"/>
        <v>2017-07-06</v>
      </c>
      <c r="C1140" s="22">
        <f ca="1"/>
        <v>68.269997000000004</v>
      </c>
      <c r="D1140" s="22">
        <f ca="1"/>
        <v>68.779999000000004</v>
      </c>
      <c r="E1140" s="22">
        <f ca="1"/>
        <v>68.120002999999997</v>
      </c>
      <c r="F1140" s="22">
        <f ca="1"/>
        <v>68.569999999999993</v>
      </c>
      <c r="G1140" s="22">
        <f ca="1"/>
        <v>63.910221</v>
      </c>
      <c r="H1140" s="69">
        <f ca="1"/>
        <v>21117600</v>
      </c>
      <c r="I1140" s="23" t="str">
        <f t="shared" ca="1" si="35"/>
        <v/>
      </c>
    </row>
    <row r="1141" spans="1:9" ht="13.8">
      <c r="A1141" s="20">
        <f t="shared" ca="1" si="34"/>
        <v>42923</v>
      </c>
      <c r="B1141" s="21" t="str">
        <f ca="1"/>
        <v>2017-07-07</v>
      </c>
      <c r="C1141" s="22">
        <f ca="1"/>
        <v>68.699996999999996</v>
      </c>
      <c r="D1141" s="22">
        <f ca="1"/>
        <v>69.839995999999999</v>
      </c>
      <c r="E1141" s="22">
        <f ca="1"/>
        <v>68.699996999999996</v>
      </c>
      <c r="F1141" s="22">
        <f ca="1"/>
        <v>69.459998999999996</v>
      </c>
      <c r="G1141" s="22">
        <f ca="1"/>
        <v>64.739722999999998</v>
      </c>
      <c r="H1141" s="69">
        <f ca="1"/>
        <v>16878300</v>
      </c>
      <c r="I1141" s="23" t="str">
        <f t="shared" ca="1" si="35"/>
        <v/>
      </c>
    </row>
    <row r="1142" spans="1:9" ht="13.8">
      <c r="A1142" s="20">
        <f t="shared" ca="1" si="34"/>
        <v>42926</v>
      </c>
      <c r="B1142" s="21" t="str">
        <f ca="1"/>
        <v>2017-07-10</v>
      </c>
      <c r="C1142" s="22">
        <f ca="1"/>
        <v>69.459998999999996</v>
      </c>
      <c r="D1142" s="22">
        <f ca="1"/>
        <v>70.25</v>
      </c>
      <c r="E1142" s="22">
        <f ca="1"/>
        <v>69.199996999999996</v>
      </c>
      <c r="F1142" s="22">
        <f ca="1"/>
        <v>69.980002999999996</v>
      </c>
      <c r="G1142" s="22">
        <f ca="1"/>
        <v>65.224379999999996</v>
      </c>
      <c r="H1142" s="69">
        <f ca="1"/>
        <v>15014500</v>
      </c>
      <c r="I1142" s="23" t="str">
        <f t="shared" ca="1" si="35"/>
        <v/>
      </c>
    </row>
    <row r="1143" spans="1:9" ht="13.8">
      <c r="A1143" s="20">
        <f t="shared" ca="1" si="34"/>
        <v>42927</v>
      </c>
      <c r="B1143" s="21" t="str">
        <f ca="1"/>
        <v>2017-07-11</v>
      </c>
      <c r="C1143" s="22">
        <f ca="1"/>
        <v>70</v>
      </c>
      <c r="D1143" s="22">
        <f ca="1"/>
        <v>70.680000000000007</v>
      </c>
      <c r="E1143" s="22">
        <f ca="1"/>
        <v>69.75</v>
      </c>
      <c r="F1143" s="22">
        <f ca="1"/>
        <v>69.989998</v>
      </c>
      <c r="G1143" s="22">
        <f ca="1"/>
        <v>65.233704000000003</v>
      </c>
      <c r="H1143" s="69">
        <f ca="1"/>
        <v>17460000</v>
      </c>
      <c r="I1143" s="23" t="str">
        <f t="shared" ca="1" si="35"/>
        <v/>
      </c>
    </row>
    <row r="1144" spans="1:9" ht="13.8">
      <c r="A1144" s="20">
        <f t="shared" ca="1" si="34"/>
        <v>42928</v>
      </c>
      <c r="B1144" s="21" t="str">
        <f ca="1"/>
        <v>2017-07-12</v>
      </c>
      <c r="C1144" s="22">
        <f ca="1"/>
        <v>70.690002000000007</v>
      </c>
      <c r="D1144" s="22">
        <f ca="1"/>
        <v>71.279999000000004</v>
      </c>
      <c r="E1144" s="22">
        <f ca="1"/>
        <v>70.550003000000004</v>
      </c>
      <c r="F1144" s="22">
        <f ca="1"/>
        <v>71.150002000000001</v>
      </c>
      <c r="G1144" s="22">
        <f ca="1"/>
        <v>66.314896000000005</v>
      </c>
      <c r="H1144" s="69">
        <f ca="1"/>
        <v>17750900</v>
      </c>
      <c r="I1144" s="23" t="str">
        <f t="shared" ca="1" si="35"/>
        <v/>
      </c>
    </row>
    <row r="1145" spans="1:9" ht="13.8">
      <c r="A1145" s="20">
        <f t="shared" ca="1" si="34"/>
        <v>42929</v>
      </c>
      <c r="B1145" s="21" t="str">
        <f ca="1"/>
        <v>2017-07-13</v>
      </c>
      <c r="C1145" s="22">
        <f ca="1"/>
        <v>71.5</v>
      </c>
      <c r="D1145" s="22">
        <f ca="1"/>
        <v>72.040001000000004</v>
      </c>
      <c r="E1145" s="22">
        <f ca="1"/>
        <v>71.309997999999993</v>
      </c>
      <c r="F1145" s="22">
        <f ca="1"/>
        <v>71.769997000000004</v>
      </c>
      <c r="G1145" s="22">
        <f ca="1"/>
        <v>66.892730999999998</v>
      </c>
      <c r="H1145" s="69">
        <f ca="1"/>
        <v>20269800</v>
      </c>
      <c r="I1145" s="23" t="str">
        <f t="shared" ca="1" si="35"/>
        <v/>
      </c>
    </row>
    <row r="1146" spans="1:9" ht="13.8">
      <c r="A1146" s="20">
        <f t="shared" ca="1" si="34"/>
        <v>42930</v>
      </c>
      <c r="B1146" s="21" t="str">
        <f ca="1"/>
        <v>2017-07-14</v>
      </c>
      <c r="C1146" s="22">
        <f ca="1"/>
        <v>72.239998</v>
      </c>
      <c r="D1146" s="22">
        <f ca="1"/>
        <v>73.269997000000004</v>
      </c>
      <c r="E1146" s="22">
        <f ca="1"/>
        <v>71.959998999999996</v>
      </c>
      <c r="F1146" s="22">
        <f ca="1"/>
        <v>72.779999000000004</v>
      </c>
      <c r="G1146" s="22">
        <f ca="1"/>
        <v>67.834106000000006</v>
      </c>
      <c r="H1146" s="69">
        <f ca="1"/>
        <v>25868100</v>
      </c>
      <c r="I1146" s="23" t="str">
        <f t="shared" ca="1" si="35"/>
        <v/>
      </c>
    </row>
    <row r="1147" spans="1:9" ht="13.8">
      <c r="A1147" s="20">
        <f t="shared" ca="1" si="34"/>
        <v>42933</v>
      </c>
      <c r="B1147" s="21" t="str">
        <f ca="1"/>
        <v>2017-07-17</v>
      </c>
      <c r="C1147" s="22">
        <f ca="1"/>
        <v>72.800003000000004</v>
      </c>
      <c r="D1147" s="22">
        <f ca="1"/>
        <v>73.449996999999996</v>
      </c>
      <c r="E1147" s="22">
        <f ca="1"/>
        <v>72.720000999999996</v>
      </c>
      <c r="F1147" s="22">
        <f ca="1"/>
        <v>73.349997999999999</v>
      </c>
      <c r="G1147" s="22">
        <f ca="1"/>
        <v>68.365395000000007</v>
      </c>
      <c r="H1147" s="69">
        <f ca="1"/>
        <v>21803900</v>
      </c>
      <c r="I1147" s="23" t="str">
        <f t="shared" ca="1" si="35"/>
        <v/>
      </c>
    </row>
    <row r="1148" spans="1:9" ht="13.8">
      <c r="A1148" s="20">
        <f t="shared" ca="1" si="34"/>
        <v>42934</v>
      </c>
      <c r="B1148" s="21" t="str">
        <f ca="1"/>
        <v>2017-07-18</v>
      </c>
      <c r="C1148" s="22">
        <f ca="1"/>
        <v>73.089995999999999</v>
      </c>
      <c r="D1148" s="22">
        <f ca="1"/>
        <v>73.389999000000003</v>
      </c>
      <c r="E1148" s="22">
        <f ca="1"/>
        <v>72.660004000000001</v>
      </c>
      <c r="F1148" s="22">
        <f ca="1"/>
        <v>73.300003000000004</v>
      </c>
      <c r="G1148" s="22">
        <f ca="1"/>
        <v>68.318779000000006</v>
      </c>
      <c r="H1148" s="69">
        <f ca="1"/>
        <v>26435300</v>
      </c>
      <c r="I1148" s="23" t="str">
        <f t="shared" ca="1" si="35"/>
        <v/>
      </c>
    </row>
    <row r="1149" spans="1:9" ht="13.8">
      <c r="A1149" s="20">
        <f t="shared" ca="1" si="34"/>
        <v>42935</v>
      </c>
      <c r="B1149" s="21" t="str">
        <f ca="1"/>
        <v>2017-07-19</v>
      </c>
      <c r="C1149" s="22">
        <f ca="1"/>
        <v>73.5</v>
      </c>
      <c r="D1149" s="22">
        <f ca="1"/>
        <v>74.040001000000004</v>
      </c>
      <c r="E1149" s="22">
        <f ca="1"/>
        <v>73.449996999999996</v>
      </c>
      <c r="F1149" s="22">
        <f ca="1"/>
        <v>73.860000999999997</v>
      </c>
      <c r="G1149" s="22">
        <f ca="1"/>
        <v>68.840705999999997</v>
      </c>
      <c r="H1149" s="69">
        <f ca="1"/>
        <v>22416200</v>
      </c>
      <c r="I1149" s="23" t="str">
        <f t="shared" ca="1" si="35"/>
        <v/>
      </c>
    </row>
    <row r="1150" spans="1:9" ht="13.8">
      <c r="A1150" s="20">
        <f t="shared" ca="1" si="34"/>
        <v>42936</v>
      </c>
      <c r="B1150" s="21" t="str">
        <f ca="1"/>
        <v>2017-07-20</v>
      </c>
      <c r="C1150" s="22">
        <f ca="1"/>
        <v>74.180000000000007</v>
      </c>
      <c r="D1150" s="22">
        <f ca="1"/>
        <v>74.300003000000004</v>
      </c>
      <c r="E1150" s="22">
        <f ca="1"/>
        <v>73.279999000000004</v>
      </c>
      <c r="F1150" s="22">
        <f ca="1"/>
        <v>74.220000999999996</v>
      </c>
      <c r="G1150" s="22">
        <f ca="1"/>
        <v>69.176270000000002</v>
      </c>
      <c r="H1150" s="69">
        <f ca="1"/>
        <v>42361000</v>
      </c>
      <c r="I1150" s="23" t="str">
        <f t="shared" ca="1" si="35"/>
        <v/>
      </c>
    </row>
    <row r="1151" spans="1:9" ht="13.8">
      <c r="A1151" s="20">
        <f t="shared" ca="1" si="34"/>
        <v>42937</v>
      </c>
      <c r="B1151" s="21" t="str">
        <f ca="1"/>
        <v>2017-07-21</v>
      </c>
      <c r="C1151" s="22">
        <f ca="1"/>
        <v>73.449996999999996</v>
      </c>
      <c r="D1151" s="22">
        <f ca="1"/>
        <v>74.290001000000004</v>
      </c>
      <c r="E1151" s="22">
        <f ca="1"/>
        <v>73.169998000000007</v>
      </c>
      <c r="F1151" s="22">
        <f ca="1"/>
        <v>73.790001000000004</v>
      </c>
      <c r="G1151" s="22">
        <f ca="1"/>
        <v>68.775475</v>
      </c>
      <c r="H1151" s="69">
        <f ca="1"/>
        <v>46717100</v>
      </c>
      <c r="I1151" s="23" t="str">
        <f t="shared" ca="1" si="35"/>
        <v/>
      </c>
    </row>
    <row r="1152" spans="1:9" ht="13.8">
      <c r="A1152" s="20">
        <f t="shared" ca="1" si="34"/>
        <v>42940</v>
      </c>
      <c r="B1152" s="21" t="str">
        <f ca="1"/>
        <v>2017-07-24</v>
      </c>
      <c r="C1152" s="22">
        <f ca="1"/>
        <v>73.529999000000004</v>
      </c>
      <c r="D1152" s="22">
        <f ca="1"/>
        <v>73.75</v>
      </c>
      <c r="E1152" s="22">
        <f ca="1"/>
        <v>73.129997000000003</v>
      </c>
      <c r="F1152" s="22">
        <f ca="1"/>
        <v>73.599997999999999</v>
      </c>
      <c r="G1152" s="22">
        <f ca="1"/>
        <v>68.598381000000003</v>
      </c>
      <c r="H1152" s="69">
        <f ca="1"/>
        <v>21394800</v>
      </c>
      <c r="I1152" s="23" t="str">
        <f t="shared" ca="1" si="35"/>
        <v/>
      </c>
    </row>
    <row r="1153" spans="1:9" ht="13.8">
      <c r="A1153" s="20">
        <f t="shared" ca="1" si="34"/>
        <v>42941</v>
      </c>
      <c r="B1153" s="21" t="str">
        <f ca="1"/>
        <v>2017-07-25</v>
      </c>
      <c r="C1153" s="22">
        <f ca="1"/>
        <v>73.800003000000004</v>
      </c>
      <c r="D1153" s="22">
        <f ca="1"/>
        <v>74.309997999999993</v>
      </c>
      <c r="E1153" s="22">
        <f ca="1"/>
        <v>73.5</v>
      </c>
      <c r="F1153" s="22">
        <f ca="1"/>
        <v>74.190002000000007</v>
      </c>
      <c r="G1153" s="22">
        <f ca="1"/>
        <v>69.148308</v>
      </c>
      <c r="H1153" s="69">
        <f ca="1"/>
        <v>22018700</v>
      </c>
      <c r="I1153" s="23" t="str">
        <f t="shared" ca="1" si="35"/>
        <v/>
      </c>
    </row>
    <row r="1154" spans="1:9" ht="13.8">
      <c r="A1154" s="20">
        <f t="shared" ca="1" si="34"/>
        <v>42942</v>
      </c>
      <c r="B1154" s="21" t="str">
        <f ca="1"/>
        <v>2017-07-26</v>
      </c>
      <c r="C1154" s="22">
        <f ca="1"/>
        <v>74.339995999999999</v>
      </c>
      <c r="D1154" s="22">
        <f ca="1"/>
        <v>74.379997000000003</v>
      </c>
      <c r="E1154" s="22">
        <f ca="1"/>
        <v>73.809997999999993</v>
      </c>
      <c r="F1154" s="22">
        <f ca="1"/>
        <v>74.050003000000004</v>
      </c>
      <c r="G1154" s="22">
        <f ca="1"/>
        <v>69.017814999999999</v>
      </c>
      <c r="H1154" s="69">
        <f ca="1"/>
        <v>16252200</v>
      </c>
      <c r="I1154" s="23" t="str">
        <f t="shared" ca="1" si="35"/>
        <v/>
      </c>
    </row>
    <row r="1155" spans="1:9" ht="13.8">
      <c r="A1155" s="20">
        <f t="shared" ca="1" si="34"/>
        <v>42943</v>
      </c>
      <c r="B1155" s="21" t="str">
        <f ca="1"/>
        <v>2017-07-27</v>
      </c>
      <c r="C1155" s="22">
        <f ca="1"/>
        <v>73.760002</v>
      </c>
      <c r="D1155" s="22">
        <f ca="1"/>
        <v>74.419998000000007</v>
      </c>
      <c r="E1155" s="22">
        <f ca="1"/>
        <v>72.319999999999993</v>
      </c>
      <c r="F1155" s="22">
        <f ca="1"/>
        <v>73.160004000000001</v>
      </c>
      <c r="G1155" s="22">
        <f ca="1"/>
        <v>68.188300999999996</v>
      </c>
      <c r="H1155" s="69">
        <f ca="1"/>
        <v>36844200</v>
      </c>
      <c r="I1155" s="23" t="str">
        <f t="shared" ca="1" si="35"/>
        <v/>
      </c>
    </row>
    <row r="1156" spans="1:9" ht="13.8">
      <c r="A1156" s="20">
        <f t="shared" ca="1" si="34"/>
        <v>42944</v>
      </c>
      <c r="B1156" s="21" t="str">
        <f ca="1"/>
        <v>2017-07-28</v>
      </c>
      <c r="C1156" s="22">
        <f ca="1"/>
        <v>72.669998000000007</v>
      </c>
      <c r="D1156" s="22">
        <f ca="1"/>
        <v>73.309997999999993</v>
      </c>
      <c r="E1156" s="22">
        <f ca="1"/>
        <v>72.540001000000004</v>
      </c>
      <c r="F1156" s="22">
        <f ca="1"/>
        <v>73.040001000000004</v>
      </c>
      <c r="G1156" s="22">
        <f ca="1"/>
        <v>68.076430999999999</v>
      </c>
      <c r="H1156" s="69">
        <f ca="1"/>
        <v>18306700</v>
      </c>
      <c r="I1156" s="23" t="str">
        <f t="shared" ca="1" si="35"/>
        <v/>
      </c>
    </row>
    <row r="1157" spans="1:9" ht="13.8">
      <c r="A1157" s="20">
        <f t="shared" ca="1" si="34"/>
        <v>42947</v>
      </c>
      <c r="B1157" s="21" t="str">
        <f ca="1"/>
        <v>2017-07-31</v>
      </c>
      <c r="C1157" s="22">
        <f ca="1"/>
        <v>73.300003000000004</v>
      </c>
      <c r="D1157" s="22">
        <f ca="1"/>
        <v>73.440002000000007</v>
      </c>
      <c r="E1157" s="22">
        <f ca="1"/>
        <v>72.410004000000001</v>
      </c>
      <c r="F1157" s="22">
        <f ca="1"/>
        <v>72.699996999999996</v>
      </c>
      <c r="G1157" s="22">
        <f ca="1"/>
        <v>67.759529000000001</v>
      </c>
      <c r="H1157" s="69">
        <f ca="1"/>
        <v>23600100</v>
      </c>
      <c r="I1157" s="23" t="str">
        <f t="shared" ca="1" si="35"/>
        <v/>
      </c>
    </row>
    <row r="1158" spans="1:9" ht="13.8">
      <c r="A1158" s="20">
        <f t="shared" ref="A1158:A1221" ca="1" si="36">IFERROR(DATEVALUE($B1158),"--")</f>
        <v>42948</v>
      </c>
      <c r="B1158" s="21" t="str">
        <f ca="1"/>
        <v>2017-08-01</v>
      </c>
      <c r="C1158" s="22">
        <f ca="1"/>
        <v>73.099997999999999</v>
      </c>
      <c r="D1158" s="22">
        <f ca="1"/>
        <v>73.419998000000007</v>
      </c>
      <c r="E1158" s="22">
        <f ca="1"/>
        <v>72.489998</v>
      </c>
      <c r="F1158" s="22">
        <f ca="1"/>
        <v>72.580001999999993</v>
      </c>
      <c r="G1158" s="22">
        <f ca="1"/>
        <v>67.647705000000002</v>
      </c>
      <c r="H1158" s="69">
        <f ca="1"/>
        <v>22132300</v>
      </c>
      <c r="I1158" s="23" t="str">
        <f t="shared" ref="I1158:I1221" ca="1" si="37">IFERROR(IF(Ticker&lt;&gt;$Q$2,"",INDEX($P:$P,MATCH($A1158,$O:$O,0))),"")</f>
        <v/>
      </c>
    </row>
    <row r="1159" spans="1:9" ht="13.8">
      <c r="A1159" s="20">
        <f t="shared" ca="1" si="36"/>
        <v>42949</v>
      </c>
      <c r="B1159" s="21" t="str">
        <f ca="1"/>
        <v>2017-08-02</v>
      </c>
      <c r="C1159" s="22">
        <f ca="1"/>
        <v>72.550003000000004</v>
      </c>
      <c r="D1159" s="22">
        <f ca="1"/>
        <v>72.559997999999993</v>
      </c>
      <c r="E1159" s="22">
        <f ca="1"/>
        <v>71.440002000000007</v>
      </c>
      <c r="F1159" s="22">
        <f ca="1"/>
        <v>72.260002</v>
      </c>
      <c r="G1159" s="22">
        <f ca="1"/>
        <v>67.349457000000001</v>
      </c>
      <c r="H1159" s="69">
        <f ca="1"/>
        <v>26499200</v>
      </c>
      <c r="I1159" s="23" t="str">
        <f t="shared" ca="1" si="37"/>
        <v/>
      </c>
    </row>
    <row r="1160" spans="1:9" ht="13.8">
      <c r="A1160" s="20">
        <f t="shared" ca="1" si="36"/>
        <v>42950</v>
      </c>
      <c r="B1160" s="21" t="str">
        <f ca="1"/>
        <v>2017-08-03</v>
      </c>
      <c r="C1160" s="22">
        <f ca="1"/>
        <v>72.190002000000007</v>
      </c>
      <c r="D1160" s="22">
        <f ca="1"/>
        <v>72.440002000000007</v>
      </c>
      <c r="E1160" s="22">
        <f ca="1"/>
        <v>71.849997999999999</v>
      </c>
      <c r="F1160" s="22">
        <f ca="1"/>
        <v>72.150002000000001</v>
      </c>
      <c r="G1160" s="22">
        <f ca="1"/>
        <v>67.246917999999994</v>
      </c>
      <c r="H1160" s="69">
        <f ca="1"/>
        <v>18214400</v>
      </c>
      <c r="I1160" s="23" t="str">
        <f t="shared" ca="1" si="37"/>
        <v/>
      </c>
    </row>
    <row r="1161" spans="1:9" ht="13.8">
      <c r="A1161" s="20">
        <f t="shared" ca="1" si="36"/>
        <v>42951</v>
      </c>
      <c r="B1161" s="21" t="str">
        <f ca="1"/>
        <v>2017-08-04</v>
      </c>
      <c r="C1161" s="22">
        <f ca="1"/>
        <v>72.400002000000001</v>
      </c>
      <c r="D1161" s="22">
        <f ca="1"/>
        <v>73.040001000000004</v>
      </c>
      <c r="E1161" s="22">
        <f ca="1"/>
        <v>72.239998</v>
      </c>
      <c r="F1161" s="22">
        <f ca="1"/>
        <v>72.680000000000007</v>
      </c>
      <c r="G1161" s="22">
        <f ca="1"/>
        <v>67.740921</v>
      </c>
      <c r="H1161" s="69">
        <f ca="1"/>
        <v>22579000</v>
      </c>
      <c r="I1161" s="23" t="str">
        <f t="shared" ca="1" si="37"/>
        <v/>
      </c>
    </row>
    <row r="1162" spans="1:9" ht="13.8">
      <c r="A1162" s="20">
        <f t="shared" ca="1" si="36"/>
        <v>42954</v>
      </c>
      <c r="B1162" s="21" t="str">
        <f ca="1"/>
        <v>2017-08-07</v>
      </c>
      <c r="C1162" s="22">
        <f ca="1"/>
        <v>72.800003000000004</v>
      </c>
      <c r="D1162" s="22">
        <f ca="1"/>
        <v>72.900002000000001</v>
      </c>
      <c r="E1162" s="22">
        <f ca="1"/>
        <v>72.260002</v>
      </c>
      <c r="F1162" s="22">
        <f ca="1"/>
        <v>72.400002000000001</v>
      </c>
      <c r="G1162" s="22">
        <f ca="1"/>
        <v>67.479934999999998</v>
      </c>
      <c r="H1162" s="69">
        <f ca="1"/>
        <v>18705700</v>
      </c>
      <c r="I1162" s="23" t="str">
        <f t="shared" ca="1" si="37"/>
        <v/>
      </c>
    </row>
    <row r="1163" spans="1:9" ht="13.8">
      <c r="A1163" s="20">
        <f t="shared" ca="1" si="36"/>
        <v>42955</v>
      </c>
      <c r="B1163" s="21" t="str">
        <f ca="1"/>
        <v>2017-08-08</v>
      </c>
      <c r="C1163" s="22">
        <f ca="1"/>
        <v>72.089995999999999</v>
      </c>
      <c r="D1163" s="22">
        <f ca="1"/>
        <v>73.129997000000003</v>
      </c>
      <c r="E1163" s="22">
        <f ca="1"/>
        <v>71.75</v>
      </c>
      <c r="F1163" s="22">
        <f ca="1"/>
        <v>72.790001000000004</v>
      </c>
      <c r="G1163" s="22">
        <f ca="1"/>
        <v>67.843436999999994</v>
      </c>
      <c r="H1163" s="69">
        <f ca="1"/>
        <v>22044600</v>
      </c>
      <c r="I1163" s="23" t="str">
        <f t="shared" ca="1" si="37"/>
        <v/>
      </c>
    </row>
    <row r="1164" spans="1:9" ht="13.8">
      <c r="A1164" s="20">
        <f t="shared" ca="1" si="36"/>
        <v>42956</v>
      </c>
      <c r="B1164" s="21" t="str">
        <f ca="1"/>
        <v>2017-08-09</v>
      </c>
      <c r="C1164" s="22">
        <f ca="1"/>
        <v>72.25</v>
      </c>
      <c r="D1164" s="22">
        <f ca="1"/>
        <v>72.510002</v>
      </c>
      <c r="E1164" s="22">
        <f ca="1"/>
        <v>72.050003000000004</v>
      </c>
      <c r="F1164" s="22">
        <f ca="1"/>
        <v>72.470000999999996</v>
      </c>
      <c r="G1164" s="22">
        <f ca="1"/>
        <v>67.545165999999995</v>
      </c>
      <c r="H1164" s="69">
        <f ca="1"/>
        <v>22213400</v>
      </c>
      <c r="I1164" s="23" t="str">
        <f t="shared" ca="1" si="37"/>
        <v/>
      </c>
    </row>
    <row r="1165" spans="1:9" ht="13.8">
      <c r="A1165" s="20">
        <f t="shared" ca="1" si="36"/>
        <v>42957</v>
      </c>
      <c r="B1165" s="21" t="str">
        <f ca="1"/>
        <v>2017-08-10</v>
      </c>
      <c r="C1165" s="22">
        <f ca="1"/>
        <v>71.900002000000001</v>
      </c>
      <c r="D1165" s="22">
        <f ca="1"/>
        <v>72.190002000000007</v>
      </c>
      <c r="E1165" s="22">
        <f ca="1"/>
        <v>71.349997999999999</v>
      </c>
      <c r="F1165" s="22">
        <f ca="1"/>
        <v>71.410004000000001</v>
      </c>
      <c r="G1165" s="22">
        <f ca="1"/>
        <v>66.557236000000003</v>
      </c>
      <c r="H1165" s="69">
        <f ca="1"/>
        <v>24734500</v>
      </c>
      <c r="I1165" s="23" t="str">
        <f t="shared" ca="1" si="37"/>
        <v/>
      </c>
    </row>
    <row r="1166" spans="1:9" ht="13.8">
      <c r="A1166" s="20">
        <f t="shared" ca="1" si="36"/>
        <v>42958</v>
      </c>
      <c r="B1166" s="21" t="str">
        <f ca="1"/>
        <v>2017-08-11</v>
      </c>
      <c r="C1166" s="22">
        <f ca="1"/>
        <v>71.610000999999997</v>
      </c>
      <c r="D1166" s="22">
        <f ca="1"/>
        <v>72.699996999999996</v>
      </c>
      <c r="E1166" s="22">
        <f ca="1"/>
        <v>71.279999000000004</v>
      </c>
      <c r="F1166" s="22">
        <f ca="1"/>
        <v>72.5</v>
      </c>
      <c r="G1166" s="22">
        <f ca="1"/>
        <v>67.573134999999994</v>
      </c>
      <c r="H1166" s="69">
        <f ca="1"/>
        <v>21443700</v>
      </c>
      <c r="I1166" s="23" t="str">
        <f t="shared" ca="1" si="37"/>
        <v/>
      </c>
    </row>
    <row r="1167" spans="1:9" ht="13.8">
      <c r="A1167" s="20">
        <f t="shared" ca="1" si="36"/>
        <v>42961</v>
      </c>
      <c r="B1167" s="21" t="str">
        <f ca="1"/>
        <v>2017-08-14</v>
      </c>
      <c r="C1167" s="22">
        <f ca="1"/>
        <v>73.059997999999993</v>
      </c>
      <c r="D1167" s="22">
        <f ca="1"/>
        <v>73.720000999999996</v>
      </c>
      <c r="E1167" s="22">
        <f ca="1"/>
        <v>72.949996999999996</v>
      </c>
      <c r="F1167" s="22">
        <f ca="1"/>
        <v>73.589995999999999</v>
      </c>
      <c r="G1167" s="22">
        <f ca="1"/>
        <v>68.589088000000004</v>
      </c>
      <c r="H1167" s="69">
        <f ca="1"/>
        <v>20096600</v>
      </c>
      <c r="I1167" s="23" t="str">
        <f t="shared" ca="1" si="37"/>
        <v/>
      </c>
    </row>
    <row r="1168" spans="1:9" ht="13.8">
      <c r="A1168" s="20">
        <f t="shared" ca="1" si="36"/>
        <v>42962</v>
      </c>
      <c r="B1168" s="21" t="str">
        <f ca="1"/>
        <v>2017-08-15</v>
      </c>
      <c r="C1168" s="22">
        <f ca="1"/>
        <v>73.589995999999999</v>
      </c>
      <c r="D1168" s="22">
        <f ca="1"/>
        <v>73.589995999999999</v>
      </c>
      <c r="E1168" s="22">
        <f ca="1"/>
        <v>73.040001000000004</v>
      </c>
      <c r="F1168" s="22">
        <f ca="1"/>
        <v>73.220000999999996</v>
      </c>
      <c r="G1168" s="22">
        <f ca="1"/>
        <v>68.607810999999998</v>
      </c>
      <c r="H1168" s="69">
        <f ca="1"/>
        <v>19181400</v>
      </c>
      <c r="I1168" s="23">
        <f t="shared" ca="1" si="37"/>
        <v>0.39</v>
      </c>
    </row>
    <row r="1169" spans="1:9" ht="13.8">
      <c r="A1169" s="20">
        <f t="shared" ca="1" si="36"/>
        <v>42963</v>
      </c>
      <c r="B1169" s="21" t="str">
        <f ca="1"/>
        <v>2017-08-16</v>
      </c>
      <c r="C1169" s="22">
        <f ca="1"/>
        <v>73.339995999999999</v>
      </c>
      <c r="D1169" s="22">
        <f ca="1"/>
        <v>74.099997999999999</v>
      </c>
      <c r="E1169" s="22">
        <f ca="1"/>
        <v>73.169998000000007</v>
      </c>
      <c r="F1169" s="22">
        <f ca="1"/>
        <v>73.650002000000001</v>
      </c>
      <c r="G1169" s="22">
        <f ca="1"/>
        <v>69.010727000000003</v>
      </c>
      <c r="H1169" s="69">
        <f ca="1"/>
        <v>18150400</v>
      </c>
      <c r="I1169" s="23" t="str">
        <f t="shared" ca="1" si="37"/>
        <v/>
      </c>
    </row>
    <row r="1170" spans="1:9" ht="13.8">
      <c r="A1170" s="20">
        <f t="shared" ca="1" si="36"/>
        <v>42964</v>
      </c>
      <c r="B1170" s="21" t="str">
        <f ca="1"/>
        <v>2017-08-17</v>
      </c>
      <c r="C1170" s="22">
        <f ca="1"/>
        <v>73.580001999999993</v>
      </c>
      <c r="D1170" s="22">
        <f ca="1"/>
        <v>73.870002999999997</v>
      </c>
      <c r="E1170" s="22">
        <f ca="1"/>
        <v>72.400002000000001</v>
      </c>
      <c r="F1170" s="22">
        <f ca="1"/>
        <v>72.400002000000001</v>
      </c>
      <c r="G1170" s="22">
        <f ca="1"/>
        <v>67.839447000000007</v>
      </c>
      <c r="H1170" s="69">
        <f ca="1"/>
        <v>22977500</v>
      </c>
      <c r="I1170" s="23" t="str">
        <f t="shared" ca="1" si="37"/>
        <v/>
      </c>
    </row>
    <row r="1171" spans="1:9" ht="13.8">
      <c r="A1171" s="20">
        <f t="shared" ca="1" si="36"/>
        <v>42965</v>
      </c>
      <c r="B1171" s="21" t="str">
        <f ca="1"/>
        <v>2017-08-18</v>
      </c>
      <c r="C1171" s="22">
        <f ca="1"/>
        <v>72.269997000000004</v>
      </c>
      <c r="D1171" s="22">
        <f ca="1"/>
        <v>72.839995999999999</v>
      </c>
      <c r="E1171" s="22">
        <f ca="1"/>
        <v>71.930000000000007</v>
      </c>
      <c r="F1171" s="22">
        <f ca="1"/>
        <v>72.489998</v>
      </c>
      <c r="G1171" s="22">
        <f ca="1"/>
        <v>67.923798000000005</v>
      </c>
      <c r="H1171" s="69">
        <f ca="1"/>
        <v>18761500</v>
      </c>
      <c r="I1171" s="23" t="str">
        <f t="shared" ca="1" si="37"/>
        <v/>
      </c>
    </row>
    <row r="1172" spans="1:9" ht="13.8">
      <c r="A1172" s="20">
        <f t="shared" ca="1" si="36"/>
        <v>42968</v>
      </c>
      <c r="B1172" s="21" t="str">
        <f ca="1"/>
        <v>2017-08-21</v>
      </c>
      <c r="C1172" s="22">
        <f ca="1"/>
        <v>72.470000999999996</v>
      </c>
      <c r="D1172" s="22">
        <f ca="1"/>
        <v>72.480002999999996</v>
      </c>
      <c r="E1172" s="22">
        <f ca="1"/>
        <v>71.699996999999996</v>
      </c>
      <c r="F1172" s="22">
        <f ca="1"/>
        <v>72.150002000000001</v>
      </c>
      <c r="G1172" s="22">
        <f ca="1"/>
        <v>67.605202000000006</v>
      </c>
      <c r="H1172" s="69">
        <f ca="1"/>
        <v>17734800</v>
      </c>
      <c r="I1172" s="23" t="str">
        <f t="shared" ca="1" si="37"/>
        <v/>
      </c>
    </row>
    <row r="1173" spans="1:9" ht="13.8">
      <c r="A1173" s="20">
        <f t="shared" ca="1" si="36"/>
        <v>42969</v>
      </c>
      <c r="B1173" s="21" t="str">
        <f ca="1"/>
        <v>2017-08-22</v>
      </c>
      <c r="C1173" s="22">
        <f ca="1"/>
        <v>72.349997999999999</v>
      </c>
      <c r="D1173" s="22">
        <f ca="1"/>
        <v>73.239998</v>
      </c>
      <c r="E1173" s="22">
        <f ca="1"/>
        <v>72.349997999999999</v>
      </c>
      <c r="F1173" s="22">
        <f ca="1"/>
        <v>73.160004000000001</v>
      </c>
      <c r="G1173" s="22">
        <f ca="1"/>
        <v>68.551575</v>
      </c>
      <c r="H1173" s="69">
        <f ca="1"/>
        <v>14343700</v>
      </c>
      <c r="I1173" s="23" t="str">
        <f t="shared" ca="1" si="37"/>
        <v/>
      </c>
    </row>
    <row r="1174" spans="1:9" ht="13.8">
      <c r="A1174" s="20">
        <f t="shared" ca="1" si="36"/>
        <v>42970</v>
      </c>
      <c r="B1174" s="21" t="str">
        <f ca="1"/>
        <v>2017-08-23</v>
      </c>
      <c r="C1174" s="22">
        <f ca="1"/>
        <v>72.959998999999996</v>
      </c>
      <c r="D1174" s="22">
        <f ca="1"/>
        <v>73.150002000000001</v>
      </c>
      <c r="E1174" s="22">
        <f ca="1"/>
        <v>72.529999000000004</v>
      </c>
      <c r="F1174" s="22">
        <f ca="1"/>
        <v>72.720000999999996</v>
      </c>
      <c r="G1174" s="22">
        <f ca="1"/>
        <v>68.139304999999993</v>
      </c>
      <c r="H1174" s="69">
        <f ca="1"/>
        <v>13766500</v>
      </c>
      <c r="I1174" s="23" t="str">
        <f t="shared" ca="1" si="37"/>
        <v/>
      </c>
    </row>
    <row r="1175" spans="1:9" ht="13.8">
      <c r="A1175" s="20">
        <f t="shared" ca="1" si="36"/>
        <v>42971</v>
      </c>
      <c r="B1175" s="21" t="str">
        <f ca="1"/>
        <v>2017-08-24</v>
      </c>
      <c r="C1175" s="22">
        <f ca="1"/>
        <v>72.739998</v>
      </c>
      <c r="D1175" s="22">
        <f ca="1"/>
        <v>72.860000999999997</v>
      </c>
      <c r="E1175" s="22">
        <f ca="1"/>
        <v>72.069999999999993</v>
      </c>
      <c r="F1175" s="22">
        <f ca="1"/>
        <v>72.690002000000007</v>
      </c>
      <c r="G1175" s="22">
        <f ca="1"/>
        <v>68.111198000000002</v>
      </c>
      <c r="H1175" s="69">
        <f ca="1"/>
        <v>17098300</v>
      </c>
      <c r="I1175" s="23" t="str">
        <f t="shared" ca="1" si="37"/>
        <v/>
      </c>
    </row>
    <row r="1176" spans="1:9" ht="13.8">
      <c r="A1176" s="20">
        <f t="shared" ca="1" si="36"/>
        <v>42972</v>
      </c>
      <c r="B1176" s="21" t="str">
        <f ca="1"/>
        <v>2017-08-25</v>
      </c>
      <c r="C1176" s="22">
        <f ca="1"/>
        <v>72.860000999999997</v>
      </c>
      <c r="D1176" s="22">
        <f ca="1"/>
        <v>73.349997999999999</v>
      </c>
      <c r="E1176" s="22">
        <f ca="1"/>
        <v>72.480002999999996</v>
      </c>
      <c r="F1176" s="22">
        <f ca="1"/>
        <v>72.819999999999993</v>
      </c>
      <c r="G1176" s="22">
        <f ca="1"/>
        <v>68.232994000000005</v>
      </c>
      <c r="H1176" s="69">
        <f ca="1"/>
        <v>12794300</v>
      </c>
      <c r="I1176" s="23" t="str">
        <f t="shared" ca="1" si="37"/>
        <v/>
      </c>
    </row>
    <row r="1177" spans="1:9" ht="13.8">
      <c r="A1177" s="20">
        <f t="shared" ca="1" si="36"/>
        <v>42975</v>
      </c>
      <c r="B1177" s="21" t="str">
        <f ca="1"/>
        <v>2017-08-28</v>
      </c>
      <c r="C1177" s="22">
        <f ca="1"/>
        <v>73.059997999999993</v>
      </c>
      <c r="D1177" s="22">
        <f ca="1"/>
        <v>73.089995999999999</v>
      </c>
      <c r="E1177" s="22">
        <f ca="1"/>
        <v>72.550003000000004</v>
      </c>
      <c r="F1177" s="22">
        <f ca="1"/>
        <v>72.830001999999993</v>
      </c>
      <c r="G1177" s="22">
        <f ca="1"/>
        <v>68.242371000000006</v>
      </c>
      <c r="H1177" s="69">
        <f ca="1"/>
        <v>14569700</v>
      </c>
      <c r="I1177" s="23" t="str">
        <f t="shared" ca="1" si="37"/>
        <v/>
      </c>
    </row>
    <row r="1178" spans="1:9" ht="13.8">
      <c r="A1178" s="20">
        <f t="shared" ca="1" si="36"/>
        <v>42976</v>
      </c>
      <c r="B1178" s="21" t="str">
        <f ca="1"/>
        <v>2017-08-29</v>
      </c>
      <c r="C1178" s="22">
        <f ca="1"/>
        <v>72.25</v>
      </c>
      <c r="D1178" s="22">
        <f ca="1"/>
        <v>73.160004000000001</v>
      </c>
      <c r="E1178" s="22">
        <f ca="1"/>
        <v>72.050003000000004</v>
      </c>
      <c r="F1178" s="22">
        <f ca="1"/>
        <v>73.050003000000004</v>
      </c>
      <c r="G1178" s="22">
        <f ca="1"/>
        <v>68.448502000000005</v>
      </c>
      <c r="H1178" s="69">
        <f ca="1"/>
        <v>11478400</v>
      </c>
      <c r="I1178" s="23" t="str">
        <f t="shared" ca="1" si="37"/>
        <v/>
      </c>
    </row>
    <row r="1179" spans="1:9" ht="13.8">
      <c r="A1179" s="20">
        <f t="shared" ca="1" si="36"/>
        <v>42977</v>
      </c>
      <c r="B1179" s="21" t="str">
        <f ca="1"/>
        <v>2017-08-30</v>
      </c>
      <c r="C1179" s="22">
        <f ca="1"/>
        <v>73.010002</v>
      </c>
      <c r="D1179" s="22">
        <f ca="1"/>
        <v>74.209998999999996</v>
      </c>
      <c r="E1179" s="22">
        <f ca="1"/>
        <v>72.830001999999993</v>
      </c>
      <c r="F1179" s="22">
        <f ca="1"/>
        <v>74.010002</v>
      </c>
      <c r="G1179" s="22">
        <f ca="1"/>
        <v>69.348044999999999</v>
      </c>
      <c r="H1179" s="69">
        <f ca="1"/>
        <v>16897800</v>
      </c>
      <c r="I1179" s="23" t="str">
        <f t="shared" ca="1" si="37"/>
        <v/>
      </c>
    </row>
    <row r="1180" spans="1:9" ht="13.8">
      <c r="A1180" s="20">
        <f t="shared" ca="1" si="36"/>
        <v>42978</v>
      </c>
      <c r="B1180" s="21" t="str">
        <f ca="1"/>
        <v>2017-08-31</v>
      </c>
      <c r="C1180" s="22">
        <f ca="1"/>
        <v>74.029999000000004</v>
      </c>
      <c r="D1180" s="22">
        <f ca="1"/>
        <v>74.959998999999996</v>
      </c>
      <c r="E1180" s="22">
        <f ca="1"/>
        <v>73.800003000000004</v>
      </c>
      <c r="F1180" s="22">
        <f ca="1"/>
        <v>74.769997000000004</v>
      </c>
      <c r="G1180" s="22">
        <f ca="1"/>
        <v>70.060158000000001</v>
      </c>
      <c r="H1180" s="69">
        <f ca="1"/>
        <v>27652800</v>
      </c>
      <c r="I1180" s="23" t="str">
        <f t="shared" ca="1" si="37"/>
        <v/>
      </c>
    </row>
    <row r="1181" spans="1:9" ht="13.8">
      <c r="A1181" s="20">
        <f t="shared" ca="1" si="36"/>
        <v>42979</v>
      </c>
      <c r="B1181" s="21" t="str">
        <f ca="1"/>
        <v>2017-09-01</v>
      </c>
      <c r="C1181" s="22">
        <f ca="1"/>
        <v>74.709998999999996</v>
      </c>
      <c r="D1181" s="22">
        <f ca="1"/>
        <v>74.739998</v>
      </c>
      <c r="E1181" s="22">
        <f ca="1"/>
        <v>73.639999000000003</v>
      </c>
      <c r="F1181" s="22">
        <f ca="1"/>
        <v>73.940002000000007</v>
      </c>
      <c r="G1181" s="22">
        <f ca="1"/>
        <v>69.282448000000002</v>
      </c>
      <c r="H1181" s="69">
        <f ca="1"/>
        <v>21736200</v>
      </c>
      <c r="I1181" s="23" t="str">
        <f t="shared" ca="1" si="37"/>
        <v/>
      </c>
    </row>
    <row r="1182" spans="1:9" ht="13.8">
      <c r="A1182" s="20">
        <f t="shared" ca="1" si="36"/>
        <v>42983</v>
      </c>
      <c r="B1182" s="21" t="str">
        <f ca="1"/>
        <v>2017-09-05</v>
      </c>
      <c r="C1182" s="22">
        <f ca="1"/>
        <v>73.339995999999999</v>
      </c>
      <c r="D1182" s="22">
        <f ca="1"/>
        <v>73.889999000000003</v>
      </c>
      <c r="E1182" s="22">
        <f ca="1"/>
        <v>72.980002999999996</v>
      </c>
      <c r="F1182" s="22">
        <f ca="1"/>
        <v>73.610000999999997</v>
      </c>
      <c r="G1182" s="22">
        <f ca="1"/>
        <v>68.973251000000005</v>
      </c>
      <c r="H1182" s="69">
        <f ca="1"/>
        <v>21556000</v>
      </c>
      <c r="I1182" s="23" t="str">
        <f t="shared" ca="1" si="37"/>
        <v/>
      </c>
    </row>
    <row r="1183" spans="1:9" ht="13.8">
      <c r="A1183" s="20">
        <f t="shared" ca="1" si="36"/>
        <v>42984</v>
      </c>
      <c r="B1183" s="21" t="str">
        <f ca="1"/>
        <v>2017-09-06</v>
      </c>
      <c r="C1183" s="22">
        <f ca="1"/>
        <v>73.739998</v>
      </c>
      <c r="D1183" s="22">
        <f ca="1"/>
        <v>74.040001000000004</v>
      </c>
      <c r="E1183" s="22">
        <f ca="1"/>
        <v>73.349997999999999</v>
      </c>
      <c r="F1183" s="22">
        <f ca="1"/>
        <v>73.400002000000001</v>
      </c>
      <c r="G1183" s="22">
        <f ca="1"/>
        <v>68.776459000000003</v>
      </c>
      <c r="H1183" s="69">
        <f ca="1"/>
        <v>16535800</v>
      </c>
      <c r="I1183" s="23" t="str">
        <f t="shared" ca="1" si="37"/>
        <v/>
      </c>
    </row>
    <row r="1184" spans="1:9" ht="13.8">
      <c r="A1184" s="20">
        <f t="shared" ca="1" si="36"/>
        <v>42985</v>
      </c>
      <c r="B1184" s="21" t="str">
        <f ca="1"/>
        <v>2017-09-07</v>
      </c>
      <c r="C1184" s="22">
        <f ca="1"/>
        <v>73.680000000000007</v>
      </c>
      <c r="D1184" s="22">
        <f ca="1"/>
        <v>74.599997999999999</v>
      </c>
      <c r="E1184" s="22">
        <f ca="1"/>
        <v>73.599997999999999</v>
      </c>
      <c r="F1184" s="22">
        <f ca="1"/>
        <v>74.339995999999999</v>
      </c>
      <c r="G1184" s="22">
        <f ca="1"/>
        <v>69.657264999999995</v>
      </c>
      <c r="H1184" s="69">
        <f ca="1"/>
        <v>17471200</v>
      </c>
      <c r="I1184" s="23" t="str">
        <f t="shared" ca="1" si="37"/>
        <v/>
      </c>
    </row>
    <row r="1185" spans="1:9" ht="13.8">
      <c r="A1185" s="20">
        <f t="shared" ca="1" si="36"/>
        <v>42986</v>
      </c>
      <c r="B1185" s="21" t="str">
        <f ca="1"/>
        <v>2017-09-08</v>
      </c>
      <c r="C1185" s="22">
        <f ca="1"/>
        <v>74.330001999999993</v>
      </c>
      <c r="D1185" s="22">
        <f ca="1"/>
        <v>74.440002000000007</v>
      </c>
      <c r="E1185" s="22">
        <f ca="1"/>
        <v>73.839995999999999</v>
      </c>
      <c r="F1185" s="22">
        <f ca="1"/>
        <v>73.980002999999996</v>
      </c>
      <c r="G1185" s="22">
        <f ca="1"/>
        <v>69.319946000000002</v>
      </c>
      <c r="H1185" s="69">
        <f ca="1"/>
        <v>14703800</v>
      </c>
      <c r="I1185" s="23" t="str">
        <f t="shared" ca="1" si="37"/>
        <v/>
      </c>
    </row>
    <row r="1186" spans="1:9" ht="13.8">
      <c r="A1186" s="20">
        <f t="shared" ca="1" si="36"/>
        <v>42989</v>
      </c>
      <c r="B1186" s="21" t="str">
        <f ca="1"/>
        <v>2017-09-11</v>
      </c>
      <c r="C1186" s="22">
        <f ca="1"/>
        <v>74.309997999999993</v>
      </c>
      <c r="D1186" s="22">
        <f ca="1"/>
        <v>74.940002000000007</v>
      </c>
      <c r="E1186" s="22">
        <f ca="1"/>
        <v>74.309997999999993</v>
      </c>
      <c r="F1186" s="22">
        <f ca="1"/>
        <v>74.760002</v>
      </c>
      <c r="G1186" s="22">
        <f ca="1"/>
        <v>70.050797000000003</v>
      </c>
      <c r="H1186" s="69">
        <f ca="1"/>
        <v>17910400</v>
      </c>
      <c r="I1186" s="23" t="str">
        <f t="shared" ca="1" si="37"/>
        <v/>
      </c>
    </row>
    <row r="1187" spans="1:9" ht="13.8">
      <c r="A1187" s="20">
        <f t="shared" ca="1" si="36"/>
        <v>42990</v>
      </c>
      <c r="B1187" s="21" t="str">
        <f ca="1"/>
        <v>2017-09-12</v>
      </c>
      <c r="C1187" s="22">
        <f ca="1"/>
        <v>74.760002</v>
      </c>
      <c r="D1187" s="22">
        <f ca="1"/>
        <v>75.239998</v>
      </c>
      <c r="E1187" s="22">
        <f ca="1"/>
        <v>74.370002999999997</v>
      </c>
      <c r="F1187" s="22">
        <f ca="1"/>
        <v>74.680000000000007</v>
      </c>
      <c r="G1187" s="22">
        <f ca="1"/>
        <v>69.975837999999996</v>
      </c>
      <c r="H1187" s="69">
        <f ca="1"/>
        <v>14394900</v>
      </c>
      <c r="I1187" s="23" t="str">
        <f t="shared" ca="1" si="37"/>
        <v/>
      </c>
    </row>
    <row r="1188" spans="1:9" ht="13.8">
      <c r="A1188" s="20">
        <f t="shared" ca="1" si="36"/>
        <v>42991</v>
      </c>
      <c r="B1188" s="21" t="str">
        <f ca="1"/>
        <v>2017-09-13</v>
      </c>
      <c r="C1188" s="22">
        <f ca="1"/>
        <v>74.930000000000007</v>
      </c>
      <c r="D1188" s="22">
        <f ca="1"/>
        <v>75.230002999999996</v>
      </c>
      <c r="E1188" s="22">
        <f ca="1"/>
        <v>74.550003000000004</v>
      </c>
      <c r="F1188" s="22">
        <f ca="1"/>
        <v>75.209998999999996</v>
      </c>
      <c r="G1188" s="22">
        <f ca="1"/>
        <v>70.472458000000003</v>
      </c>
      <c r="H1188" s="69">
        <f ca="1"/>
        <v>13380800</v>
      </c>
      <c r="I1188" s="23" t="str">
        <f t="shared" ca="1" si="37"/>
        <v/>
      </c>
    </row>
    <row r="1189" spans="1:9" ht="13.8">
      <c r="A1189" s="20">
        <f t="shared" ca="1" si="36"/>
        <v>42992</v>
      </c>
      <c r="B1189" s="21" t="str">
        <f ca="1"/>
        <v>2017-09-14</v>
      </c>
      <c r="C1189" s="22">
        <f ca="1"/>
        <v>75</v>
      </c>
      <c r="D1189" s="22">
        <f ca="1"/>
        <v>75.489998</v>
      </c>
      <c r="E1189" s="22">
        <f ca="1"/>
        <v>74.519997000000004</v>
      </c>
      <c r="F1189" s="22">
        <f ca="1"/>
        <v>74.769997000000004</v>
      </c>
      <c r="G1189" s="22">
        <f ca="1"/>
        <v>70.060158000000001</v>
      </c>
      <c r="H1189" s="69">
        <f ca="1"/>
        <v>15733900</v>
      </c>
      <c r="I1189" s="23" t="str">
        <f t="shared" ca="1" si="37"/>
        <v/>
      </c>
    </row>
    <row r="1190" spans="1:9" ht="13.8">
      <c r="A1190" s="20">
        <f t="shared" ca="1" si="36"/>
        <v>42993</v>
      </c>
      <c r="B1190" s="21" t="str">
        <f ca="1"/>
        <v>2017-09-15</v>
      </c>
      <c r="C1190" s="22">
        <f ca="1"/>
        <v>74.830001999999993</v>
      </c>
      <c r="D1190" s="22">
        <f ca="1"/>
        <v>75.389999000000003</v>
      </c>
      <c r="E1190" s="22">
        <f ca="1"/>
        <v>74.069999999999993</v>
      </c>
      <c r="F1190" s="22">
        <f ca="1"/>
        <v>75.309997999999993</v>
      </c>
      <c r="G1190" s="22">
        <f ca="1"/>
        <v>70.566147000000001</v>
      </c>
      <c r="H1190" s="69">
        <f ca="1"/>
        <v>38578400</v>
      </c>
      <c r="I1190" s="23" t="str">
        <f t="shared" ca="1" si="37"/>
        <v/>
      </c>
    </row>
    <row r="1191" spans="1:9" ht="13.8">
      <c r="A1191" s="20">
        <f t="shared" ca="1" si="36"/>
        <v>42996</v>
      </c>
      <c r="B1191" s="21" t="str">
        <f ca="1"/>
        <v>2017-09-18</v>
      </c>
      <c r="C1191" s="22">
        <f ca="1"/>
        <v>75.230002999999996</v>
      </c>
      <c r="D1191" s="22">
        <f ca="1"/>
        <v>75.970000999999996</v>
      </c>
      <c r="E1191" s="22">
        <f ca="1"/>
        <v>75.040001000000004</v>
      </c>
      <c r="F1191" s="22">
        <f ca="1"/>
        <v>75.160004000000001</v>
      </c>
      <c r="G1191" s="22">
        <f ca="1"/>
        <v>70.425606000000002</v>
      </c>
      <c r="H1191" s="69">
        <f ca="1"/>
        <v>23307000</v>
      </c>
      <c r="I1191" s="23" t="str">
        <f t="shared" ca="1" si="37"/>
        <v/>
      </c>
    </row>
    <row r="1192" spans="1:9" ht="13.8">
      <c r="A1192" s="20">
        <f t="shared" ca="1" si="36"/>
        <v>42997</v>
      </c>
      <c r="B1192" s="21" t="str">
        <f ca="1"/>
        <v>2017-09-19</v>
      </c>
      <c r="C1192" s="22">
        <f ca="1"/>
        <v>75.209998999999996</v>
      </c>
      <c r="D1192" s="22">
        <f ca="1"/>
        <v>75.709998999999996</v>
      </c>
      <c r="E1192" s="22">
        <f ca="1"/>
        <v>75.010002</v>
      </c>
      <c r="F1192" s="22">
        <f ca="1"/>
        <v>75.440002000000007</v>
      </c>
      <c r="G1192" s="22">
        <f ca="1"/>
        <v>70.687950000000001</v>
      </c>
      <c r="H1192" s="69">
        <f ca="1"/>
        <v>16093300</v>
      </c>
      <c r="I1192" s="23" t="str">
        <f t="shared" ca="1" si="37"/>
        <v/>
      </c>
    </row>
    <row r="1193" spans="1:9" ht="13.8">
      <c r="A1193" s="20">
        <f t="shared" ca="1" si="36"/>
        <v>42998</v>
      </c>
      <c r="B1193" s="21" t="str">
        <f ca="1"/>
        <v>2017-09-20</v>
      </c>
      <c r="C1193" s="22">
        <f ca="1"/>
        <v>75.349997999999999</v>
      </c>
      <c r="D1193" s="22">
        <f ca="1"/>
        <v>75.550003000000004</v>
      </c>
      <c r="E1193" s="22">
        <f ca="1"/>
        <v>74.309997999999993</v>
      </c>
      <c r="F1193" s="22">
        <f ca="1"/>
        <v>74.940002000000007</v>
      </c>
      <c r="G1193" s="22">
        <f ca="1"/>
        <v>70.219475000000003</v>
      </c>
      <c r="H1193" s="69">
        <f ca="1"/>
        <v>21587900</v>
      </c>
      <c r="I1193" s="23" t="str">
        <f t="shared" ca="1" si="37"/>
        <v/>
      </c>
    </row>
    <row r="1194" spans="1:9" ht="13.8">
      <c r="A1194" s="20">
        <f t="shared" ca="1" si="36"/>
        <v>42999</v>
      </c>
      <c r="B1194" s="21" t="str">
        <f ca="1"/>
        <v>2017-09-21</v>
      </c>
      <c r="C1194" s="22">
        <f ca="1"/>
        <v>75.110000999999997</v>
      </c>
      <c r="D1194" s="22">
        <f ca="1"/>
        <v>75.239998</v>
      </c>
      <c r="E1194" s="22">
        <f ca="1"/>
        <v>74.110000999999997</v>
      </c>
      <c r="F1194" s="22">
        <f ca="1"/>
        <v>74.209998999999996</v>
      </c>
      <c r="G1194" s="22">
        <f ca="1"/>
        <v>69.535438999999997</v>
      </c>
      <c r="H1194" s="69">
        <f ca="1"/>
        <v>19186100</v>
      </c>
      <c r="I1194" s="23" t="str">
        <f t="shared" ca="1" si="37"/>
        <v/>
      </c>
    </row>
    <row r="1195" spans="1:9" ht="13.8">
      <c r="A1195" s="20">
        <f t="shared" ca="1" si="36"/>
        <v>43000</v>
      </c>
      <c r="B1195" s="21" t="str">
        <f ca="1"/>
        <v>2017-09-22</v>
      </c>
      <c r="C1195" s="22">
        <f ca="1"/>
        <v>73.989998</v>
      </c>
      <c r="D1195" s="22">
        <f ca="1"/>
        <v>74.510002</v>
      </c>
      <c r="E1195" s="22">
        <f ca="1"/>
        <v>73.849997999999999</v>
      </c>
      <c r="F1195" s="22">
        <f ca="1"/>
        <v>74.410004000000001</v>
      </c>
      <c r="G1195" s="22">
        <f ca="1"/>
        <v>69.722847000000002</v>
      </c>
      <c r="H1195" s="69">
        <f ca="1"/>
        <v>14111400</v>
      </c>
      <c r="I1195" s="23" t="str">
        <f t="shared" ca="1" si="37"/>
        <v/>
      </c>
    </row>
    <row r="1196" spans="1:9" ht="13.8">
      <c r="A1196" s="20">
        <f t="shared" ca="1" si="36"/>
        <v>43003</v>
      </c>
      <c r="B1196" s="21" t="str">
        <f ca="1"/>
        <v>2017-09-25</v>
      </c>
      <c r="C1196" s="22">
        <f ca="1"/>
        <v>74.089995999999999</v>
      </c>
      <c r="D1196" s="22">
        <f ca="1"/>
        <v>74.25</v>
      </c>
      <c r="E1196" s="22">
        <f ca="1"/>
        <v>72.919998000000007</v>
      </c>
      <c r="F1196" s="22">
        <f ca="1"/>
        <v>73.260002</v>
      </c>
      <c r="G1196" s="22">
        <f ca="1"/>
        <v>68.645294000000007</v>
      </c>
      <c r="H1196" s="69">
        <f ca="1"/>
        <v>24149200</v>
      </c>
      <c r="I1196" s="23" t="str">
        <f t="shared" ca="1" si="37"/>
        <v/>
      </c>
    </row>
    <row r="1197" spans="1:9" ht="13.8">
      <c r="A1197" s="20">
        <f t="shared" ca="1" si="36"/>
        <v>43004</v>
      </c>
      <c r="B1197" s="21" t="str">
        <f ca="1"/>
        <v>2017-09-26</v>
      </c>
      <c r="C1197" s="22">
        <f ca="1"/>
        <v>73.669998000000007</v>
      </c>
      <c r="D1197" s="22">
        <f ca="1"/>
        <v>73.809997999999993</v>
      </c>
      <c r="E1197" s="22">
        <f ca="1"/>
        <v>72.989998</v>
      </c>
      <c r="F1197" s="22">
        <f ca="1"/>
        <v>73.260002</v>
      </c>
      <c r="G1197" s="22">
        <f ca="1"/>
        <v>68.645294000000007</v>
      </c>
      <c r="H1197" s="69">
        <f ca="1"/>
        <v>18019600</v>
      </c>
      <c r="I1197" s="23" t="str">
        <f t="shared" ca="1" si="37"/>
        <v/>
      </c>
    </row>
    <row r="1198" spans="1:9" ht="13.8">
      <c r="A1198" s="20">
        <f t="shared" ca="1" si="36"/>
        <v>43005</v>
      </c>
      <c r="B1198" s="21" t="str">
        <f ca="1"/>
        <v>2017-09-27</v>
      </c>
      <c r="C1198" s="22">
        <f ca="1"/>
        <v>73.550003000000004</v>
      </c>
      <c r="D1198" s="22">
        <f ca="1"/>
        <v>74.169998000000007</v>
      </c>
      <c r="E1198" s="22">
        <f ca="1"/>
        <v>73.169998000000007</v>
      </c>
      <c r="F1198" s="22">
        <f ca="1"/>
        <v>73.849997999999999</v>
      </c>
      <c r="G1198" s="22">
        <f ca="1"/>
        <v>69.198127999999997</v>
      </c>
      <c r="H1198" s="69">
        <f ca="1"/>
        <v>19565100</v>
      </c>
      <c r="I1198" s="23" t="str">
        <f t="shared" ca="1" si="37"/>
        <v/>
      </c>
    </row>
    <row r="1199" spans="1:9" ht="13.8">
      <c r="A1199" s="20">
        <f t="shared" ca="1" si="36"/>
        <v>43006</v>
      </c>
      <c r="B1199" s="21" t="str">
        <f ca="1"/>
        <v>2017-09-28</v>
      </c>
      <c r="C1199" s="22">
        <f ca="1"/>
        <v>73.540001000000004</v>
      </c>
      <c r="D1199" s="22">
        <f ca="1"/>
        <v>73.970000999999996</v>
      </c>
      <c r="E1199" s="22">
        <f ca="1"/>
        <v>73.309997999999993</v>
      </c>
      <c r="F1199" s="22">
        <f ca="1"/>
        <v>73.870002999999997</v>
      </c>
      <c r="G1199" s="22">
        <f ca="1"/>
        <v>69.216881000000001</v>
      </c>
      <c r="H1199" s="69">
        <f ca="1"/>
        <v>10883800</v>
      </c>
      <c r="I1199" s="23" t="str">
        <f t="shared" ca="1" si="37"/>
        <v/>
      </c>
    </row>
    <row r="1200" spans="1:9" ht="13.8">
      <c r="A1200" s="20">
        <f t="shared" ca="1" si="36"/>
        <v>43007</v>
      </c>
      <c r="B1200" s="21" t="str">
        <f ca="1"/>
        <v>2017-09-29</v>
      </c>
      <c r="C1200" s="22">
        <f ca="1"/>
        <v>73.940002000000007</v>
      </c>
      <c r="D1200" s="22">
        <f ca="1"/>
        <v>74.540001000000004</v>
      </c>
      <c r="E1200" s="22">
        <f ca="1"/>
        <v>73.879997000000003</v>
      </c>
      <c r="F1200" s="22">
        <f ca="1"/>
        <v>74.489998</v>
      </c>
      <c r="G1200" s="22">
        <f ca="1"/>
        <v>69.797768000000005</v>
      </c>
      <c r="H1200" s="69">
        <f ca="1"/>
        <v>17079100</v>
      </c>
      <c r="I1200" s="23" t="str">
        <f t="shared" ca="1" si="37"/>
        <v/>
      </c>
    </row>
    <row r="1201" spans="1:9" ht="13.8">
      <c r="A1201" s="20">
        <f t="shared" ca="1" si="36"/>
        <v>43010</v>
      </c>
      <c r="B1201" s="21" t="str">
        <f ca="1"/>
        <v>2017-10-02</v>
      </c>
      <c r="C1201" s="22">
        <f ca="1"/>
        <v>74.709998999999996</v>
      </c>
      <c r="D1201" s="22">
        <f ca="1"/>
        <v>75.010002</v>
      </c>
      <c r="E1201" s="22">
        <f ca="1"/>
        <v>74.300003000000004</v>
      </c>
      <c r="F1201" s="22">
        <f ca="1"/>
        <v>74.610000999999997</v>
      </c>
      <c r="G1201" s="22">
        <f ca="1"/>
        <v>69.910255000000006</v>
      </c>
      <c r="H1201" s="69">
        <f ca="1"/>
        <v>15304800</v>
      </c>
      <c r="I1201" s="23" t="str">
        <f t="shared" ca="1" si="37"/>
        <v/>
      </c>
    </row>
    <row r="1202" spans="1:9" ht="13.8">
      <c r="A1202" s="20">
        <f t="shared" ca="1" si="36"/>
        <v>43011</v>
      </c>
      <c r="B1202" s="21" t="str">
        <f ca="1"/>
        <v>2017-10-03</v>
      </c>
      <c r="C1202" s="22">
        <f ca="1"/>
        <v>74.669998000000007</v>
      </c>
      <c r="D1202" s="22">
        <f ca="1"/>
        <v>74.879997000000003</v>
      </c>
      <c r="E1202" s="22">
        <f ca="1"/>
        <v>74.190002000000007</v>
      </c>
      <c r="F1202" s="22">
        <f ca="1"/>
        <v>74.260002</v>
      </c>
      <c r="G1202" s="22">
        <f ca="1"/>
        <v>69.582306000000003</v>
      </c>
      <c r="H1202" s="69">
        <f ca="1"/>
        <v>12190400</v>
      </c>
      <c r="I1202" s="23" t="str">
        <f t="shared" ca="1" si="37"/>
        <v/>
      </c>
    </row>
    <row r="1203" spans="1:9" ht="13.8">
      <c r="A1203" s="20">
        <f t="shared" ca="1" si="36"/>
        <v>43012</v>
      </c>
      <c r="B1203" s="21" t="str">
        <f ca="1"/>
        <v>2017-10-04</v>
      </c>
      <c r="C1203" s="22">
        <f ca="1"/>
        <v>74.089995999999999</v>
      </c>
      <c r="D1203" s="22">
        <f ca="1"/>
        <v>74.720000999999996</v>
      </c>
      <c r="E1203" s="22">
        <f ca="1"/>
        <v>73.709998999999996</v>
      </c>
      <c r="F1203" s="22">
        <f ca="1"/>
        <v>74.690002000000007</v>
      </c>
      <c r="G1203" s="22">
        <f ca="1"/>
        <v>69.985213999999999</v>
      </c>
      <c r="H1203" s="69">
        <f ca="1"/>
        <v>13317700</v>
      </c>
      <c r="I1203" s="23" t="str">
        <f t="shared" ca="1" si="37"/>
        <v/>
      </c>
    </row>
    <row r="1204" spans="1:9" ht="13.8">
      <c r="A1204" s="20">
        <f t="shared" ca="1" si="36"/>
        <v>43013</v>
      </c>
      <c r="B1204" s="21" t="str">
        <f ca="1"/>
        <v>2017-10-05</v>
      </c>
      <c r="C1204" s="22">
        <f ca="1"/>
        <v>75.220000999999996</v>
      </c>
      <c r="D1204" s="22">
        <f ca="1"/>
        <v>76.120002999999997</v>
      </c>
      <c r="E1204" s="22">
        <f ca="1"/>
        <v>74.959998999999996</v>
      </c>
      <c r="F1204" s="22">
        <f ca="1"/>
        <v>75.970000999999996</v>
      </c>
      <c r="G1204" s="22">
        <f ca="1"/>
        <v>71.184585999999996</v>
      </c>
      <c r="H1204" s="69">
        <f ca="1"/>
        <v>21195300</v>
      </c>
      <c r="I1204" s="23" t="str">
        <f t="shared" ca="1" si="37"/>
        <v/>
      </c>
    </row>
    <row r="1205" spans="1:9" ht="13.8">
      <c r="A1205" s="20">
        <f t="shared" ca="1" si="36"/>
        <v>43014</v>
      </c>
      <c r="B1205" s="21" t="str">
        <f ca="1"/>
        <v>2017-10-06</v>
      </c>
      <c r="C1205" s="22">
        <f ca="1"/>
        <v>75.669998000000007</v>
      </c>
      <c r="D1205" s="22">
        <f ca="1"/>
        <v>76.029999000000004</v>
      </c>
      <c r="E1205" s="22">
        <f ca="1"/>
        <v>75.540001000000004</v>
      </c>
      <c r="F1205" s="22">
        <f ca="1"/>
        <v>76</v>
      </c>
      <c r="G1205" s="22">
        <f ca="1"/>
        <v>71.212676999999999</v>
      </c>
      <c r="H1205" s="69">
        <f ca="1"/>
        <v>13959800</v>
      </c>
      <c r="I1205" s="23" t="str">
        <f t="shared" ca="1" si="37"/>
        <v/>
      </c>
    </row>
    <row r="1206" spans="1:9" ht="13.8">
      <c r="A1206" s="20">
        <f t="shared" ca="1" si="36"/>
        <v>43017</v>
      </c>
      <c r="B1206" s="21" t="str">
        <f ca="1"/>
        <v>2017-10-09</v>
      </c>
      <c r="C1206" s="22">
        <f ca="1"/>
        <v>75.970000999999996</v>
      </c>
      <c r="D1206" s="22">
        <f ca="1"/>
        <v>76.550003000000004</v>
      </c>
      <c r="E1206" s="22">
        <f ca="1"/>
        <v>75.860000999999997</v>
      </c>
      <c r="F1206" s="22">
        <f ca="1"/>
        <v>76.290001000000004</v>
      </c>
      <c r="G1206" s="22">
        <f ca="1"/>
        <v>71.484427999999994</v>
      </c>
      <c r="H1206" s="69">
        <f ca="1"/>
        <v>11386500</v>
      </c>
      <c r="I1206" s="23" t="str">
        <f t="shared" ca="1" si="37"/>
        <v/>
      </c>
    </row>
    <row r="1207" spans="1:9" ht="13.8">
      <c r="A1207" s="20">
        <f t="shared" ca="1" si="36"/>
        <v>43018</v>
      </c>
      <c r="B1207" s="21" t="str">
        <f ca="1"/>
        <v>2017-10-10</v>
      </c>
      <c r="C1207" s="22">
        <f ca="1"/>
        <v>76.330001999999993</v>
      </c>
      <c r="D1207" s="22">
        <f ca="1"/>
        <v>76.629997000000003</v>
      </c>
      <c r="E1207" s="22">
        <f ca="1"/>
        <v>76.139999000000003</v>
      </c>
      <c r="F1207" s="22">
        <f ca="1"/>
        <v>76.290001000000004</v>
      </c>
      <c r="G1207" s="22">
        <f ca="1"/>
        <v>71.484427999999994</v>
      </c>
      <c r="H1207" s="69">
        <f ca="1"/>
        <v>13944500</v>
      </c>
      <c r="I1207" s="23" t="str">
        <f t="shared" ca="1" si="37"/>
        <v/>
      </c>
    </row>
    <row r="1208" spans="1:9" ht="13.8">
      <c r="A1208" s="20">
        <f t="shared" ca="1" si="36"/>
        <v>43019</v>
      </c>
      <c r="B1208" s="21" t="str">
        <f ca="1"/>
        <v>2017-10-11</v>
      </c>
      <c r="C1208" s="22">
        <f ca="1"/>
        <v>76.360000999999997</v>
      </c>
      <c r="D1208" s="22">
        <f ca="1"/>
        <v>76.459998999999996</v>
      </c>
      <c r="E1208" s="22">
        <f ca="1"/>
        <v>75.949996999999996</v>
      </c>
      <c r="F1208" s="22">
        <f ca="1"/>
        <v>76.419998000000007</v>
      </c>
      <c r="G1208" s="22">
        <f ca="1"/>
        <v>71.606223999999997</v>
      </c>
      <c r="H1208" s="69">
        <f ca="1"/>
        <v>15388900</v>
      </c>
      <c r="I1208" s="23" t="str">
        <f t="shared" ca="1" si="37"/>
        <v/>
      </c>
    </row>
    <row r="1209" spans="1:9" ht="13.8">
      <c r="A1209" s="20">
        <f t="shared" ca="1" si="36"/>
        <v>43020</v>
      </c>
      <c r="B1209" s="21" t="str">
        <f ca="1"/>
        <v>2017-10-12</v>
      </c>
      <c r="C1209" s="22">
        <f ca="1"/>
        <v>76.489998</v>
      </c>
      <c r="D1209" s="22">
        <f ca="1"/>
        <v>77.290001000000004</v>
      </c>
      <c r="E1209" s="22">
        <f ca="1"/>
        <v>76.370002999999997</v>
      </c>
      <c r="F1209" s="22">
        <f ca="1"/>
        <v>77.120002999999997</v>
      </c>
      <c r="G1209" s="22">
        <f ca="1"/>
        <v>72.262153999999995</v>
      </c>
      <c r="H1209" s="69">
        <f ca="1"/>
        <v>16876500</v>
      </c>
      <c r="I1209" s="23" t="str">
        <f t="shared" ca="1" si="37"/>
        <v/>
      </c>
    </row>
    <row r="1210" spans="1:9" ht="13.8">
      <c r="A1210" s="20">
        <f t="shared" ca="1" si="36"/>
        <v>43021</v>
      </c>
      <c r="B1210" s="21" t="str">
        <f ca="1"/>
        <v>2017-10-13</v>
      </c>
      <c r="C1210" s="22">
        <f ca="1"/>
        <v>77.589995999999999</v>
      </c>
      <c r="D1210" s="22">
        <f ca="1"/>
        <v>77.870002999999997</v>
      </c>
      <c r="E1210" s="22">
        <f ca="1"/>
        <v>77.290001000000004</v>
      </c>
      <c r="F1210" s="22">
        <f ca="1"/>
        <v>77.489998</v>
      </c>
      <c r="G1210" s="22">
        <f ca="1"/>
        <v>72.608840999999998</v>
      </c>
      <c r="H1210" s="69">
        <f ca="1"/>
        <v>15335700</v>
      </c>
      <c r="I1210" s="23" t="str">
        <f t="shared" ca="1" si="37"/>
        <v/>
      </c>
    </row>
    <row r="1211" spans="1:9" ht="13.8">
      <c r="A1211" s="20">
        <f t="shared" ca="1" si="36"/>
        <v>43024</v>
      </c>
      <c r="B1211" s="21" t="str">
        <f ca="1"/>
        <v>2017-10-16</v>
      </c>
      <c r="C1211" s="22">
        <f ca="1"/>
        <v>77.419998000000007</v>
      </c>
      <c r="D1211" s="22">
        <f ca="1"/>
        <v>77.809997999999993</v>
      </c>
      <c r="E1211" s="22">
        <f ca="1"/>
        <v>77.349997999999999</v>
      </c>
      <c r="F1211" s="22">
        <f ca="1"/>
        <v>77.650002000000001</v>
      </c>
      <c r="G1211" s="22">
        <f ca="1"/>
        <v>72.758728000000005</v>
      </c>
      <c r="H1211" s="69">
        <f ca="1"/>
        <v>12380100</v>
      </c>
      <c r="I1211" s="23" t="str">
        <f t="shared" ca="1" si="37"/>
        <v/>
      </c>
    </row>
    <row r="1212" spans="1:9" ht="13.8">
      <c r="A1212" s="20">
        <f t="shared" ca="1" si="36"/>
        <v>43025</v>
      </c>
      <c r="B1212" s="21" t="str">
        <f ca="1"/>
        <v>2017-10-17</v>
      </c>
      <c r="C1212" s="22">
        <f ca="1"/>
        <v>77.470000999999996</v>
      </c>
      <c r="D1212" s="22">
        <f ca="1"/>
        <v>77.620002999999997</v>
      </c>
      <c r="E1212" s="22">
        <f ca="1"/>
        <v>77.25</v>
      </c>
      <c r="F1212" s="22">
        <f ca="1"/>
        <v>77.589995999999999</v>
      </c>
      <c r="G1212" s="22">
        <f ca="1"/>
        <v>72.702538000000004</v>
      </c>
      <c r="H1212" s="69">
        <f ca="1"/>
        <v>16824000</v>
      </c>
      <c r="I1212" s="23" t="str">
        <f t="shared" ca="1" si="37"/>
        <v/>
      </c>
    </row>
    <row r="1213" spans="1:9" ht="13.8">
      <c r="A1213" s="20">
        <f t="shared" ca="1" si="36"/>
        <v>43026</v>
      </c>
      <c r="B1213" s="21" t="str">
        <f ca="1"/>
        <v>2017-10-18</v>
      </c>
      <c r="C1213" s="22">
        <f ca="1"/>
        <v>77.669998000000007</v>
      </c>
      <c r="D1213" s="22">
        <f ca="1"/>
        <v>77.849997999999999</v>
      </c>
      <c r="E1213" s="22">
        <f ca="1"/>
        <v>77.370002999999997</v>
      </c>
      <c r="F1213" s="22">
        <f ca="1"/>
        <v>77.610000999999997</v>
      </c>
      <c r="G1213" s="22">
        <f ca="1"/>
        <v>72.721275000000006</v>
      </c>
      <c r="H1213" s="69">
        <f ca="1"/>
        <v>13300700</v>
      </c>
      <c r="I1213" s="23" t="str">
        <f t="shared" ca="1" si="37"/>
        <v/>
      </c>
    </row>
    <row r="1214" spans="1:9" ht="13.8">
      <c r="A1214" s="20">
        <f t="shared" ca="1" si="36"/>
        <v>43027</v>
      </c>
      <c r="B1214" s="21" t="str">
        <f ca="1"/>
        <v>2017-10-19</v>
      </c>
      <c r="C1214" s="22">
        <f ca="1"/>
        <v>77.569999999999993</v>
      </c>
      <c r="D1214" s="22">
        <f ca="1"/>
        <v>77.930000000000007</v>
      </c>
      <c r="E1214" s="22">
        <f ca="1"/>
        <v>77.349997999999999</v>
      </c>
      <c r="F1214" s="22">
        <f ca="1"/>
        <v>77.910004000000001</v>
      </c>
      <c r="G1214" s="22">
        <f ca="1"/>
        <v>73.002396000000005</v>
      </c>
      <c r="H1214" s="69">
        <f ca="1"/>
        <v>15092800</v>
      </c>
      <c r="I1214" s="23" t="str">
        <f t="shared" ca="1" si="37"/>
        <v/>
      </c>
    </row>
    <row r="1215" spans="1:9" ht="13.8">
      <c r="A1215" s="20">
        <f t="shared" ca="1" si="36"/>
        <v>43028</v>
      </c>
      <c r="B1215" s="21" t="str">
        <f ca="1"/>
        <v>2017-10-20</v>
      </c>
      <c r="C1215" s="22">
        <f ca="1"/>
        <v>78.319999999999993</v>
      </c>
      <c r="D1215" s="22">
        <f ca="1"/>
        <v>78.970000999999996</v>
      </c>
      <c r="E1215" s="22">
        <f ca="1"/>
        <v>78.220000999999996</v>
      </c>
      <c r="F1215" s="22">
        <f ca="1"/>
        <v>78.809997999999993</v>
      </c>
      <c r="G1215" s="22">
        <f ca="1"/>
        <v>73.845687999999996</v>
      </c>
      <c r="H1215" s="69">
        <f ca="1"/>
        <v>22866400</v>
      </c>
      <c r="I1215" s="23" t="str">
        <f t="shared" ca="1" si="37"/>
        <v/>
      </c>
    </row>
    <row r="1216" spans="1:9" ht="13.8">
      <c r="A1216" s="20">
        <f t="shared" ca="1" si="36"/>
        <v>43031</v>
      </c>
      <c r="B1216" s="21" t="str">
        <f ca="1"/>
        <v>2017-10-23</v>
      </c>
      <c r="C1216" s="22">
        <f ca="1"/>
        <v>78.989998</v>
      </c>
      <c r="D1216" s="22">
        <f ca="1"/>
        <v>79.339995999999999</v>
      </c>
      <c r="E1216" s="22">
        <f ca="1"/>
        <v>78.760002</v>
      </c>
      <c r="F1216" s="22">
        <f ca="1"/>
        <v>78.830001999999993</v>
      </c>
      <c r="G1216" s="22">
        <f ca="1"/>
        <v>73.864418000000001</v>
      </c>
      <c r="H1216" s="69">
        <f ca="1"/>
        <v>20627200</v>
      </c>
      <c r="I1216" s="23" t="str">
        <f t="shared" ca="1" si="37"/>
        <v/>
      </c>
    </row>
    <row r="1217" spans="1:9" ht="13.8">
      <c r="A1217" s="20">
        <f t="shared" ca="1" si="36"/>
        <v>43032</v>
      </c>
      <c r="B1217" s="21" t="str">
        <f ca="1"/>
        <v>2017-10-24</v>
      </c>
      <c r="C1217" s="22">
        <f ca="1"/>
        <v>78.900002000000001</v>
      </c>
      <c r="D1217" s="22">
        <f ca="1"/>
        <v>79.199996999999996</v>
      </c>
      <c r="E1217" s="22">
        <f ca="1"/>
        <v>78.459998999999996</v>
      </c>
      <c r="F1217" s="22">
        <f ca="1"/>
        <v>78.860000999999997</v>
      </c>
      <c r="G1217" s="22">
        <f ca="1"/>
        <v>73.892539999999997</v>
      </c>
      <c r="H1217" s="69">
        <f ca="1"/>
        <v>17517200</v>
      </c>
      <c r="I1217" s="23" t="str">
        <f t="shared" ca="1" si="37"/>
        <v/>
      </c>
    </row>
    <row r="1218" spans="1:9" ht="13.8">
      <c r="A1218" s="20">
        <f t="shared" ca="1" si="36"/>
        <v>43033</v>
      </c>
      <c r="B1218" s="21" t="str">
        <f ca="1"/>
        <v>2017-10-25</v>
      </c>
      <c r="C1218" s="22">
        <f ca="1"/>
        <v>78.580001999999993</v>
      </c>
      <c r="D1218" s="22">
        <f ca="1"/>
        <v>79.099997999999999</v>
      </c>
      <c r="E1218" s="22">
        <f ca="1"/>
        <v>78.010002</v>
      </c>
      <c r="F1218" s="22">
        <f ca="1"/>
        <v>78.629997000000003</v>
      </c>
      <c r="G1218" s="22">
        <f ca="1"/>
        <v>73.677017000000006</v>
      </c>
      <c r="H1218" s="69">
        <f ca="1"/>
        <v>20410800</v>
      </c>
      <c r="I1218" s="23" t="str">
        <f t="shared" ca="1" si="37"/>
        <v/>
      </c>
    </row>
    <row r="1219" spans="1:9" ht="13.8">
      <c r="A1219" s="20">
        <f t="shared" ca="1" si="36"/>
        <v>43034</v>
      </c>
      <c r="B1219" s="21" t="str">
        <f ca="1"/>
        <v>2017-10-26</v>
      </c>
      <c r="C1219" s="22">
        <f ca="1"/>
        <v>79.199996999999996</v>
      </c>
      <c r="D1219" s="22">
        <f ca="1"/>
        <v>79.419998000000007</v>
      </c>
      <c r="E1219" s="22">
        <f ca="1"/>
        <v>78.75</v>
      </c>
      <c r="F1219" s="22">
        <f ca="1"/>
        <v>78.760002</v>
      </c>
      <c r="G1219" s="22">
        <f ca="1"/>
        <v>73.798820000000006</v>
      </c>
      <c r="H1219" s="69">
        <f ca="1"/>
        <v>32120700</v>
      </c>
      <c r="I1219" s="23" t="str">
        <f t="shared" ca="1" si="37"/>
        <v/>
      </c>
    </row>
    <row r="1220" spans="1:9" ht="13.8">
      <c r="A1220" s="20">
        <f t="shared" ca="1" si="36"/>
        <v>43035</v>
      </c>
      <c r="B1220" s="21" t="str">
        <f ca="1"/>
        <v>2017-10-27</v>
      </c>
      <c r="C1220" s="22">
        <f ca="1"/>
        <v>84.370002999999997</v>
      </c>
      <c r="D1220" s="22">
        <f ca="1"/>
        <v>86.199996999999996</v>
      </c>
      <c r="E1220" s="22">
        <f ca="1"/>
        <v>83.610000999999997</v>
      </c>
      <c r="F1220" s="22">
        <f ca="1"/>
        <v>83.809997999999993</v>
      </c>
      <c r="G1220" s="22">
        <f ca="1"/>
        <v>78.530724000000006</v>
      </c>
      <c r="H1220" s="69">
        <f ca="1"/>
        <v>71066700</v>
      </c>
      <c r="I1220" s="23" t="str">
        <f t="shared" ca="1" si="37"/>
        <v/>
      </c>
    </row>
    <row r="1221" spans="1:9" ht="13.8">
      <c r="A1221" s="20">
        <f t="shared" ca="1" si="36"/>
        <v>43038</v>
      </c>
      <c r="B1221" s="21" t="str">
        <f ca="1"/>
        <v>2017-10-30</v>
      </c>
      <c r="C1221" s="22">
        <f ca="1"/>
        <v>83.699996999999996</v>
      </c>
      <c r="D1221" s="22">
        <f ca="1"/>
        <v>84.330001999999993</v>
      </c>
      <c r="E1221" s="22">
        <f ca="1"/>
        <v>83.110000999999997</v>
      </c>
      <c r="F1221" s="22">
        <f ca="1"/>
        <v>83.889999000000003</v>
      </c>
      <c r="G1221" s="22">
        <f ca="1"/>
        <v>78.605689999999996</v>
      </c>
      <c r="H1221" s="69">
        <f ca="1"/>
        <v>31756700</v>
      </c>
      <c r="I1221" s="23" t="str">
        <f t="shared" ca="1" si="37"/>
        <v/>
      </c>
    </row>
    <row r="1222" spans="1:9" ht="13.8">
      <c r="A1222" s="20">
        <f t="shared" ref="A1222:A1285" ca="1" si="38">IFERROR(DATEVALUE($B1222),"--")</f>
        <v>43039</v>
      </c>
      <c r="B1222" s="21" t="str">
        <f ca="1"/>
        <v>2017-10-31</v>
      </c>
      <c r="C1222" s="22">
        <f ca="1"/>
        <v>84.360000999999997</v>
      </c>
      <c r="D1222" s="22">
        <f ca="1"/>
        <v>84.360000999999997</v>
      </c>
      <c r="E1222" s="22">
        <f ca="1"/>
        <v>83.110000999999997</v>
      </c>
      <c r="F1222" s="22">
        <f ca="1"/>
        <v>83.18</v>
      </c>
      <c r="G1222" s="22">
        <f ca="1"/>
        <v>77.940414000000004</v>
      </c>
      <c r="H1222" s="69">
        <f ca="1"/>
        <v>27086600</v>
      </c>
      <c r="I1222" s="23" t="str">
        <f t="shared" ref="I1222:I1285" ca="1" si="39">IFERROR(IF(Ticker&lt;&gt;$Q$2,"",INDEX($P:$P,MATCH($A1222,$O:$O,0))),"")</f>
        <v/>
      </c>
    </row>
    <row r="1223" spans="1:9" ht="13.8">
      <c r="A1223" s="20">
        <f t="shared" ca="1" si="38"/>
        <v>43040</v>
      </c>
      <c r="B1223" s="21" t="str">
        <f ca="1"/>
        <v>2017-11-01</v>
      </c>
      <c r="C1223" s="22">
        <f ca="1"/>
        <v>83.68</v>
      </c>
      <c r="D1223" s="22">
        <f ca="1"/>
        <v>83.760002</v>
      </c>
      <c r="E1223" s="22">
        <f ca="1"/>
        <v>82.879997000000003</v>
      </c>
      <c r="F1223" s="22">
        <f ca="1"/>
        <v>83.18</v>
      </c>
      <c r="G1223" s="22">
        <f ca="1"/>
        <v>77.940414000000004</v>
      </c>
      <c r="H1223" s="69">
        <f ca="1"/>
        <v>22307400</v>
      </c>
      <c r="I1223" s="23" t="str">
        <f t="shared" ca="1" si="39"/>
        <v/>
      </c>
    </row>
    <row r="1224" spans="1:9" ht="13.8">
      <c r="A1224" s="20">
        <f t="shared" ca="1" si="38"/>
        <v>43041</v>
      </c>
      <c r="B1224" s="21" t="str">
        <f ca="1"/>
        <v>2017-11-02</v>
      </c>
      <c r="C1224" s="22">
        <f ca="1"/>
        <v>83.349997999999999</v>
      </c>
      <c r="D1224" s="22">
        <f ca="1"/>
        <v>84.459998999999996</v>
      </c>
      <c r="E1224" s="22">
        <f ca="1"/>
        <v>83.120002999999997</v>
      </c>
      <c r="F1224" s="22">
        <f ca="1"/>
        <v>84.050003000000004</v>
      </c>
      <c r="G1224" s="22">
        <f ca="1"/>
        <v>78.755623</v>
      </c>
      <c r="H1224" s="69">
        <f ca="1"/>
        <v>23992900</v>
      </c>
      <c r="I1224" s="23" t="str">
        <f t="shared" ca="1" si="39"/>
        <v/>
      </c>
    </row>
    <row r="1225" spans="1:9" ht="13.8">
      <c r="A1225" s="20">
        <f t="shared" ca="1" si="38"/>
        <v>43042</v>
      </c>
      <c r="B1225" s="21" t="str">
        <f ca="1"/>
        <v>2017-11-03</v>
      </c>
      <c r="C1225" s="22">
        <f ca="1"/>
        <v>84.080001999999993</v>
      </c>
      <c r="D1225" s="22">
        <f ca="1"/>
        <v>84.540001000000004</v>
      </c>
      <c r="E1225" s="22">
        <f ca="1"/>
        <v>83.400002000000001</v>
      </c>
      <c r="F1225" s="22">
        <f ca="1"/>
        <v>84.139999000000003</v>
      </c>
      <c r="G1225" s="22">
        <f ca="1"/>
        <v>78.839934999999997</v>
      </c>
      <c r="H1225" s="69">
        <f ca="1"/>
        <v>17633500</v>
      </c>
      <c r="I1225" s="23" t="str">
        <f t="shared" ca="1" si="39"/>
        <v/>
      </c>
    </row>
    <row r="1226" spans="1:9" ht="13.8">
      <c r="A1226" s="20">
        <f t="shared" ca="1" si="38"/>
        <v>43045</v>
      </c>
      <c r="B1226" s="21" t="str">
        <f ca="1"/>
        <v>2017-11-06</v>
      </c>
      <c r="C1226" s="22">
        <f ca="1"/>
        <v>84.199996999999996</v>
      </c>
      <c r="D1226" s="22">
        <f ca="1"/>
        <v>84.699996999999996</v>
      </c>
      <c r="E1226" s="22">
        <f ca="1"/>
        <v>84.080001999999993</v>
      </c>
      <c r="F1226" s="22">
        <f ca="1"/>
        <v>84.470000999999996</v>
      </c>
      <c r="G1226" s="22">
        <f ca="1"/>
        <v>79.149146999999999</v>
      </c>
      <c r="H1226" s="69">
        <f ca="1"/>
        <v>19860900</v>
      </c>
      <c r="I1226" s="23" t="str">
        <f t="shared" ca="1" si="39"/>
        <v/>
      </c>
    </row>
    <row r="1227" spans="1:9" ht="13.8">
      <c r="A1227" s="20">
        <f t="shared" ca="1" si="38"/>
        <v>43046</v>
      </c>
      <c r="B1227" s="21" t="str">
        <f ca="1"/>
        <v>2017-11-07</v>
      </c>
      <c r="C1227" s="22">
        <f ca="1"/>
        <v>84.769997000000004</v>
      </c>
      <c r="D1227" s="22">
        <f ca="1"/>
        <v>84.900002000000001</v>
      </c>
      <c r="E1227" s="22">
        <f ca="1"/>
        <v>83.93</v>
      </c>
      <c r="F1227" s="22">
        <f ca="1"/>
        <v>84.269997000000004</v>
      </c>
      <c r="G1227" s="22">
        <f ca="1"/>
        <v>78.961769000000004</v>
      </c>
      <c r="H1227" s="69">
        <f ca="1"/>
        <v>17939700</v>
      </c>
      <c r="I1227" s="23" t="str">
        <f t="shared" ca="1" si="39"/>
        <v/>
      </c>
    </row>
    <row r="1228" spans="1:9" ht="13.8">
      <c r="A1228" s="20">
        <f t="shared" ca="1" si="38"/>
        <v>43047</v>
      </c>
      <c r="B1228" s="21" t="str">
        <f ca="1"/>
        <v>2017-11-08</v>
      </c>
      <c r="C1228" s="22">
        <f ca="1"/>
        <v>84.139999000000003</v>
      </c>
      <c r="D1228" s="22">
        <f ca="1"/>
        <v>84.610000999999997</v>
      </c>
      <c r="E1228" s="22">
        <f ca="1"/>
        <v>83.830001999999993</v>
      </c>
      <c r="F1228" s="22">
        <f ca="1"/>
        <v>84.559997999999993</v>
      </c>
      <c r="G1228" s="22">
        <f ca="1"/>
        <v>79.233497999999997</v>
      </c>
      <c r="H1228" s="69">
        <f ca="1"/>
        <v>18034200</v>
      </c>
      <c r="I1228" s="23" t="str">
        <f t="shared" ca="1" si="39"/>
        <v/>
      </c>
    </row>
    <row r="1229" spans="1:9" ht="13.8">
      <c r="A1229" s="20">
        <f t="shared" ca="1" si="38"/>
        <v>43048</v>
      </c>
      <c r="B1229" s="21" t="str">
        <f ca="1"/>
        <v>2017-11-09</v>
      </c>
      <c r="C1229" s="22">
        <f ca="1"/>
        <v>84.110000999999997</v>
      </c>
      <c r="D1229" s="22">
        <f ca="1"/>
        <v>84.269997000000004</v>
      </c>
      <c r="E1229" s="22">
        <f ca="1"/>
        <v>82.900002000000001</v>
      </c>
      <c r="F1229" s="22">
        <f ca="1"/>
        <v>84.089995999999999</v>
      </c>
      <c r="G1229" s="22">
        <f ca="1"/>
        <v>78.793091000000004</v>
      </c>
      <c r="H1229" s="69">
        <f ca="1"/>
        <v>21178400</v>
      </c>
      <c r="I1229" s="23" t="str">
        <f t="shared" ca="1" si="39"/>
        <v/>
      </c>
    </row>
    <row r="1230" spans="1:9" ht="13.8">
      <c r="A1230" s="20">
        <f t="shared" ca="1" si="38"/>
        <v>43049</v>
      </c>
      <c r="B1230" s="21" t="str">
        <f ca="1"/>
        <v>2017-11-10</v>
      </c>
      <c r="C1230" s="22">
        <f ca="1"/>
        <v>83.790001000000004</v>
      </c>
      <c r="D1230" s="22">
        <f ca="1"/>
        <v>84.099997999999999</v>
      </c>
      <c r="E1230" s="22">
        <f ca="1"/>
        <v>83.230002999999996</v>
      </c>
      <c r="F1230" s="22">
        <f ca="1"/>
        <v>83.870002999999997</v>
      </c>
      <c r="G1230" s="22">
        <f ca="1"/>
        <v>78.586960000000005</v>
      </c>
      <c r="H1230" s="69">
        <f ca="1"/>
        <v>19397800</v>
      </c>
      <c r="I1230" s="23" t="str">
        <f t="shared" ca="1" si="39"/>
        <v/>
      </c>
    </row>
    <row r="1231" spans="1:9" ht="13.8">
      <c r="A1231" s="20">
        <f t="shared" ca="1" si="38"/>
        <v>43052</v>
      </c>
      <c r="B1231" s="21" t="str">
        <f ca="1"/>
        <v>2017-11-13</v>
      </c>
      <c r="C1231" s="22">
        <f ca="1"/>
        <v>83.660004000000001</v>
      </c>
      <c r="D1231" s="22">
        <f ca="1"/>
        <v>83.940002000000007</v>
      </c>
      <c r="E1231" s="22">
        <f ca="1"/>
        <v>83.459998999999996</v>
      </c>
      <c r="F1231" s="22">
        <f ca="1"/>
        <v>83.93</v>
      </c>
      <c r="G1231" s="22">
        <f ca="1"/>
        <v>78.643187999999995</v>
      </c>
      <c r="H1231" s="69">
        <f ca="1"/>
        <v>14196900</v>
      </c>
      <c r="I1231" s="23" t="str">
        <f t="shared" ca="1" si="39"/>
        <v/>
      </c>
    </row>
    <row r="1232" spans="1:9" ht="13.8">
      <c r="A1232" s="20">
        <f t="shared" ca="1" si="38"/>
        <v>43053</v>
      </c>
      <c r="B1232" s="21" t="str">
        <f ca="1"/>
        <v>2017-11-14</v>
      </c>
      <c r="C1232" s="22">
        <f ca="1"/>
        <v>83.5</v>
      </c>
      <c r="D1232" s="22">
        <f ca="1"/>
        <v>84.099997999999999</v>
      </c>
      <c r="E1232" s="22">
        <f ca="1"/>
        <v>82.980002999999996</v>
      </c>
      <c r="F1232" s="22">
        <f ca="1"/>
        <v>84.050003000000004</v>
      </c>
      <c r="G1232" s="22">
        <f ca="1"/>
        <v>78.755623</v>
      </c>
      <c r="H1232" s="69">
        <f ca="1"/>
        <v>18801300</v>
      </c>
      <c r="I1232" s="23" t="str">
        <f t="shared" ca="1" si="39"/>
        <v/>
      </c>
    </row>
    <row r="1233" spans="1:9" ht="13.8">
      <c r="A1233" s="20">
        <f t="shared" ca="1" si="38"/>
        <v>43054</v>
      </c>
      <c r="B1233" s="21" t="str">
        <f ca="1"/>
        <v>2017-11-15</v>
      </c>
      <c r="C1233" s="22">
        <f ca="1"/>
        <v>83.470000999999996</v>
      </c>
      <c r="D1233" s="22">
        <f ca="1"/>
        <v>83.690002000000007</v>
      </c>
      <c r="E1233" s="22">
        <f ca="1"/>
        <v>82.690002000000007</v>
      </c>
      <c r="F1233" s="22">
        <f ca="1"/>
        <v>82.980002999999996</v>
      </c>
      <c r="G1233" s="22">
        <f ca="1"/>
        <v>78.143485999999996</v>
      </c>
      <c r="H1233" s="69">
        <f ca="1"/>
        <v>19383100</v>
      </c>
      <c r="I1233" s="23">
        <f t="shared" ca="1" si="39"/>
        <v>0.42</v>
      </c>
    </row>
    <row r="1234" spans="1:9" ht="13.8">
      <c r="A1234" s="20">
        <f t="shared" ca="1" si="38"/>
        <v>43055</v>
      </c>
      <c r="B1234" s="21" t="str">
        <f ca="1"/>
        <v>2017-11-16</v>
      </c>
      <c r="C1234" s="22">
        <f ca="1"/>
        <v>83.099997999999999</v>
      </c>
      <c r="D1234" s="22">
        <f ca="1"/>
        <v>83.419998000000007</v>
      </c>
      <c r="E1234" s="22">
        <f ca="1"/>
        <v>82.940002000000007</v>
      </c>
      <c r="F1234" s="22">
        <f ca="1"/>
        <v>83.199996999999996</v>
      </c>
      <c r="G1234" s="22">
        <f ca="1"/>
        <v>78.350677000000005</v>
      </c>
      <c r="H1234" s="69">
        <f ca="1"/>
        <v>20962800</v>
      </c>
      <c r="I1234" s="23" t="str">
        <f t="shared" ca="1" si="39"/>
        <v/>
      </c>
    </row>
    <row r="1235" spans="1:9" ht="13.8">
      <c r="A1235" s="20">
        <f t="shared" ca="1" si="38"/>
        <v>43056</v>
      </c>
      <c r="B1235" s="21" t="str">
        <f ca="1"/>
        <v>2017-11-17</v>
      </c>
      <c r="C1235" s="22">
        <f ca="1"/>
        <v>83.120002999999997</v>
      </c>
      <c r="D1235" s="22">
        <f ca="1"/>
        <v>83.120002999999997</v>
      </c>
      <c r="E1235" s="22">
        <f ca="1"/>
        <v>82.239998</v>
      </c>
      <c r="F1235" s="22">
        <f ca="1"/>
        <v>82.400002000000001</v>
      </c>
      <c r="G1235" s="22">
        <f ca="1"/>
        <v>77.597313</v>
      </c>
      <c r="H1235" s="69">
        <f ca="1"/>
        <v>22079000</v>
      </c>
      <c r="I1235" s="23" t="str">
        <f t="shared" ca="1" si="39"/>
        <v/>
      </c>
    </row>
    <row r="1236" spans="1:9" ht="13.8">
      <c r="A1236" s="20">
        <f t="shared" ca="1" si="38"/>
        <v>43059</v>
      </c>
      <c r="B1236" s="21" t="str">
        <f ca="1"/>
        <v>2017-11-20</v>
      </c>
      <c r="C1236" s="22">
        <f ca="1"/>
        <v>82.400002000000001</v>
      </c>
      <c r="D1236" s="22">
        <f ca="1"/>
        <v>82.589995999999999</v>
      </c>
      <c r="E1236" s="22">
        <f ca="1"/>
        <v>82.25</v>
      </c>
      <c r="F1236" s="22">
        <f ca="1"/>
        <v>82.529999000000004</v>
      </c>
      <c r="G1236" s="22">
        <f ca="1"/>
        <v>77.719741999999997</v>
      </c>
      <c r="H1236" s="69">
        <f ca="1"/>
        <v>16315000</v>
      </c>
      <c r="I1236" s="23" t="str">
        <f t="shared" ca="1" si="39"/>
        <v/>
      </c>
    </row>
    <row r="1237" spans="1:9" ht="13.8">
      <c r="A1237" s="20">
        <f t="shared" ca="1" si="38"/>
        <v>43060</v>
      </c>
      <c r="B1237" s="21" t="str">
        <f ca="1"/>
        <v>2017-11-21</v>
      </c>
      <c r="C1237" s="22">
        <f ca="1"/>
        <v>82.739998</v>
      </c>
      <c r="D1237" s="22">
        <f ca="1"/>
        <v>83.839995999999999</v>
      </c>
      <c r="E1237" s="22">
        <f ca="1"/>
        <v>82.739998</v>
      </c>
      <c r="F1237" s="22">
        <f ca="1"/>
        <v>83.720000999999996</v>
      </c>
      <c r="G1237" s="22">
        <f ca="1"/>
        <v>78.840362999999996</v>
      </c>
      <c r="H1237" s="69">
        <f ca="1"/>
        <v>21237500</v>
      </c>
      <c r="I1237" s="23" t="str">
        <f t="shared" ca="1" si="39"/>
        <v/>
      </c>
    </row>
    <row r="1238" spans="1:9" ht="13.8">
      <c r="A1238" s="20">
        <f t="shared" ca="1" si="38"/>
        <v>43061</v>
      </c>
      <c r="B1238" s="21" t="str">
        <f ca="1"/>
        <v>2017-11-22</v>
      </c>
      <c r="C1238" s="22">
        <f ca="1"/>
        <v>83.830001999999993</v>
      </c>
      <c r="D1238" s="22">
        <f ca="1"/>
        <v>83.900002000000001</v>
      </c>
      <c r="E1238" s="22">
        <f ca="1"/>
        <v>83.040001000000004</v>
      </c>
      <c r="F1238" s="22">
        <f ca="1"/>
        <v>83.110000999999997</v>
      </c>
      <c r="G1238" s="22">
        <f ca="1"/>
        <v>78.265906999999999</v>
      </c>
      <c r="H1238" s="69">
        <f ca="1"/>
        <v>20553100</v>
      </c>
      <c r="I1238" s="23" t="str">
        <f t="shared" ca="1" si="39"/>
        <v/>
      </c>
    </row>
    <row r="1239" spans="1:9" ht="13.8">
      <c r="A1239" s="20">
        <f t="shared" ca="1" si="38"/>
        <v>43063</v>
      </c>
      <c r="B1239" s="21" t="str">
        <f ca="1"/>
        <v>2017-11-24</v>
      </c>
      <c r="C1239" s="22">
        <f ca="1"/>
        <v>83.010002</v>
      </c>
      <c r="D1239" s="22">
        <f ca="1"/>
        <v>83.43</v>
      </c>
      <c r="E1239" s="22">
        <f ca="1"/>
        <v>82.779999000000004</v>
      </c>
      <c r="F1239" s="22">
        <f ca="1"/>
        <v>83.260002</v>
      </c>
      <c r="G1239" s="22">
        <f ca="1"/>
        <v>78.407195999999999</v>
      </c>
      <c r="H1239" s="69">
        <f ca="1"/>
        <v>7425600</v>
      </c>
      <c r="I1239" s="23" t="str">
        <f t="shared" ca="1" si="39"/>
        <v/>
      </c>
    </row>
    <row r="1240" spans="1:9" ht="13.8">
      <c r="A1240" s="20">
        <f t="shared" ca="1" si="38"/>
        <v>43066</v>
      </c>
      <c r="B1240" s="21" t="str">
        <f ca="1"/>
        <v>2017-11-27</v>
      </c>
      <c r="C1240" s="22">
        <f ca="1"/>
        <v>83.309997999999993</v>
      </c>
      <c r="D1240" s="22">
        <f ca="1"/>
        <v>83.980002999999996</v>
      </c>
      <c r="E1240" s="22">
        <f ca="1"/>
        <v>83.300003000000004</v>
      </c>
      <c r="F1240" s="22">
        <f ca="1"/>
        <v>83.870002999999997</v>
      </c>
      <c r="G1240" s="22">
        <f ca="1"/>
        <v>78.981635999999995</v>
      </c>
      <c r="H1240" s="69">
        <f ca="1"/>
        <v>18265200</v>
      </c>
      <c r="I1240" s="23" t="str">
        <f t="shared" ca="1" si="39"/>
        <v/>
      </c>
    </row>
    <row r="1241" spans="1:9" ht="13.8">
      <c r="A1241" s="20">
        <f t="shared" ca="1" si="38"/>
        <v>43067</v>
      </c>
      <c r="B1241" s="21" t="str">
        <f ca="1"/>
        <v>2017-11-28</v>
      </c>
      <c r="C1241" s="22">
        <f ca="1"/>
        <v>84.07</v>
      </c>
      <c r="D1241" s="22">
        <f ca="1"/>
        <v>85.059997999999993</v>
      </c>
      <c r="E1241" s="22">
        <f ca="1"/>
        <v>84.019997000000004</v>
      </c>
      <c r="F1241" s="22">
        <f ca="1"/>
        <v>84.879997000000003</v>
      </c>
      <c r="G1241" s="22">
        <f ca="1"/>
        <v>79.932755</v>
      </c>
      <c r="H1241" s="69">
        <f ca="1"/>
        <v>21926000</v>
      </c>
      <c r="I1241" s="23" t="str">
        <f t="shared" ca="1" si="39"/>
        <v/>
      </c>
    </row>
    <row r="1242" spans="1:9" ht="13.8">
      <c r="A1242" s="20">
        <f t="shared" ca="1" si="38"/>
        <v>43068</v>
      </c>
      <c r="B1242" s="21" t="str">
        <f ca="1"/>
        <v>2017-11-29</v>
      </c>
      <c r="C1242" s="22">
        <f ca="1"/>
        <v>84.709998999999996</v>
      </c>
      <c r="D1242" s="22">
        <f ca="1"/>
        <v>84.919998000000007</v>
      </c>
      <c r="E1242" s="22">
        <f ca="1"/>
        <v>83.18</v>
      </c>
      <c r="F1242" s="22">
        <f ca="1"/>
        <v>83.339995999999999</v>
      </c>
      <c r="G1242" s="22">
        <f ca="1"/>
        <v>78.482512999999997</v>
      </c>
      <c r="H1242" s="69">
        <f ca="1"/>
        <v>27381100</v>
      </c>
      <c r="I1242" s="23" t="str">
        <f t="shared" ca="1" si="39"/>
        <v/>
      </c>
    </row>
    <row r="1243" spans="1:9" ht="13.8">
      <c r="A1243" s="20">
        <f t="shared" ca="1" si="38"/>
        <v>43069</v>
      </c>
      <c r="B1243" s="21" t="str">
        <f ca="1"/>
        <v>2017-11-30</v>
      </c>
      <c r="C1243" s="22">
        <f ca="1"/>
        <v>83.510002</v>
      </c>
      <c r="D1243" s="22">
        <f ca="1"/>
        <v>84.519997000000004</v>
      </c>
      <c r="E1243" s="22">
        <f ca="1"/>
        <v>83.339995999999999</v>
      </c>
      <c r="F1243" s="22">
        <f ca="1"/>
        <v>84.169998000000007</v>
      </c>
      <c r="G1243" s="22">
        <f ca="1"/>
        <v>79.264144999999999</v>
      </c>
      <c r="H1243" s="69">
        <f ca="1"/>
        <v>33054600</v>
      </c>
      <c r="I1243" s="23" t="str">
        <f t="shared" ca="1" si="39"/>
        <v/>
      </c>
    </row>
    <row r="1244" spans="1:9" ht="13.8">
      <c r="A1244" s="20">
        <f t="shared" ca="1" si="38"/>
        <v>43070</v>
      </c>
      <c r="B1244" s="21" t="str">
        <f ca="1"/>
        <v>2017-12-01</v>
      </c>
      <c r="C1244" s="22">
        <f ca="1"/>
        <v>83.599997999999999</v>
      </c>
      <c r="D1244" s="22">
        <f ca="1"/>
        <v>84.809997999999993</v>
      </c>
      <c r="E1244" s="22">
        <f ca="1"/>
        <v>83.220000999999996</v>
      </c>
      <c r="F1244" s="22">
        <f ca="1"/>
        <v>84.260002</v>
      </c>
      <c r="G1244" s="22">
        <f ca="1"/>
        <v>79.3489</v>
      </c>
      <c r="H1244" s="69">
        <f ca="1"/>
        <v>29532100</v>
      </c>
      <c r="I1244" s="23" t="str">
        <f t="shared" ca="1" si="39"/>
        <v/>
      </c>
    </row>
    <row r="1245" spans="1:9" ht="13.8">
      <c r="A1245" s="20">
        <f t="shared" ca="1" si="38"/>
        <v>43073</v>
      </c>
      <c r="B1245" s="21" t="str">
        <f ca="1"/>
        <v>2017-12-04</v>
      </c>
      <c r="C1245" s="22">
        <f ca="1"/>
        <v>84.419998000000007</v>
      </c>
      <c r="D1245" s="22">
        <f ca="1"/>
        <v>84.43</v>
      </c>
      <c r="E1245" s="22">
        <f ca="1"/>
        <v>80.699996999999996</v>
      </c>
      <c r="F1245" s="22">
        <f ca="1"/>
        <v>81.080001999999993</v>
      </c>
      <c r="G1245" s="22">
        <f ca="1"/>
        <v>76.354240000000004</v>
      </c>
      <c r="H1245" s="69">
        <f ca="1"/>
        <v>39094900</v>
      </c>
      <c r="I1245" s="23" t="str">
        <f t="shared" ca="1" si="39"/>
        <v/>
      </c>
    </row>
    <row r="1246" spans="1:9" ht="13.8">
      <c r="A1246" s="20">
        <f t="shared" ca="1" si="38"/>
        <v>43074</v>
      </c>
      <c r="B1246" s="21" t="str">
        <f ca="1"/>
        <v>2017-12-05</v>
      </c>
      <c r="C1246" s="22">
        <f ca="1"/>
        <v>81.339995999999999</v>
      </c>
      <c r="D1246" s="22">
        <f ca="1"/>
        <v>82.68</v>
      </c>
      <c r="E1246" s="22">
        <f ca="1"/>
        <v>80.980002999999996</v>
      </c>
      <c r="F1246" s="22">
        <f ca="1"/>
        <v>81.589995999999999</v>
      </c>
      <c r="G1246" s="22">
        <f ca="1"/>
        <v>76.834525999999997</v>
      </c>
      <c r="H1246" s="69">
        <f ca="1"/>
        <v>26152300</v>
      </c>
      <c r="I1246" s="23" t="str">
        <f t="shared" ca="1" si="39"/>
        <v/>
      </c>
    </row>
    <row r="1247" spans="1:9" ht="13.8">
      <c r="A1247" s="20">
        <f t="shared" ca="1" si="38"/>
        <v>43075</v>
      </c>
      <c r="B1247" s="21" t="str">
        <f ca="1"/>
        <v>2017-12-06</v>
      </c>
      <c r="C1247" s="22">
        <f ca="1"/>
        <v>81.550003000000004</v>
      </c>
      <c r="D1247" s="22">
        <f ca="1"/>
        <v>83.139999000000003</v>
      </c>
      <c r="E1247" s="22">
        <f ca="1"/>
        <v>81.430000000000007</v>
      </c>
      <c r="F1247" s="22">
        <f ca="1"/>
        <v>82.779999000000004</v>
      </c>
      <c r="G1247" s="22">
        <f ca="1"/>
        <v>77.955139000000003</v>
      </c>
      <c r="H1247" s="69">
        <f ca="1"/>
        <v>26162100</v>
      </c>
      <c r="I1247" s="23" t="str">
        <f t="shared" ca="1" si="39"/>
        <v/>
      </c>
    </row>
    <row r="1248" spans="1:9" ht="13.8">
      <c r="A1248" s="20">
        <f t="shared" ca="1" si="38"/>
        <v>43076</v>
      </c>
      <c r="B1248" s="21" t="str">
        <f ca="1"/>
        <v>2017-12-07</v>
      </c>
      <c r="C1248" s="22">
        <f ca="1"/>
        <v>82.540001000000004</v>
      </c>
      <c r="D1248" s="22">
        <f ca="1"/>
        <v>82.800003000000004</v>
      </c>
      <c r="E1248" s="22">
        <f ca="1"/>
        <v>82</v>
      </c>
      <c r="F1248" s="22">
        <f ca="1"/>
        <v>82.489998</v>
      </c>
      <c r="G1248" s="22">
        <f ca="1"/>
        <v>77.682075999999995</v>
      </c>
      <c r="H1248" s="69">
        <f ca="1"/>
        <v>23184500</v>
      </c>
      <c r="I1248" s="23" t="str">
        <f t="shared" ca="1" si="39"/>
        <v/>
      </c>
    </row>
    <row r="1249" spans="1:9" ht="13.8">
      <c r="A1249" s="20">
        <f t="shared" ca="1" si="38"/>
        <v>43077</v>
      </c>
      <c r="B1249" s="21" t="str">
        <f ca="1"/>
        <v>2017-12-08</v>
      </c>
      <c r="C1249" s="22">
        <f ca="1"/>
        <v>83.629997000000003</v>
      </c>
      <c r="D1249" s="22">
        <f ca="1"/>
        <v>84.580001999999993</v>
      </c>
      <c r="E1249" s="22">
        <f ca="1"/>
        <v>83.330001999999993</v>
      </c>
      <c r="F1249" s="22">
        <f ca="1"/>
        <v>84.160004000000001</v>
      </c>
      <c r="G1249" s="22">
        <f ca="1"/>
        <v>79.254729999999995</v>
      </c>
      <c r="H1249" s="69">
        <f ca="1"/>
        <v>24489100</v>
      </c>
      <c r="I1249" s="23" t="str">
        <f t="shared" ca="1" si="39"/>
        <v/>
      </c>
    </row>
    <row r="1250" spans="1:9" ht="13.8">
      <c r="A1250" s="20">
        <f t="shared" ca="1" si="38"/>
        <v>43080</v>
      </c>
      <c r="B1250" s="21" t="str">
        <f ca="1"/>
        <v>2017-12-11</v>
      </c>
      <c r="C1250" s="22">
        <f ca="1"/>
        <v>84.290001000000004</v>
      </c>
      <c r="D1250" s="22">
        <f ca="1"/>
        <v>85.370002999999997</v>
      </c>
      <c r="E1250" s="22">
        <f ca="1"/>
        <v>84.120002999999997</v>
      </c>
      <c r="F1250" s="22">
        <f ca="1"/>
        <v>85.230002999999996</v>
      </c>
      <c r="G1250" s="22">
        <f ca="1"/>
        <v>80.262366999999998</v>
      </c>
      <c r="H1250" s="69">
        <f ca="1"/>
        <v>22857900</v>
      </c>
      <c r="I1250" s="23" t="str">
        <f t="shared" ca="1" si="39"/>
        <v/>
      </c>
    </row>
    <row r="1251" spans="1:9" ht="13.8">
      <c r="A1251" s="20">
        <f t="shared" ca="1" si="38"/>
        <v>43081</v>
      </c>
      <c r="B1251" s="21" t="str">
        <f ca="1"/>
        <v>2017-12-12</v>
      </c>
      <c r="C1251" s="22">
        <f ca="1"/>
        <v>85.309997999999993</v>
      </c>
      <c r="D1251" s="22">
        <f ca="1"/>
        <v>86.050003000000004</v>
      </c>
      <c r="E1251" s="22">
        <f ca="1"/>
        <v>85.080001999999993</v>
      </c>
      <c r="F1251" s="22">
        <f ca="1"/>
        <v>85.580001999999993</v>
      </c>
      <c r="G1251" s="22">
        <f ca="1"/>
        <v>80.591956999999994</v>
      </c>
      <c r="H1251" s="69">
        <f ca="1"/>
        <v>23924100</v>
      </c>
      <c r="I1251" s="23" t="str">
        <f t="shared" ca="1" si="39"/>
        <v/>
      </c>
    </row>
    <row r="1252" spans="1:9" ht="13.8">
      <c r="A1252" s="20">
        <f t="shared" ca="1" si="38"/>
        <v>43082</v>
      </c>
      <c r="B1252" s="21" t="str">
        <f ca="1"/>
        <v>2017-12-13</v>
      </c>
      <c r="C1252" s="22">
        <f ca="1"/>
        <v>85.739998</v>
      </c>
      <c r="D1252" s="22">
        <f ca="1"/>
        <v>86</v>
      </c>
      <c r="E1252" s="22">
        <f ca="1"/>
        <v>85.169998000000007</v>
      </c>
      <c r="F1252" s="22">
        <f ca="1"/>
        <v>85.349997999999999</v>
      </c>
      <c r="G1252" s="22">
        <f ca="1"/>
        <v>80.375350999999995</v>
      </c>
      <c r="H1252" s="69">
        <f ca="1"/>
        <v>22062700</v>
      </c>
      <c r="I1252" s="23" t="str">
        <f t="shared" ca="1" si="39"/>
        <v/>
      </c>
    </row>
    <row r="1253" spans="1:9" ht="13.8">
      <c r="A1253" s="20">
        <f t="shared" ca="1" si="38"/>
        <v>43083</v>
      </c>
      <c r="B1253" s="21" t="str">
        <f ca="1"/>
        <v>2017-12-14</v>
      </c>
      <c r="C1253" s="22">
        <f ca="1"/>
        <v>85.43</v>
      </c>
      <c r="D1253" s="22">
        <f ca="1"/>
        <v>85.870002999999997</v>
      </c>
      <c r="E1253" s="22">
        <f ca="1"/>
        <v>84.529999000000004</v>
      </c>
      <c r="F1253" s="22">
        <f ca="1"/>
        <v>84.690002000000007</v>
      </c>
      <c r="G1253" s="22">
        <f ca="1"/>
        <v>79.753853000000007</v>
      </c>
      <c r="H1253" s="69">
        <f ca="1"/>
        <v>19306000</v>
      </c>
      <c r="I1253" s="23" t="str">
        <f t="shared" ca="1" si="39"/>
        <v/>
      </c>
    </row>
    <row r="1254" spans="1:9" ht="13.8">
      <c r="A1254" s="20">
        <f t="shared" ca="1" si="38"/>
        <v>43084</v>
      </c>
      <c r="B1254" s="21" t="str">
        <f ca="1"/>
        <v>2017-12-15</v>
      </c>
      <c r="C1254" s="22">
        <f ca="1"/>
        <v>85.260002</v>
      </c>
      <c r="D1254" s="22">
        <f ca="1"/>
        <v>87.089995999999999</v>
      </c>
      <c r="E1254" s="22">
        <f ca="1"/>
        <v>84.879997000000003</v>
      </c>
      <c r="F1254" s="22">
        <f ca="1"/>
        <v>86.849997999999999</v>
      </c>
      <c r="G1254" s="22">
        <f ca="1"/>
        <v>81.787941000000004</v>
      </c>
      <c r="H1254" s="69">
        <f ca="1"/>
        <v>53936700</v>
      </c>
      <c r="I1254" s="23" t="str">
        <f t="shared" ca="1" si="39"/>
        <v/>
      </c>
    </row>
    <row r="1255" spans="1:9" ht="13.8">
      <c r="A1255" s="20">
        <f t="shared" ca="1" si="38"/>
        <v>43087</v>
      </c>
      <c r="B1255" s="21" t="str">
        <f ca="1"/>
        <v>2017-12-18</v>
      </c>
      <c r="C1255" s="22">
        <f ca="1"/>
        <v>87.120002999999997</v>
      </c>
      <c r="D1255" s="22">
        <f ca="1"/>
        <v>87.5</v>
      </c>
      <c r="E1255" s="22">
        <f ca="1"/>
        <v>86.230002999999996</v>
      </c>
      <c r="F1255" s="22">
        <f ca="1"/>
        <v>86.379997000000003</v>
      </c>
      <c r="G1255" s="22">
        <f ca="1"/>
        <v>81.345337000000001</v>
      </c>
      <c r="H1255" s="69">
        <f ca="1"/>
        <v>22283800</v>
      </c>
      <c r="I1255" s="23" t="str">
        <f t="shared" ca="1" si="39"/>
        <v/>
      </c>
    </row>
    <row r="1256" spans="1:9" ht="13.8">
      <c r="A1256" s="20">
        <f t="shared" ca="1" si="38"/>
        <v>43088</v>
      </c>
      <c r="B1256" s="21" t="str">
        <f ca="1"/>
        <v>2017-12-19</v>
      </c>
      <c r="C1256" s="22">
        <f ca="1"/>
        <v>86.349997999999999</v>
      </c>
      <c r="D1256" s="22">
        <f ca="1"/>
        <v>86.349997999999999</v>
      </c>
      <c r="E1256" s="22">
        <f ca="1"/>
        <v>85.269997000000004</v>
      </c>
      <c r="F1256" s="22">
        <f ca="1"/>
        <v>85.830001999999993</v>
      </c>
      <c r="G1256" s="22">
        <f ca="1"/>
        <v>80.827393000000001</v>
      </c>
      <c r="H1256" s="69">
        <f ca="1"/>
        <v>23524800</v>
      </c>
      <c r="I1256" s="23" t="str">
        <f t="shared" ca="1" si="39"/>
        <v/>
      </c>
    </row>
    <row r="1257" spans="1:9" ht="13.8">
      <c r="A1257" s="20">
        <f t="shared" ca="1" si="38"/>
        <v>43089</v>
      </c>
      <c r="B1257" s="21" t="str">
        <f ca="1"/>
        <v>2017-12-20</v>
      </c>
      <c r="C1257" s="22">
        <f ca="1"/>
        <v>86.199996999999996</v>
      </c>
      <c r="D1257" s="22">
        <f ca="1"/>
        <v>86.300003000000004</v>
      </c>
      <c r="E1257" s="22">
        <f ca="1"/>
        <v>84.709998999999996</v>
      </c>
      <c r="F1257" s="22">
        <f ca="1"/>
        <v>85.519997000000004</v>
      </c>
      <c r="G1257" s="22">
        <f ca="1"/>
        <v>80.535460999999998</v>
      </c>
      <c r="H1257" s="69">
        <f ca="1"/>
        <v>23674900</v>
      </c>
      <c r="I1257" s="23" t="str">
        <f t="shared" ca="1" si="39"/>
        <v/>
      </c>
    </row>
    <row r="1258" spans="1:9" ht="13.8">
      <c r="A1258" s="20">
        <f t="shared" ca="1" si="38"/>
        <v>43090</v>
      </c>
      <c r="B1258" s="21" t="str">
        <f ca="1"/>
        <v>2017-12-21</v>
      </c>
      <c r="C1258" s="22">
        <f ca="1"/>
        <v>86.050003000000004</v>
      </c>
      <c r="D1258" s="22">
        <f ca="1"/>
        <v>86.099997999999999</v>
      </c>
      <c r="E1258" s="22">
        <f ca="1"/>
        <v>85.400002000000001</v>
      </c>
      <c r="F1258" s="22">
        <f ca="1"/>
        <v>85.5</v>
      </c>
      <c r="G1258" s="22">
        <f ca="1"/>
        <v>80.516632000000001</v>
      </c>
      <c r="H1258" s="69">
        <f ca="1"/>
        <v>17990700</v>
      </c>
      <c r="I1258" s="23" t="str">
        <f t="shared" ca="1" si="39"/>
        <v/>
      </c>
    </row>
    <row r="1259" spans="1:9" ht="13.8">
      <c r="A1259" s="20">
        <f t="shared" ca="1" si="38"/>
        <v>43091</v>
      </c>
      <c r="B1259" s="21" t="str">
        <f ca="1"/>
        <v>2017-12-22</v>
      </c>
      <c r="C1259" s="22">
        <f ca="1"/>
        <v>85.400002000000001</v>
      </c>
      <c r="D1259" s="22">
        <f ca="1"/>
        <v>85.629997000000003</v>
      </c>
      <c r="E1259" s="22">
        <f ca="1"/>
        <v>84.919998000000007</v>
      </c>
      <c r="F1259" s="22">
        <f ca="1"/>
        <v>85.510002</v>
      </c>
      <c r="G1259" s="22">
        <f ca="1"/>
        <v>80.526038999999997</v>
      </c>
      <c r="H1259" s="69">
        <f ca="1"/>
        <v>14145800</v>
      </c>
      <c r="I1259" s="23" t="str">
        <f t="shared" ca="1" si="39"/>
        <v/>
      </c>
    </row>
    <row r="1260" spans="1:9" ht="13.8">
      <c r="A1260" s="20">
        <f t="shared" ca="1" si="38"/>
        <v>43095</v>
      </c>
      <c r="B1260" s="21" t="str">
        <f ca="1"/>
        <v>2017-12-26</v>
      </c>
      <c r="C1260" s="22">
        <f ca="1"/>
        <v>85.309997999999993</v>
      </c>
      <c r="D1260" s="22">
        <f ca="1"/>
        <v>85.529999000000004</v>
      </c>
      <c r="E1260" s="22">
        <f ca="1"/>
        <v>85.029999000000004</v>
      </c>
      <c r="F1260" s="22">
        <f ca="1"/>
        <v>85.400002000000001</v>
      </c>
      <c r="G1260" s="22">
        <f ca="1"/>
        <v>80.422454999999999</v>
      </c>
      <c r="H1260" s="69">
        <f ca="1"/>
        <v>9891200</v>
      </c>
      <c r="I1260" s="23" t="str">
        <f t="shared" ca="1" si="39"/>
        <v/>
      </c>
    </row>
    <row r="1261" spans="1:9" ht="13.8">
      <c r="A1261" s="20">
        <f t="shared" ca="1" si="38"/>
        <v>43096</v>
      </c>
      <c r="B1261" s="21" t="str">
        <f ca="1"/>
        <v>2017-12-27</v>
      </c>
      <c r="C1261" s="22">
        <f ca="1"/>
        <v>85.650002000000001</v>
      </c>
      <c r="D1261" s="22">
        <f ca="1"/>
        <v>85.980002999999996</v>
      </c>
      <c r="E1261" s="22">
        <f ca="1"/>
        <v>85.220000999999996</v>
      </c>
      <c r="F1261" s="22">
        <f ca="1"/>
        <v>85.709998999999996</v>
      </c>
      <c r="G1261" s="22">
        <f ca="1"/>
        <v>80.714393999999999</v>
      </c>
      <c r="H1261" s="69">
        <f ca="1"/>
        <v>14678000</v>
      </c>
      <c r="I1261" s="23" t="str">
        <f t="shared" ca="1" si="39"/>
        <v/>
      </c>
    </row>
    <row r="1262" spans="1:9" ht="13.8">
      <c r="A1262" s="20">
        <f t="shared" ca="1" si="38"/>
        <v>43097</v>
      </c>
      <c r="B1262" s="21" t="str">
        <f ca="1"/>
        <v>2017-12-28</v>
      </c>
      <c r="C1262" s="22">
        <f ca="1"/>
        <v>85.900002000000001</v>
      </c>
      <c r="D1262" s="22">
        <f ca="1"/>
        <v>85.93</v>
      </c>
      <c r="E1262" s="22">
        <f ca="1"/>
        <v>85.550003000000004</v>
      </c>
      <c r="F1262" s="22">
        <f ca="1"/>
        <v>85.720000999999996</v>
      </c>
      <c r="G1262" s="22">
        <f ca="1"/>
        <v>80.723808000000005</v>
      </c>
      <c r="H1262" s="69">
        <f ca="1"/>
        <v>10594300</v>
      </c>
      <c r="I1262" s="23" t="str">
        <f t="shared" ca="1" si="39"/>
        <v/>
      </c>
    </row>
    <row r="1263" spans="1:9" ht="13.8">
      <c r="A1263" s="20">
        <f t="shared" ca="1" si="38"/>
        <v>43098</v>
      </c>
      <c r="B1263" s="21" t="str">
        <f ca="1"/>
        <v>2017-12-29</v>
      </c>
      <c r="C1263" s="22">
        <f ca="1"/>
        <v>85.629997000000003</v>
      </c>
      <c r="D1263" s="22">
        <f ca="1"/>
        <v>86.050003000000004</v>
      </c>
      <c r="E1263" s="22">
        <f ca="1"/>
        <v>85.5</v>
      </c>
      <c r="F1263" s="22">
        <f ca="1"/>
        <v>85.540001000000004</v>
      </c>
      <c r="G1263" s="22">
        <f ca="1"/>
        <v>80.554291000000006</v>
      </c>
      <c r="H1263" s="69">
        <f ca="1"/>
        <v>18717400</v>
      </c>
      <c r="I1263" s="23" t="str">
        <f t="shared" ca="1" si="39"/>
        <v/>
      </c>
    </row>
    <row r="1264" spans="1:9" ht="13.8">
      <c r="A1264" s="20">
        <f t="shared" ca="1" si="38"/>
        <v>43102</v>
      </c>
      <c r="B1264" s="21" t="str">
        <f ca="1"/>
        <v>2018-01-02</v>
      </c>
      <c r="C1264" s="22">
        <f ca="1"/>
        <v>86.129997000000003</v>
      </c>
      <c r="D1264" s="22">
        <f ca="1"/>
        <v>86.309997999999993</v>
      </c>
      <c r="E1264" s="22">
        <f ca="1"/>
        <v>85.5</v>
      </c>
      <c r="F1264" s="22">
        <f ca="1"/>
        <v>85.949996999999996</v>
      </c>
      <c r="G1264" s="22">
        <f ca="1"/>
        <v>80.940383999999995</v>
      </c>
      <c r="H1264" s="69">
        <f ca="1"/>
        <v>22483800</v>
      </c>
      <c r="I1264" s="23" t="str">
        <f t="shared" ca="1" si="39"/>
        <v/>
      </c>
    </row>
    <row r="1265" spans="1:9" ht="13.8">
      <c r="A1265" s="20">
        <f t="shared" ca="1" si="38"/>
        <v>43103</v>
      </c>
      <c r="B1265" s="21" t="str">
        <f ca="1"/>
        <v>2018-01-03</v>
      </c>
      <c r="C1265" s="22">
        <f ca="1"/>
        <v>86.059997999999993</v>
      </c>
      <c r="D1265" s="22">
        <f ca="1"/>
        <v>86.510002</v>
      </c>
      <c r="E1265" s="22">
        <f ca="1"/>
        <v>85.970000999999996</v>
      </c>
      <c r="F1265" s="22">
        <f ca="1"/>
        <v>86.349997999999999</v>
      </c>
      <c r="G1265" s="22">
        <f ca="1"/>
        <v>81.317070000000001</v>
      </c>
      <c r="H1265" s="69">
        <f ca="1"/>
        <v>26061400</v>
      </c>
      <c r="I1265" s="23" t="str">
        <f t="shared" ca="1" si="39"/>
        <v/>
      </c>
    </row>
    <row r="1266" spans="1:9" ht="13.8">
      <c r="A1266" s="20">
        <f t="shared" ca="1" si="38"/>
        <v>43104</v>
      </c>
      <c r="B1266" s="21" t="str">
        <f ca="1"/>
        <v>2018-01-04</v>
      </c>
      <c r="C1266" s="22">
        <f ca="1"/>
        <v>86.589995999999999</v>
      </c>
      <c r="D1266" s="22">
        <f ca="1"/>
        <v>87.660004000000001</v>
      </c>
      <c r="E1266" s="22">
        <f ca="1"/>
        <v>86.57</v>
      </c>
      <c r="F1266" s="22">
        <f ca="1"/>
        <v>87.110000999999997</v>
      </c>
      <c r="G1266" s="22">
        <f ca="1"/>
        <v>82.032791000000003</v>
      </c>
      <c r="H1266" s="69">
        <f ca="1"/>
        <v>21912000</v>
      </c>
      <c r="I1266" s="23" t="str">
        <f t="shared" ca="1" si="39"/>
        <v/>
      </c>
    </row>
    <row r="1267" spans="1:9" ht="13.8">
      <c r="A1267" s="20">
        <f t="shared" ca="1" si="38"/>
        <v>43105</v>
      </c>
      <c r="B1267" s="21" t="str">
        <f ca="1"/>
        <v>2018-01-05</v>
      </c>
      <c r="C1267" s="22">
        <f ca="1"/>
        <v>87.660004000000001</v>
      </c>
      <c r="D1267" s="22">
        <f ca="1"/>
        <v>88.410004000000001</v>
      </c>
      <c r="E1267" s="22">
        <f ca="1"/>
        <v>87.43</v>
      </c>
      <c r="F1267" s="22">
        <f ca="1"/>
        <v>88.190002000000007</v>
      </c>
      <c r="G1267" s="22">
        <f ca="1"/>
        <v>83.049842999999996</v>
      </c>
      <c r="H1267" s="69">
        <f ca="1"/>
        <v>23407100</v>
      </c>
      <c r="I1267" s="23" t="str">
        <f t="shared" ca="1" si="39"/>
        <v/>
      </c>
    </row>
    <row r="1268" spans="1:9" ht="13.8">
      <c r="A1268" s="20">
        <f t="shared" ca="1" si="38"/>
        <v>43108</v>
      </c>
      <c r="B1268" s="21" t="str">
        <f ca="1"/>
        <v>2018-01-08</v>
      </c>
      <c r="C1268" s="22">
        <f ca="1"/>
        <v>88.199996999999996</v>
      </c>
      <c r="D1268" s="22">
        <f ca="1"/>
        <v>88.580001999999993</v>
      </c>
      <c r="E1268" s="22">
        <f ca="1"/>
        <v>87.599997999999999</v>
      </c>
      <c r="F1268" s="22">
        <f ca="1"/>
        <v>88.279999000000004</v>
      </c>
      <c r="G1268" s="22">
        <f ca="1"/>
        <v>83.134583000000006</v>
      </c>
      <c r="H1268" s="69">
        <f ca="1"/>
        <v>22113000</v>
      </c>
      <c r="I1268" s="23" t="str">
        <f t="shared" ca="1" si="39"/>
        <v/>
      </c>
    </row>
    <row r="1269" spans="1:9" ht="13.8">
      <c r="A1269" s="20">
        <f t="shared" ca="1" si="38"/>
        <v>43109</v>
      </c>
      <c r="B1269" s="21" t="str">
        <f ca="1"/>
        <v>2018-01-09</v>
      </c>
      <c r="C1269" s="22">
        <f ca="1"/>
        <v>88.650002000000001</v>
      </c>
      <c r="D1269" s="22">
        <f ca="1"/>
        <v>88.730002999999996</v>
      </c>
      <c r="E1269" s="22">
        <f ca="1"/>
        <v>87.860000999999997</v>
      </c>
      <c r="F1269" s="22">
        <f ca="1"/>
        <v>88.220000999999996</v>
      </c>
      <c r="G1269" s="22">
        <f ca="1"/>
        <v>83.078102000000001</v>
      </c>
      <c r="H1269" s="69">
        <f ca="1"/>
        <v>19484300</v>
      </c>
      <c r="I1269" s="23" t="str">
        <f t="shared" ca="1" si="39"/>
        <v/>
      </c>
    </row>
    <row r="1270" spans="1:9" ht="13.8">
      <c r="A1270" s="20">
        <f t="shared" ca="1" si="38"/>
        <v>43110</v>
      </c>
      <c r="B1270" s="21" t="str">
        <f ca="1"/>
        <v>2018-01-10</v>
      </c>
      <c r="C1270" s="22">
        <f ca="1"/>
        <v>87.860000999999997</v>
      </c>
      <c r="D1270" s="22">
        <f ca="1"/>
        <v>88.190002000000007</v>
      </c>
      <c r="E1270" s="22">
        <f ca="1"/>
        <v>87.410004000000001</v>
      </c>
      <c r="F1270" s="22">
        <f ca="1"/>
        <v>87.82</v>
      </c>
      <c r="G1270" s="22">
        <f ca="1"/>
        <v>82.701401000000004</v>
      </c>
      <c r="H1270" s="69">
        <f ca="1"/>
        <v>18652200</v>
      </c>
      <c r="I1270" s="23" t="str">
        <f t="shared" ca="1" si="39"/>
        <v/>
      </c>
    </row>
    <row r="1271" spans="1:9" ht="13.8">
      <c r="A1271" s="20">
        <f t="shared" ca="1" si="38"/>
        <v>43111</v>
      </c>
      <c r="B1271" s="21" t="str">
        <f ca="1"/>
        <v>2018-01-11</v>
      </c>
      <c r="C1271" s="22">
        <f ca="1"/>
        <v>88.129997000000003</v>
      </c>
      <c r="D1271" s="22">
        <f ca="1"/>
        <v>88.129997000000003</v>
      </c>
      <c r="E1271" s="22">
        <f ca="1"/>
        <v>87.239998</v>
      </c>
      <c r="F1271" s="22">
        <f ca="1"/>
        <v>88.080001999999993</v>
      </c>
      <c r="G1271" s="22">
        <f ca="1"/>
        <v>82.946251000000004</v>
      </c>
      <c r="H1271" s="69">
        <f ca="1"/>
        <v>17808900</v>
      </c>
      <c r="I1271" s="23" t="str">
        <f t="shared" ca="1" si="39"/>
        <v/>
      </c>
    </row>
    <row r="1272" spans="1:9" ht="13.8">
      <c r="A1272" s="20">
        <f t="shared" ca="1" si="38"/>
        <v>43112</v>
      </c>
      <c r="B1272" s="21" t="str">
        <f ca="1"/>
        <v>2018-01-12</v>
      </c>
      <c r="C1272" s="22">
        <f ca="1"/>
        <v>88.669998000000007</v>
      </c>
      <c r="D1272" s="22">
        <f ca="1"/>
        <v>89.779999000000004</v>
      </c>
      <c r="E1272" s="22">
        <f ca="1"/>
        <v>88.449996999999996</v>
      </c>
      <c r="F1272" s="22">
        <f ca="1"/>
        <v>89.599997999999999</v>
      </c>
      <c r="G1272" s="22">
        <f ca="1"/>
        <v>84.377662999999998</v>
      </c>
      <c r="H1272" s="69">
        <f ca="1"/>
        <v>24271500</v>
      </c>
      <c r="I1272" s="23" t="str">
        <f t="shared" ca="1" si="39"/>
        <v/>
      </c>
    </row>
    <row r="1273" spans="1:9" ht="13.8">
      <c r="A1273" s="20">
        <f t="shared" ca="1" si="38"/>
        <v>43116</v>
      </c>
      <c r="B1273" s="21" t="str">
        <f ca="1"/>
        <v>2018-01-16</v>
      </c>
      <c r="C1273" s="22">
        <f ca="1"/>
        <v>90.099997999999999</v>
      </c>
      <c r="D1273" s="22">
        <f ca="1"/>
        <v>90.790001000000004</v>
      </c>
      <c r="E1273" s="22">
        <f ca="1"/>
        <v>88.010002</v>
      </c>
      <c r="F1273" s="22">
        <f ca="1"/>
        <v>88.349997999999999</v>
      </c>
      <c r="G1273" s="22">
        <f ca="1"/>
        <v>83.200500000000005</v>
      </c>
      <c r="H1273" s="69">
        <f ca="1"/>
        <v>36599700</v>
      </c>
      <c r="I1273" s="23" t="str">
        <f t="shared" ca="1" si="39"/>
        <v/>
      </c>
    </row>
    <row r="1274" spans="1:9" ht="13.8">
      <c r="A1274" s="20">
        <f t="shared" ca="1" si="38"/>
        <v>43117</v>
      </c>
      <c r="B1274" s="21" t="str">
        <f ca="1"/>
        <v>2018-01-17</v>
      </c>
      <c r="C1274" s="22">
        <f ca="1"/>
        <v>89.080001999999993</v>
      </c>
      <c r="D1274" s="22">
        <f ca="1"/>
        <v>90.279999000000004</v>
      </c>
      <c r="E1274" s="22">
        <f ca="1"/>
        <v>88.75</v>
      </c>
      <c r="F1274" s="22">
        <f ca="1"/>
        <v>90.139999000000003</v>
      </c>
      <c r="G1274" s="22">
        <f ca="1"/>
        <v>84.886191999999994</v>
      </c>
      <c r="H1274" s="69">
        <f ca="1"/>
        <v>25621200</v>
      </c>
      <c r="I1274" s="23" t="str">
        <f t="shared" ca="1" si="39"/>
        <v/>
      </c>
    </row>
    <row r="1275" spans="1:9" ht="13.8">
      <c r="A1275" s="20">
        <f t="shared" ca="1" si="38"/>
        <v>43118</v>
      </c>
      <c r="B1275" s="21" t="str">
        <f ca="1"/>
        <v>2018-01-18</v>
      </c>
      <c r="C1275" s="22">
        <f ca="1"/>
        <v>89.800003000000004</v>
      </c>
      <c r="D1275" s="22">
        <f ca="1"/>
        <v>90.669998000000007</v>
      </c>
      <c r="E1275" s="22">
        <f ca="1"/>
        <v>89.660004000000001</v>
      </c>
      <c r="F1275" s="22">
        <f ca="1"/>
        <v>90.099997999999999</v>
      </c>
      <c r="G1275" s="22">
        <f ca="1"/>
        <v>84.848502999999994</v>
      </c>
      <c r="H1275" s="69">
        <f ca="1"/>
        <v>24159700</v>
      </c>
      <c r="I1275" s="23" t="str">
        <f t="shared" ca="1" si="39"/>
        <v/>
      </c>
    </row>
    <row r="1276" spans="1:9" ht="13.8">
      <c r="A1276" s="20">
        <f t="shared" ca="1" si="38"/>
        <v>43119</v>
      </c>
      <c r="B1276" s="21" t="str">
        <f ca="1"/>
        <v>2018-01-19</v>
      </c>
      <c r="C1276" s="22">
        <f ca="1"/>
        <v>90.139999000000003</v>
      </c>
      <c r="D1276" s="22">
        <f ca="1"/>
        <v>90.610000999999997</v>
      </c>
      <c r="E1276" s="22">
        <f ca="1"/>
        <v>89.660004000000001</v>
      </c>
      <c r="F1276" s="22">
        <f ca="1"/>
        <v>90</v>
      </c>
      <c r="G1276" s="22">
        <f ca="1"/>
        <v>84.754333000000003</v>
      </c>
      <c r="H1276" s="69">
        <f ca="1"/>
        <v>36875000</v>
      </c>
      <c r="I1276" s="23" t="str">
        <f t="shared" ca="1" si="39"/>
        <v/>
      </c>
    </row>
    <row r="1277" spans="1:9" ht="13.8">
      <c r="A1277" s="20">
        <f t="shared" ca="1" si="38"/>
        <v>43122</v>
      </c>
      <c r="B1277" s="21" t="str">
        <f ca="1"/>
        <v>2018-01-22</v>
      </c>
      <c r="C1277" s="22">
        <f ca="1"/>
        <v>90</v>
      </c>
      <c r="D1277" s="22">
        <f ca="1"/>
        <v>91.620002999999997</v>
      </c>
      <c r="E1277" s="22">
        <f ca="1"/>
        <v>89.739998</v>
      </c>
      <c r="F1277" s="22">
        <f ca="1"/>
        <v>91.610000999999997</v>
      </c>
      <c r="G1277" s="22">
        <f ca="1"/>
        <v>86.270508000000007</v>
      </c>
      <c r="H1277" s="69">
        <f ca="1"/>
        <v>23601600</v>
      </c>
      <c r="I1277" s="23" t="str">
        <f t="shared" ca="1" si="39"/>
        <v/>
      </c>
    </row>
    <row r="1278" spans="1:9" ht="13.8">
      <c r="A1278" s="20">
        <f t="shared" ca="1" si="38"/>
        <v>43123</v>
      </c>
      <c r="B1278" s="21" t="str">
        <f ca="1"/>
        <v>2018-01-23</v>
      </c>
      <c r="C1278" s="22">
        <f ca="1"/>
        <v>91.900002000000001</v>
      </c>
      <c r="D1278" s="22">
        <f ca="1"/>
        <v>92.300003000000004</v>
      </c>
      <c r="E1278" s="22">
        <f ca="1"/>
        <v>91.540001000000004</v>
      </c>
      <c r="F1278" s="22">
        <f ca="1"/>
        <v>91.900002000000001</v>
      </c>
      <c r="G1278" s="22">
        <f ca="1"/>
        <v>86.543602000000007</v>
      </c>
      <c r="H1278" s="69">
        <f ca="1"/>
        <v>23412800</v>
      </c>
      <c r="I1278" s="23" t="str">
        <f t="shared" ca="1" si="39"/>
        <v/>
      </c>
    </row>
    <row r="1279" spans="1:9" ht="13.8">
      <c r="A1279" s="20">
        <f t="shared" ca="1" si="38"/>
        <v>43124</v>
      </c>
      <c r="B1279" s="21" t="str">
        <f ca="1"/>
        <v>2018-01-24</v>
      </c>
      <c r="C1279" s="22">
        <f ca="1"/>
        <v>92.550003000000004</v>
      </c>
      <c r="D1279" s="22">
        <f ca="1"/>
        <v>93.43</v>
      </c>
      <c r="E1279" s="22">
        <f ca="1"/>
        <v>91.580001999999993</v>
      </c>
      <c r="F1279" s="22">
        <f ca="1"/>
        <v>91.82</v>
      </c>
      <c r="G1279" s="22">
        <f ca="1"/>
        <v>86.468254000000002</v>
      </c>
      <c r="H1279" s="69">
        <f ca="1"/>
        <v>33277500</v>
      </c>
      <c r="I1279" s="23" t="str">
        <f t="shared" ca="1" si="39"/>
        <v/>
      </c>
    </row>
    <row r="1280" spans="1:9" ht="13.8">
      <c r="A1280" s="20">
        <f t="shared" ca="1" si="38"/>
        <v>43125</v>
      </c>
      <c r="B1280" s="21" t="str">
        <f ca="1"/>
        <v>2018-01-25</v>
      </c>
      <c r="C1280" s="22">
        <f ca="1"/>
        <v>92.470000999999996</v>
      </c>
      <c r="D1280" s="22">
        <f ca="1"/>
        <v>93.239998</v>
      </c>
      <c r="E1280" s="22">
        <f ca="1"/>
        <v>91.93</v>
      </c>
      <c r="F1280" s="22">
        <f ca="1"/>
        <v>92.330001999999993</v>
      </c>
      <c r="G1280" s="22">
        <f ca="1"/>
        <v>86.948539999999994</v>
      </c>
      <c r="H1280" s="69">
        <f ca="1"/>
        <v>26383200</v>
      </c>
      <c r="I1280" s="23" t="str">
        <f t="shared" ca="1" si="39"/>
        <v/>
      </c>
    </row>
    <row r="1281" spans="1:9" ht="13.8">
      <c r="A1281" s="20">
        <f t="shared" ca="1" si="38"/>
        <v>43126</v>
      </c>
      <c r="B1281" s="21" t="str">
        <f ca="1"/>
        <v>2018-01-26</v>
      </c>
      <c r="C1281" s="22">
        <f ca="1"/>
        <v>93.120002999999997</v>
      </c>
      <c r="D1281" s="22">
        <f ca="1"/>
        <v>94.059997999999993</v>
      </c>
      <c r="E1281" s="22">
        <f ca="1"/>
        <v>92.580001999999993</v>
      </c>
      <c r="F1281" s="22">
        <f ca="1"/>
        <v>94.059997999999993</v>
      </c>
      <c r="G1281" s="22">
        <f ca="1"/>
        <v>88.577690000000004</v>
      </c>
      <c r="H1281" s="69">
        <f ca="1"/>
        <v>29172200</v>
      </c>
      <c r="I1281" s="23" t="str">
        <f t="shared" ca="1" si="39"/>
        <v/>
      </c>
    </row>
    <row r="1282" spans="1:9" ht="13.8">
      <c r="A1282" s="20">
        <f t="shared" ca="1" si="38"/>
        <v>43129</v>
      </c>
      <c r="B1282" s="21" t="str">
        <f ca="1"/>
        <v>2018-01-29</v>
      </c>
      <c r="C1282" s="22">
        <f ca="1"/>
        <v>95.139999000000003</v>
      </c>
      <c r="D1282" s="22">
        <f ca="1"/>
        <v>95.449996999999996</v>
      </c>
      <c r="E1282" s="22">
        <f ca="1"/>
        <v>93.720000999999996</v>
      </c>
      <c r="F1282" s="22">
        <f ca="1"/>
        <v>93.919998000000007</v>
      </c>
      <c r="G1282" s="22">
        <f ca="1"/>
        <v>88.445830999999998</v>
      </c>
      <c r="H1282" s="69">
        <f ca="1"/>
        <v>31569900</v>
      </c>
      <c r="I1282" s="23" t="str">
        <f t="shared" ca="1" si="39"/>
        <v/>
      </c>
    </row>
    <row r="1283" spans="1:9" ht="13.8">
      <c r="A1283" s="20">
        <f t="shared" ca="1" si="38"/>
        <v>43130</v>
      </c>
      <c r="B1283" s="21" t="str">
        <f ca="1"/>
        <v>2018-01-30</v>
      </c>
      <c r="C1283" s="22">
        <f ca="1"/>
        <v>93.300003000000004</v>
      </c>
      <c r="D1283" s="22">
        <f ca="1"/>
        <v>93.660004000000001</v>
      </c>
      <c r="E1283" s="22">
        <f ca="1"/>
        <v>92.099997999999999</v>
      </c>
      <c r="F1283" s="22">
        <f ca="1"/>
        <v>92.739998</v>
      </c>
      <c r="G1283" s="22">
        <f ca="1"/>
        <v>87.334632999999997</v>
      </c>
      <c r="H1283" s="69">
        <f ca="1"/>
        <v>38635100</v>
      </c>
      <c r="I1283" s="23" t="str">
        <f t="shared" ca="1" si="39"/>
        <v/>
      </c>
    </row>
    <row r="1284" spans="1:9" ht="13.8">
      <c r="A1284" s="20">
        <f t="shared" ca="1" si="38"/>
        <v>43131</v>
      </c>
      <c r="B1284" s="21" t="str">
        <f ca="1"/>
        <v>2018-01-31</v>
      </c>
      <c r="C1284" s="22">
        <f ca="1"/>
        <v>93.75</v>
      </c>
      <c r="D1284" s="22">
        <f ca="1"/>
        <v>95.400002000000001</v>
      </c>
      <c r="E1284" s="22">
        <f ca="1"/>
        <v>93.510002</v>
      </c>
      <c r="F1284" s="22">
        <f ca="1"/>
        <v>95.010002</v>
      </c>
      <c r="G1284" s="22">
        <f ca="1"/>
        <v>89.472328000000005</v>
      </c>
      <c r="H1284" s="69">
        <f ca="1"/>
        <v>48756300</v>
      </c>
      <c r="I1284" s="23" t="str">
        <f t="shared" ca="1" si="39"/>
        <v/>
      </c>
    </row>
    <row r="1285" spans="1:9" ht="13.8">
      <c r="A1285" s="20">
        <f t="shared" ca="1" si="38"/>
        <v>43132</v>
      </c>
      <c r="B1285" s="21" t="str">
        <f ca="1"/>
        <v>2018-02-01</v>
      </c>
      <c r="C1285" s="22">
        <f ca="1"/>
        <v>94.790001000000004</v>
      </c>
      <c r="D1285" s="22">
        <f ca="1"/>
        <v>96.07</v>
      </c>
      <c r="E1285" s="22">
        <f ca="1"/>
        <v>93.580001999999993</v>
      </c>
      <c r="F1285" s="22">
        <f ca="1"/>
        <v>94.260002</v>
      </c>
      <c r="G1285" s="22">
        <f ca="1"/>
        <v>88.766029000000003</v>
      </c>
      <c r="H1285" s="69">
        <f ca="1"/>
        <v>47227900</v>
      </c>
      <c r="I1285" s="23" t="str">
        <f t="shared" ca="1" si="39"/>
        <v/>
      </c>
    </row>
    <row r="1286" spans="1:9" ht="13.8">
      <c r="A1286" s="20">
        <f t="shared" ref="A1286:A1349" ca="1" si="40">IFERROR(DATEVALUE($B1286),"--")</f>
        <v>43133</v>
      </c>
      <c r="B1286" s="21" t="str">
        <f ca="1"/>
        <v>2018-02-02</v>
      </c>
      <c r="C1286" s="22">
        <f ca="1"/>
        <v>93.639999000000003</v>
      </c>
      <c r="D1286" s="22">
        <f ca="1"/>
        <v>93.970000999999996</v>
      </c>
      <c r="E1286" s="22">
        <f ca="1"/>
        <v>91.5</v>
      </c>
      <c r="F1286" s="22">
        <f ca="1"/>
        <v>91.779999000000004</v>
      </c>
      <c r="G1286" s="22">
        <f ca="1"/>
        <v>86.430588</v>
      </c>
      <c r="H1286" s="69">
        <f ca="1"/>
        <v>47867800</v>
      </c>
      <c r="I1286" s="23" t="str">
        <f t="shared" ref="I1286:I1349" ca="1" si="41">IFERROR(IF(Ticker&lt;&gt;$Q$2,"",INDEX($P:$P,MATCH($A1286,$O:$O,0))),"")</f>
        <v/>
      </c>
    </row>
    <row r="1287" spans="1:9" ht="13.8">
      <c r="A1287" s="20">
        <f t="shared" ca="1" si="40"/>
        <v>43136</v>
      </c>
      <c r="B1287" s="21" t="str">
        <f ca="1"/>
        <v>2018-02-05</v>
      </c>
      <c r="C1287" s="22">
        <f ca="1"/>
        <v>90.559997999999993</v>
      </c>
      <c r="D1287" s="22">
        <f ca="1"/>
        <v>93.239998</v>
      </c>
      <c r="E1287" s="22">
        <f ca="1"/>
        <v>88</v>
      </c>
      <c r="F1287" s="22">
        <f ca="1"/>
        <v>88</v>
      </c>
      <c r="G1287" s="22">
        <f ca="1"/>
        <v>82.870902999999998</v>
      </c>
      <c r="H1287" s="69">
        <f ca="1"/>
        <v>51031500</v>
      </c>
      <c r="I1287" s="23" t="str">
        <f t="shared" ca="1" si="41"/>
        <v/>
      </c>
    </row>
    <row r="1288" spans="1:9" ht="13.8">
      <c r="A1288" s="20">
        <f t="shared" ca="1" si="40"/>
        <v>43137</v>
      </c>
      <c r="B1288" s="21" t="str">
        <f ca="1"/>
        <v>2018-02-06</v>
      </c>
      <c r="C1288" s="22">
        <f ca="1"/>
        <v>86.889999000000003</v>
      </c>
      <c r="D1288" s="22">
        <f ca="1"/>
        <v>91.480002999999996</v>
      </c>
      <c r="E1288" s="22">
        <f ca="1"/>
        <v>85.25</v>
      </c>
      <c r="F1288" s="22">
        <f ca="1"/>
        <v>91.330001999999993</v>
      </c>
      <c r="G1288" s="22">
        <f ca="1"/>
        <v>86.006821000000002</v>
      </c>
      <c r="H1288" s="69">
        <f ca="1"/>
        <v>67998600</v>
      </c>
      <c r="I1288" s="23" t="str">
        <f t="shared" ca="1" si="41"/>
        <v/>
      </c>
    </row>
    <row r="1289" spans="1:9" ht="13.8">
      <c r="A1289" s="20">
        <f t="shared" ca="1" si="40"/>
        <v>43138</v>
      </c>
      <c r="B1289" s="21" t="str">
        <f ca="1"/>
        <v>2018-02-07</v>
      </c>
      <c r="C1289" s="22">
        <f ca="1"/>
        <v>90.489998</v>
      </c>
      <c r="D1289" s="22">
        <f ca="1"/>
        <v>91.769997000000004</v>
      </c>
      <c r="E1289" s="22">
        <f ca="1"/>
        <v>89.199996999999996</v>
      </c>
      <c r="F1289" s="22">
        <f ca="1"/>
        <v>89.610000999999997</v>
      </c>
      <c r="G1289" s="22">
        <f ca="1"/>
        <v>84.387062</v>
      </c>
      <c r="H1289" s="69">
        <f ca="1"/>
        <v>41107600</v>
      </c>
      <c r="I1289" s="23" t="str">
        <f t="shared" ca="1" si="41"/>
        <v/>
      </c>
    </row>
    <row r="1290" spans="1:9" ht="13.8">
      <c r="A1290" s="20">
        <f t="shared" ca="1" si="40"/>
        <v>43139</v>
      </c>
      <c r="B1290" s="21" t="str">
        <f ca="1"/>
        <v>2018-02-08</v>
      </c>
      <c r="C1290" s="22">
        <f ca="1"/>
        <v>89.709998999999996</v>
      </c>
      <c r="D1290" s="22">
        <f ca="1"/>
        <v>89.879997000000003</v>
      </c>
      <c r="E1290" s="22">
        <f ca="1"/>
        <v>84.760002</v>
      </c>
      <c r="F1290" s="22">
        <f ca="1"/>
        <v>85.010002</v>
      </c>
      <c r="G1290" s="22">
        <f ca="1"/>
        <v>80.055176000000003</v>
      </c>
      <c r="H1290" s="69">
        <f ca="1"/>
        <v>55628700</v>
      </c>
      <c r="I1290" s="23" t="str">
        <f t="shared" ca="1" si="41"/>
        <v/>
      </c>
    </row>
    <row r="1291" spans="1:9" ht="13.8">
      <c r="A1291" s="20">
        <f t="shared" ca="1" si="40"/>
        <v>43140</v>
      </c>
      <c r="B1291" s="21" t="str">
        <f ca="1"/>
        <v>2018-02-09</v>
      </c>
      <c r="C1291" s="22">
        <f ca="1"/>
        <v>86.300003000000004</v>
      </c>
      <c r="D1291" s="22">
        <f ca="1"/>
        <v>88.93</v>
      </c>
      <c r="E1291" s="22">
        <f ca="1"/>
        <v>83.830001999999993</v>
      </c>
      <c r="F1291" s="22">
        <f ca="1"/>
        <v>88.18</v>
      </c>
      <c r="G1291" s="22">
        <f ca="1"/>
        <v>83.040420999999995</v>
      </c>
      <c r="H1291" s="69">
        <f ca="1"/>
        <v>63499100</v>
      </c>
      <c r="I1291" s="23" t="str">
        <f t="shared" ca="1" si="41"/>
        <v/>
      </c>
    </row>
    <row r="1292" spans="1:9" ht="13.8">
      <c r="A1292" s="20">
        <f t="shared" ca="1" si="40"/>
        <v>43143</v>
      </c>
      <c r="B1292" s="21" t="str">
        <f ca="1"/>
        <v>2018-02-12</v>
      </c>
      <c r="C1292" s="22">
        <f ca="1"/>
        <v>88.739998</v>
      </c>
      <c r="D1292" s="22">
        <f ca="1"/>
        <v>89.779999000000004</v>
      </c>
      <c r="E1292" s="22">
        <f ca="1"/>
        <v>87.93</v>
      </c>
      <c r="F1292" s="22">
        <f ca="1"/>
        <v>89.129997000000003</v>
      </c>
      <c r="G1292" s="22">
        <f ca="1"/>
        <v>83.935035999999997</v>
      </c>
      <c r="H1292" s="69">
        <f ca="1"/>
        <v>35720300</v>
      </c>
      <c r="I1292" s="23" t="str">
        <f t="shared" ca="1" si="41"/>
        <v/>
      </c>
    </row>
    <row r="1293" spans="1:9" ht="13.8">
      <c r="A1293" s="20">
        <f t="shared" ca="1" si="40"/>
        <v>43144</v>
      </c>
      <c r="B1293" s="21" t="str">
        <f ca="1"/>
        <v>2018-02-13</v>
      </c>
      <c r="C1293" s="22">
        <f ca="1"/>
        <v>88.93</v>
      </c>
      <c r="D1293" s="22">
        <f ca="1"/>
        <v>90</v>
      </c>
      <c r="E1293" s="22">
        <f ca="1"/>
        <v>87.800003000000004</v>
      </c>
      <c r="F1293" s="22">
        <f ca="1"/>
        <v>89.830001999999993</v>
      </c>
      <c r="G1293" s="22">
        <f ca="1"/>
        <v>84.594245999999998</v>
      </c>
      <c r="H1293" s="69">
        <f ca="1"/>
        <v>26407700</v>
      </c>
      <c r="I1293" s="23" t="str">
        <f t="shared" ca="1" si="41"/>
        <v/>
      </c>
    </row>
    <row r="1294" spans="1:9" ht="13.8">
      <c r="A1294" s="20">
        <f t="shared" ca="1" si="40"/>
        <v>43145</v>
      </c>
      <c r="B1294" s="21" t="str">
        <f ca="1"/>
        <v>2018-02-14</v>
      </c>
      <c r="C1294" s="22">
        <f ca="1"/>
        <v>88.510002</v>
      </c>
      <c r="D1294" s="22">
        <f ca="1"/>
        <v>90.989998</v>
      </c>
      <c r="E1294" s="22">
        <f ca="1"/>
        <v>88.410004000000001</v>
      </c>
      <c r="F1294" s="22">
        <f ca="1"/>
        <v>90.809997999999993</v>
      </c>
      <c r="G1294" s="22">
        <f ca="1"/>
        <v>85.918830999999997</v>
      </c>
      <c r="H1294" s="69">
        <f ca="1"/>
        <v>34960900</v>
      </c>
      <c r="I1294" s="23">
        <f t="shared" ca="1" si="41"/>
        <v>0.42</v>
      </c>
    </row>
    <row r="1295" spans="1:9" ht="13.8">
      <c r="A1295" s="20">
        <f t="shared" ca="1" si="40"/>
        <v>43146</v>
      </c>
      <c r="B1295" s="21" t="str">
        <f ca="1"/>
        <v>2018-02-15</v>
      </c>
      <c r="C1295" s="22">
        <f ca="1"/>
        <v>91.209998999999996</v>
      </c>
      <c r="D1295" s="22">
        <f ca="1"/>
        <v>92.720000999999996</v>
      </c>
      <c r="E1295" s="22">
        <f ca="1"/>
        <v>90.620002999999997</v>
      </c>
      <c r="F1295" s="22">
        <f ca="1"/>
        <v>92.660004000000001</v>
      </c>
      <c r="G1295" s="22">
        <f ca="1"/>
        <v>87.669189000000003</v>
      </c>
      <c r="H1295" s="69">
        <f ca="1"/>
        <v>27823900</v>
      </c>
      <c r="I1295" s="23" t="str">
        <f t="shared" ca="1" si="41"/>
        <v/>
      </c>
    </row>
    <row r="1296" spans="1:9" ht="13.8">
      <c r="A1296" s="20">
        <f t="shared" ca="1" si="40"/>
        <v>43147</v>
      </c>
      <c r="B1296" s="21" t="str">
        <f ca="1"/>
        <v>2018-02-16</v>
      </c>
      <c r="C1296" s="22">
        <f ca="1"/>
        <v>92.449996999999996</v>
      </c>
      <c r="D1296" s="22">
        <f ca="1"/>
        <v>93.5</v>
      </c>
      <c r="E1296" s="22">
        <f ca="1"/>
        <v>91.800003000000004</v>
      </c>
      <c r="F1296" s="22">
        <f ca="1"/>
        <v>92</v>
      </c>
      <c r="G1296" s="22">
        <f ca="1"/>
        <v>87.044746000000004</v>
      </c>
      <c r="H1296" s="69">
        <f ca="1"/>
        <v>30596900</v>
      </c>
      <c r="I1296" s="23" t="str">
        <f t="shared" ca="1" si="41"/>
        <v/>
      </c>
    </row>
    <row r="1297" spans="1:9" ht="13.8">
      <c r="A1297" s="20">
        <f t="shared" ca="1" si="40"/>
        <v>43151</v>
      </c>
      <c r="B1297" s="21" t="str">
        <f ca="1"/>
        <v>2018-02-20</v>
      </c>
      <c r="C1297" s="22">
        <f ca="1"/>
        <v>91.480002999999996</v>
      </c>
      <c r="D1297" s="22">
        <f ca="1"/>
        <v>93.059997999999993</v>
      </c>
      <c r="E1297" s="22">
        <f ca="1"/>
        <v>91.010002</v>
      </c>
      <c r="F1297" s="22">
        <f ca="1"/>
        <v>92.720000999999996</v>
      </c>
      <c r="G1297" s="22">
        <f ca="1"/>
        <v>87.725966999999997</v>
      </c>
      <c r="H1297" s="69">
        <f ca="1"/>
        <v>30911700</v>
      </c>
      <c r="I1297" s="23" t="str">
        <f t="shared" ca="1" si="41"/>
        <v/>
      </c>
    </row>
    <row r="1298" spans="1:9" ht="13.8">
      <c r="A1298" s="20">
        <f t="shared" ca="1" si="40"/>
        <v>43152</v>
      </c>
      <c r="B1298" s="21" t="str">
        <f ca="1"/>
        <v>2018-02-21</v>
      </c>
      <c r="C1298" s="22">
        <f ca="1"/>
        <v>92.980002999999996</v>
      </c>
      <c r="D1298" s="22">
        <f ca="1"/>
        <v>93.360000999999997</v>
      </c>
      <c r="E1298" s="22">
        <f ca="1"/>
        <v>91.489998</v>
      </c>
      <c r="F1298" s="22">
        <f ca="1"/>
        <v>91.489998</v>
      </c>
      <c r="G1298" s="22">
        <f ca="1"/>
        <v>86.562201999999999</v>
      </c>
      <c r="H1298" s="69">
        <f ca="1"/>
        <v>26922500</v>
      </c>
      <c r="I1298" s="23" t="str">
        <f t="shared" ca="1" si="41"/>
        <v/>
      </c>
    </row>
    <row r="1299" spans="1:9" ht="13.8">
      <c r="A1299" s="20">
        <f t="shared" ca="1" si="40"/>
        <v>43153</v>
      </c>
      <c r="B1299" s="21" t="str">
        <f ca="1"/>
        <v>2018-02-22</v>
      </c>
      <c r="C1299" s="22">
        <f ca="1"/>
        <v>92.050003000000004</v>
      </c>
      <c r="D1299" s="22">
        <f ca="1"/>
        <v>92.730002999999996</v>
      </c>
      <c r="E1299" s="22">
        <f ca="1"/>
        <v>91.360000999999997</v>
      </c>
      <c r="F1299" s="22">
        <f ca="1"/>
        <v>91.730002999999996</v>
      </c>
      <c r="G1299" s="22">
        <f ca="1"/>
        <v>86.789291000000006</v>
      </c>
      <c r="H1299" s="69">
        <f ca="1"/>
        <v>24392800</v>
      </c>
      <c r="I1299" s="23" t="str">
        <f t="shared" ca="1" si="41"/>
        <v/>
      </c>
    </row>
    <row r="1300" spans="1:9" ht="13.8">
      <c r="A1300" s="20">
        <f t="shared" ca="1" si="40"/>
        <v>43154</v>
      </c>
      <c r="B1300" s="21" t="str">
        <f ca="1"/>
        <v>2018-02-23</v>
      </c>
      <c r="C1300" s="22">
        <f ca="1"/>
        <v>93.599997999999999</v>
      </c>
      <c r="D1300" s="22">
        <f ca="1"/>
        <v>94.07</v>
      </c>
      <c r="E1300" s="22">
        <f ca="1"/>
        <v>92.360000999999997</v>
      </c>
      <c r="F1300" s="22">
        <f ca="1"/>
        <v>94.059997999999993</v>
      </c>
      <c r="G1300" s="22">
        <f ca="1"/>
        <v>88.993781999999996</v>
      </c>
      <c r="H1300" s="69">
        <f ca="1"/>
        <v>26329200</v>
      </c>
      <c r="I1300" s="23" t="str">
        <f t="shared" ca="1" si="41"/>
        <v/>
      </c>
    </row>
    <row r="1301" spans="1:9" ht="13.8">
      <c r="A1301" s="20">
        <f t="shared" ca="1" si="40"/>
        <v>43157</v>
      </c>
      <c r="B1301" s="21" t="str">
        <f ca="1"/>
        <v>2018-02-26</v>
      </c>
      <c r="C1301" s="22">
        <f ca="1"/>
        <v>94.400002000000001</v>
      </c>
      <c r="D1301" s="22">
        <f ca="1"/>
        <v>95.449996999999996</v>
      </c>
      <c r="E1301" s="22">
        <f ca="1"/>
        <v>94.25</v>
      </c>
      <c r="F1301" s="22">
        <f ca="1"/>
        <v>95.419998000000007</v>
      </c>
      <c r="G1301" s="22">
        <f ca="1"/>
        <v>90.280540000000002</v>
      </c>
      <c r="H1301" s="69">
        <f ca="1"/>
        <v>30199800</v>
      </c>
      <c r="I1301" s="23" t="str">
        <f t="shared" ca="1" si="41"/>
        <v/>
      </c>
    </row>
    <row r="1302" spans="1:9" ht="13.8">
      <c r="A1302" s="20">
        <f t="shared" ca="1" si="40"/>
        <v>43158</v>
      </c>
      <c r="B1302" s="21" t="str">
        <f ca="1"/>
        <v>2018-02-27</v>
      </c>
      <c r="C1302" s="22">
        <f ca="1"/>
        <v>95.739998</v>
      </c>
      <c r="D1302" s="22">
        <f ca="1"/>
        <v>95.839995999999999</v>
      </c>
      <c r="E1302" s="22">
        <f ca="1"/>
        <v>94.199996999999996</v>
      </c>
      <c r="F1302" s="22">
        <f ca="1"/>
        <v>94.199996999999996</v>
      </c>
      <c r="G1302" s="22">
        <f ca="1"/>
        <v>89.126250999999996</v>
      </c>
      <c r="H1302" s="69">
        <f ca="1"/>
        <v>25869100</v>
      </c>
      <c r="I1302" s="23" t="str">
        <f t="shared" ca="1" si="41"/>
        <v/>
      </c>
    </row>
    <row r="1303" spans="1:9" ht="13.8">
      <c r="A1303" s="20">
        <f t="shared" ca="1" si="40"/>
        <v>43159</v>
      </c>
      <c r="B1303" s="21" t="str">
        <f ca="1"/>
        <v>2018-02-28</v>
      </c>
      <c r="C1303" s="22">
        <f ca="1"/>
        <v>94.839995999999999</v>
      </c>
      <c r="D1303" s="22">
        <f ca="1"/>
        <v>95.709998999999996</v>
      </c>
      <c r="E1303" s="22">
        <f ca="1"/>
        <v>93.629997000000003</v>
      </c>
      <c r="F1303" s="22">
        <f ca="1"/>
        <v>93.769997000000004</v>
      </c>
      <c r="G1303" s="22">
        <f ca="1"/>
        <v>88.719414</v>
      </c>
      <c r="H1303" s="69">
        <f ca="1"/>
        <v>31167300</v>
      </c>
      <c r="I1303" s="23" t="str">
        <f t="shared" ca="1" si="41"/>
        <v/>
      </c>
    </row>
    <row r="1304" spans="1:9" ht="13.8">
      <c r="A1304" s="20">
        <f t="shared" ca="1" si="40"/>
        <v>43160</v>
      </c>
      <c r="B1304" s="21" t="str">
        <f ca="1"/>
        <v>2018-03-01</v>
      </c>
      <c r="C1304" s="22">
        <f ca="1"/>
        <v>93.989998</v>
      </c>
      <c r="D1304" s="22">
        <f ca="1"/>
        <v>94.57</v>
      </c>
      <c r="E1304" s="22">
        <f ca="1"/>
        <v>91.839995999999999</v>
      </c>
      <c r="F1304" s="22">
        <f ca="1"/>
        <v>92.849997999999999</v>
      </c>
      <c r="G1304" s="22">
        <f ca="1"/>
        <v>87.848952999999995</v>
      </c>
      <c r="H1304" s="69">
        <f ca="1"/>
        <v>37135600</v>
      </c>
      <c r="I1304" s="23" t="str">
        <f t="shared" ca="1" si="41"/>
        <v/>
      </c>
    </row>
    <row r="1305" spans="1:9" ht="13.8">
      <c r="A1305" s="20">
        <f t="shared" ca="1" si="40"/>
        <v>43161</v>
      </c>
      <c r="B1305" s="21" t="str">
        <f ca="1"/>
        <v>2018-03-02</v>
      </c>
      <c r="C1305" s="22">
        <f ca="1"/>
        <v>91.580001999999993</v>
      </c>
      <c r="D1305" s="22">
        <f ca="1"/>
        <v>93.150002000000001</v>
      </c>
      <c r="E1305" s="22">
        <f ca="1"/>
        <v>90.860000999999997</v>
      </c>
      <c r="F1305" s="22">
        <f ca="1"/>
        <v>93.050003000000004</v>
      </c>
      <c r="G1305" s="22">
        <f ca="1"/>
        <v>88.038184999999999</v>
      </c>
      <c r="H1305" s="69">
        <f ca="1"/>
        <v>32830400</v>
      </c>
      <c r="I1305" s="23" t="str">
        <f t="shared" ca="1" si="41"/>
        <v/>
      </c>
    </row>
    <row r="1306" spans="1:9" ht="13.8">
      <c r="A1306" s="20">
        <f t="shared" ca="1" si="40"/>
        <v>43164</v>
      </c>
      <c r="B1306" s="21" t="str">
        <f ca="1"/>
        <v>2018-03-05</v>
      </c>
      <c r="C1306" s="22">
        <f ca="1"/>
        <v>92.339995999999999</v>
      </c>
      <c r="D1306" s="22">
        <f ca="1"/>
        <v>94.269997000000004</v>
      </c>
      <c r="E1306" s="22">
        <f ca="1"/>
        <v>92.260002</v>
      </c>
      <c r="F1306" s="22">
        <f ca="1"/>
        <v>93.639999000000003</v>
      </c>
      <c r="G1306" s="22">
        <f ca="1"/>
        <v>88.596419999999995</v>
      </c>
      <c r="H1306" s="69">
        <f ca="1"/>
        <v>23901600</v>
      </c>
      <c r="I1306" s="23" t="str">
        <f t="shared" ca="1" si="41"/>
        <v/>
      </c>
    </row>
    <row r="1307" spans="1:9" ht="13.8">
      <c r="A1307" s="20">
        <f t="shared" ca="1" si="40"/>
        <v>43165</v>
      </c>
      <c r="B1307" s="21" t="str">
        <f ca="1"/>
        <v>2018-03-06</v>
      </c>
      <c r="C1307" s="22">
        <f ca="1"/>
        <v>94.339995999999999</v>
      </c>
      <c r="D1307" s="22">
        <f ca="1"/>
        <v>94.489998</v>
      </c>
      <c r="E1307" s="22">
        <f ca="1"/>
        <v>92.940002000000007</v>
      </c>
      <c r="F1307" s="22">
        <f ca="1"/>
        <v>93.32</v>
      </c>
      <c r="G1307" s="22">
        <f ca="1"/>
        <v>88.293648000000005</v>
      </c>
      <c r="H1307" s="69">
        <f ca="1"/>
        <v>22175800</v>
      </c>
      <c r="I1307" s="23" t="str">
        <f t="shared" ca="1" si="41"/>
        <v/>
      </c>
    </row>
    <row r="1308" spans="1:9" ht="13.8">
      <c r="A1308" s="20">
        <f t="shared" ca="1" si="40"/>
        <v>43166</v>
      </c>
      <c r="B1308" s="21" t="str">
        <f ca="1"/>
        <v>2018-03-07</v>
      </c>
      <c r="C1308" s="22">
        <f ca="1"/>
        <v>93.160004000000001</v>
      </c>
      <c r="D1308" s="22">
        <f ca="1"/>
        <v>93.940002000000007</v>
      </c>
      <c r="E1308" s="22">
        <f ca="1"/>
        <v>92.43</v>
      </c>
      <c r="F1308" s="22">
        <f ca="1"/>
        <v>93.860000999999997</v>
      </c>
      <c r="G1308" s="22">
        <f ca="1"/>
        <v>88.804564999999997</v>
      </c>
      <c r="H1308" s="69">
        <f ca="1"/>
        <v>26716100</v>
      </c>
      <c r="I1308" s="23" t="str">
        <f t="shared" ca="1" si="41"/>
        <v/>
      </c>
    </row>
    <row r="1309" spans="1:9" ht="13.8">
      <c r="A1309" s="20">
        <f t="shared" ca="1" si="40"/>
        <v>43167</v>
      </c>
      <c r="B1309" s="21" t="str">
        <f ca="1"/>
        <v>2018-03-08</v>
      </c>
      <c r="C1309" s="22">
        <f ca="1"/>
        <v>94.269997000000004</v>
      </c>
      <c r="D1309" s="22">
        <f ca="1"/>
        <v>95.099997999999999</v>
      </c>
      <c r="E1309" s="22">
        <f ca="1"/>
        <v>93.769997000000004</v>
      </c>
      <c r="F1309" s="22">
        <f ca="1"/>
        <v>94.43</v>
      </c>
      <c r="G1309" s="22">
        <f ca="1"/>
        <v>89.343849000000006</v>
      </c>
      <c r="H1309" s="69">
        <f ca="1"/>
        <v>25887800</v>
      </c>
      <c r="I1309" s="23" t="str">
        <f t="shared" ca="1" si="41"/>
        <v/>
      </c>
    </row>
    <row r="1310" spans="1:9" ht="13.8">
      <c r="A1310" s="20">
        <f t="shared" ca="1" si="40"/>
        <v>43168</v>
      </c>
      <c r="B1310" s="21" t="str">
        <f ca="1"/>
        <v>2018-03-09</v>
      </c>
      <c r="C1310" s="22">
        <f ca="1"/>
        <v>95.290001000000004</v>
      </c>
      <c r="D1310" s="22">
        <f ca="1"/>
        <v>96.540001000000004</v>
      </c>
      <c r="E1310" s="22">
        <f ca="1"/>
        <v>95</v>
      </c>
      <c r="F1310" s="22">
        <f ca="1"/>
        <v>96.540001000000004</v>
      </c>
      <c r="G1310" s="22">
        <f ca="1"/>
        <v>91.340209999999999</v>
      </c>
      <c r="H1310" s="69">
        <f ca="1"/>
        <v>36937300</v>
      </c>
      <c r="I1310" s="23" t="str">
        <f t="shared" ca="1" si="41"/>
        <v/>
      </c>
    </row>
    <row r="1311" spans="1:9" ht="13.8">
      <c r="A1311" s="20">
        <f t="shared" ca="1" si="40"/>
        <v>43171</v>
      </c>
      <c r="B1311" s="21" t="str">
        <f ca="1"/>
        <v>2018-03-12</v>
      </c>
      <c r="C1311" s="22">
        <f ca="1"/>
        <v>96.5</v>
      </c>
      <c r="D1311" s="22">
        <f ca="1"/>
        <v>97.209998999999996</v>
      </c>
      <c r="E1311" s="22">
        <f ca="1"/>
        <v>96.040001000000004</v>
      </c>
      <c r="F1311" s="22">
        <f ca="1"/>
        <v>96.769997000000004</v>
      </c>
      <c r="G1311" s="22">
        <f ca="1"/>
        <v>91.557838000000004</v>
      </c>
      <c r="H1311" s="69">
        <f ca="1"/>
        <v>26073700</v>
      </c>
      <c r="I1311" s="23" t="str">
        <f t="shared" ca="1" si="41"/>
        <v/>
      </c>
    </row>
    <row r="1312" spans="1:9" ht="13.8">
      <c r="A1312" s="20">
        <f t="shared" ca="1" si="40"/>
        <v>43172</v>
      </c>
      <c r="B1312" s="21" t="str">
        <f ca="1"/>
        <v>2018-03-13</v>
      </c>
      <c r="C1312" s="22">
        <f ca="1"/>
        <v>97</v>
      </c>
      <c r="D1312" s="22">
        <f ca="1"/>
        <v>97.239998</v>
      </c>
      <c r="E1312" s="22">
        <f ca="1"/>
        <v>93.970000999999996</v>
      </c>
      <c r="F1312" s="22">
        <f ca="1"/>
        <v>94.410004000000001</v>
      </c>
      <c r="G1312" s="22">
        <f ca="1"/>
        <v>89.324928</v>
      </c>
      <c r="H1312" s="69">
        <f ca="1"/>
        <v>35387800</v>
      </c>
      <c r="I1312" s="23" t="str">
        <f t="shared" ca="1" si="41"/>
        <v/>
      </c>
    </row>
    <row r="1313" spans="1:9" ht="13.8">
      <c r="A1313" s="20">
        <f t="shared" ca="1" si="40"/>
        <v>43173</v>
      </c>
      <c r="B1313" s="21" t="str">
        <f ca="1"/>
        <v>2018-03-14</v>
      </c>
      <c r="C1313" s="22">
        <f ca="1"/>
        <v>95.120002999999997</v>
      </c>
      <c r="D1313" s="22">
        <f ca="1"/>
        <v>95.410004000000001</v>
      </c>
      <c r="E1313" s="22">
        <f ca="1"/>
        <v>93.5</v>
      </c>
      <c r="F1313" s="22">
        <f ca="1"/>
        <v>93.849997999999999</v>
      </c>
      <c r="G1313" s="22">
        <f ca="1"/>
        <v>88.795119999999997</v>
      </c>
      <c r="H1313" s="69">
        <f ca="1"/>
        <v>32132000</v>
      </c>
      <c r="I1313" s="23" t="str">
        <f t="shared" ca="1" si="41"/>
        <v/>
      </c>
    </row>
    <row r="1314" spans="1:9" ht="13.8">
      <c r="A1314" s="20">
        <f t="shared" ca="1" si="40"/>
        <v>43174</v>
      </c>
      <c r="B1314" s="21" t="str">
        <f ca="1"/>
        <v>2018-03-15</v>
      </c>
      <c r="C1314" s="22">
        <f ca="1"/>
        <v>93.529999000000004</v>
      </c>
      <c r="D1314" s="22">
        <f ca="1"/>
        <v>94.580001999999993</v>
      </c>
      <c r="E1314" s="22">
        <f ca="1"/>
        <v>92.830001999999993</v>
      </c>
      <c r="F1314" s="22">
        <f ca="1"/>
        <v>94.18</v>
      </c>
      <c r="G1314" s="22">
        <f ca="1"/>
        <v>89.107322999999994</v>
      </c>
      <c r="H1314" s="69">
        <f ca="1"/>
        <v>27611000</v>
      </c>
      <c r="I1314" s="23" t="str">
        <f t="shared" ca="1" si="41"/>
        <v/>
      </c>
    </row>
    <row r="1315" spans="1:9" ht="13.8">
      <c r="A1315" s="20">
        <f t="shared" ca="1" si="40"/>
        <v>43175</v>
      </c>
      <c r="B1315" s="21" t="str">
        <f ca="1"/>
        <v>2018-03-16</v>
      </c>
      <c r="C1315" s="22">
        <f ca="1"/>
        <v>94.68</v>
      </c>
      <c r="D1315" s="22">
        <f ca="1"/>
        <v>95.379997000000003</v>
      </c>
      <c r="E1315" s="22">
        <f ca="1"/>
        <v>93.919998000000007</v>
      </c>
      <c r="F1315" s="22">
        <f ca="1"/>
        <v>94.599997999999999</v>
      </c>
      <c r="G1315" s="22">
        <f ca="1"/>
        <v>89.504706999999996</v>
      </c>
      <c r="H1315" s="69">
        <f ca="1"/>
        <v>49081300</v>
      </c>
      <c r="I1315" s="23" t="str">
        <f t="shared" ca="1" si="41"/>
        <v/>
      </c>
    </row>
    <row r="1316" spans="1:9" ht="13.8">
      <c r="A1316" s="20">
        <f t="shared" ca="1" si="40"/>
        <v>43178</v>
      </c>
      <c r="B1316" s="21" t="str">
        <f ca="1"/>
        <v>2018-03-19</v>
      </c>
      <c r="C1316" s="22">
        <f ca="1"/>
        <v>93.739998</v>
      </c>
      <c r="D1316" s="22">
        <f ca="1"/>
        <v>93.900002000000001</v>
      </c>
      <c r="E1316" s="22">
        <f ca="1"/>
        <v>92.110000999999997</v>
      </c>
      <c r="F1316" s="22">
        <f ca="1"/>
        <v>92.889999000000003</v>
      </c>
      <c r="G1316" s="22">
        <f ca="1"/>
        <v>87.886795000000006</v>
      </c>
      <c r="H1316" s="69">
        <f ca="1"/>
        <v>33344100</v>
      </c>
      <c r="I1316" s="23" t="str">
        <f t="shared" ca="1" si="41"/>
        <v/>
      </c>
    </row>
    <row r="1317" spans="1:9" ht="13.8">
      <c r="A1317" s="20">
        <f t="shared" ca="1" si="40"/>
        <v>43179</v>
      </c>
      <c r="B1317" s="21" t="str">
        <f ca="1"/>
        <v>2018-03-20</v>
      </c>
      <c r="C1317" s="22">
        <f ca="1"/>
        <v>93.050003000000004</v>
      </c>
      <c r="D1317" s="22">
        <f ca="1"/>
        <v>93.769997000000004</v>
      </c>
      <c r="E1317" s="22">
        <f ca="1"/>
        <v>93</v>
      </c>
      <c r="F1317" s="22">
        <f ca="1"/>
        <v>93.129997000000003</v>
      </c>
      <c r="G1317" s="22">
        <f ca="1"/>
        <v>88.113883999999999</v>
      </c>
      <c r="H1317" s="69">
        <f ca="1"/>
        <v>23075200</v>
      </c>
      <c r="I1317" s="23" t="str">
        <f t="shared" ca="1" si="41"/>
        <v/>
      </c>
    </row>
    <row r="1318" spans="1:9" ht="13.8">
      <c r="A1318" s="20">
        <f t="shared" ca="1" si="40"/>
        <v>43180</v>
      </c>
      <c r="B1318" s="21" t="str">
        <f ca="1"/>
        <v>2018-03-21</v>
      </c>
      <c r="C1318" s="22">
        <f ca="1"/>
        <v>92.93</v>
      </c>
      <c r="D1318" s="22">
        <f ca="1"/>
        <v>94.050003000000004</v>
      </c>
      <c r="E1318" s="22">
        <f ca="1"/>
        <v>92.209998999999996</v>
      </c>
      <c r="F1318" s="22">
        <f ca="1"/>
        <v>92.480002999999996</v>
      </c>
      <c r="G1318" s="22">
        <f ca="1"/>
        <v>87.498885999999999</v>
      </c>
      <c r="H1318" s="69">
        <f ca="1"/>
        <v>24457100</v>
      </c>
      <c r="I1318" s="23" t="str">
        <f t="shared" ca="1" si="41"/>
        <v/>
      </c>
    </row>
    <row r="1319" spans="1:9" ht="13.8">
      <c r="A1319" s="20">
        <f t="shared" ca="1" si="40"/>
        <v>43181</v>
      </c>
      <c r="B1319" s="21" t="str">
        <f ca="1"/>
        <v>2018-03-22</v>
      </c>
      <c r="C1319" s="22">
        <f ca="1"/>
        <v>91.269997000000004</v>
      </c>
      <c r="D1319" s="22">
        <f ca="1"/>
        <v>91.75</v>
      </c>
      <c r="E1319" s="22">
        <f ca="1"/>
        <v>89.660004000000001</v>
      </c>
      <c r="F1319" s="22">
        <f ca="1"/>
        <v>89.790001000000004</v>
      </c>
      <c r="G1319" s="22">
        <f ca="1"/>
        <v>84.953789</v>
      </c>
      <c r="H1319" s="69">
        <f ca="1"/>
        <v>38604700</v>
      </c>
      <c r="I1319" s="23" t="str">
        <f t="shared" ca="1" si="41"/>
        <v/>
      </c>
    </row>
    <row r="1320" spans="1:9" ht="13.8">
      <c r="A1320" s="20">
        <f t="shared" ca="1" si="40"/>
        <v>43182</v>
      </c>
      <c r="B1320" s="21" t="str">
        <f ca="1"/>
        <v>2018-03-23</v>
      </c>
      <c r="C1320" s="22">
        <f ca="1"/>
        <v>89.5</v>
      </c>
      <c r="D1320" s="22">
        <f ca="1"/>
        <v>90.459998999999996</v>
      </c>
      <c r="E1320" s="22">
        <f ca="1"/>
        <v>87.080001999999993</v>
      </c>
      <c r="F1320" s="22">
        <f ca="1"/>
        <v>87.18</v>
      </c>
      <c r="G1320" s="22">
        <f ca="1"/>
        <v>82.484367000000006</v>
      </c>
      <c r="H1320" s="69">
        <f ca="1"/>
        <v>44068900</v>
      </c>
      <c r="I1320" s="23" t="str">
        <f t="shared" ca="1" si="41"/>
        <v/>
      </c>
    </row>
    <row r="1321" spans="1:9" ht="13.8">
      <c r="A1321" s="20">
        <f t="shared" ca="1" si="40"/>
        <v>43185</v>
      </c>
      <c r="B1321" s="21" t="str">
        <f ca="1"/>
        <v>2018-03-26</v>
      </c>
      <c r="C1321" s="22">
        <f ca="1"/>
        <v>90.610000999999997</v>
      </c>
      <c r="D1321" s="22">
        <f ca="1"/>
        <v>94</v>
      </c>
      <c r="E1321" s="22">
        <f ca="1"/>
        <v>90.400002000000001</v>
      </c>
      <c r="F1321" s="22">
        <f ca="1"/>
        <v>93.779999000000004</v>
      </c>
      <c r="G1321" s="22">
        <f ca="1"/>
        <v>88.728874000000005</v>
      </c>
      <c r="H1321" s="69">
        <f ca="1"/>
        <v>56396800</v>
      </c>
      <c r="I1321" s="23" t="str">
        <f t="shared" ca="1" si="41"/>
        <v/>
      </c>
    </row>
    <row r="1322" spans="1:9" ht="13.8">
      <c r="A1322" s="20">
        <f t="shared" ca="1" si="40"/>
        <v>43186</v>
      </c>
      <c r="B1322" s="21" t="str">
        <f ca="1"/>
        <v>2018-03-27</v>
      </c>
      <c r="C1322" s="22">
        <f ca="1"/>
        <v>94.940002000000007</v>
      </c>
      <c r="D1322" s="22">
        <f ca="1"/>
        <v>95.139999000000003</v>
      </c>
      <c r="E1322" s="22">
        <f ca="1"/>
        <v>88.510002</v>
      </c>
      <c r="F1322" s="22">
        <f ca="1"/>
        <v>89.470000999999996</v>
      </c>
      <c r="G1322" s="22">
        <f ca="1"/>
        <v>84.651000999999994</v>
      </c>
      <c r="H1322" s="69">
        <f ca="1"/>
        <v>56569000</v>
      </c>
      <c r="I1322" s="23" t="str">
        <f t="shared" ca="1" si="41"/>
        <v/>
      </c>
    </row>
    <row r="1323" spans="1:9" ht="13.8">
      <c r="A1323" s="20">
        <f t="shared" ca="1" si="40"/>
        <v>43187</v>
      </c>
      <c r="B1323" s="21" t="str">
        <f ca="1"/>
        <v>2018-03-28</v>
      </c>
      <c r="C1323" s="22">
        <f ca="1"/>
        <v>89.82</v>
      </c>
      <c r="D1323" s="22">
        <f ca="1"/>
        <v>91.230002999999996</v>
      </c>
      <c r="E1323" s="22">
        <f ca="1"/>
        <v>88.870002999999997</v>
      </c>
      <c r="F1323" s="22">
        <f ca="1"/>
        <v>89.389999000000003</v>
      </c>
      <c r="G1323" s="22">
        <f ca="1"/>
        <v>84.575316999999998</v>
      </c>
      <c r="H1323" s="69">
        <f ca="1"/>
        <v>52501100</v>
      </c>
      <c r="I1323" s="23" t="str">
        <f t="shared" ca="1" si="41"/>
        <v/>
      </c>
    </row>
    <row r="1324" spans="1:9" ht="13.8">
      <c r="A1324" s="20">
        <f t="shared" ca="1" si="40"/>
        <v>43188</v>
      </c>
      <c r="B1324" s="21" t="str">
        <f ca="1"/>
        <v>2018-03-29</v>
      </c>
      <c r="C1324" s="22">
        <f ca="1"/>
        <v>90.18</v>
      </c>
      <c r="D1324" s="22">
        <f ca="1"/>
        <v>92.290001000000004</v>
      </c>
      <c r="E1324" s="22">
        <f ca="1"/>
        <v>88.400002000000001</v>
      </c>
      <c r="F1324" s="22">
        <f ca="1"/>
        <v>91.269997000000004</v>
      </c>
      <c r="G1324" s="22">
        <f ca="1"/>
        <v>86.354073</v>
      </c>
      <c r="H1324" s="69">
        <f ca="1"/>
        <v>45867500</v>
      </c>
      <c r="I1324" s="23" t="str">
        <f t="shared" ca="1" si="41"/>
        <v/>
      </c>
    </row>
    <row r="1325" spans="1:9" ht="13.8">
      <c r="A1325" s="20">
        <f t="shared" ca="1" si="40"/>
        <v>43192</v>
      </c>
      <c r="B1325" s="21" t="str">
        <f ca="1"/>
        <v>2018-04-02</v>
      </c>
      <c r="C1325" s="22">
        <f ca="1"/>
        <v>90.470000999999996</v>
      </c>
      <c r="D1325" s="22">
        <f ca="1"/>
        <v>90.879997000000003</v>
      </c>
      <c r="E1325" s="22">
        <f ca="1"/>
        <v>87.510002</v>
      </c>
      <c r="F1325" s="22">
        <f ca="1"/>
        <v>88.519997000000004</v>
      </c>
      <c r="G1325" s="22">
        <f ca="1"/>
        <v>83.752196999999995</v>
      </c>
      <c r="H1325" s="69">
        <f ca="1"/>
        <v>48515400</v>
      </c>
      <c r="I1325" s="23" t="str">
        <f t="shared" ca="1" si="41"/>
        <v/>
      </c>
    </row>
    <row r="1326" spans="1:9" ht="13.8">
      <c r="A1326" s="20">
        <f t="shared" ca="1" si="40"/>
        <v>43193</v>
      </c>
      <c r="B1326" s="21" t="str">
        <f ca="1"/>
        <v>2018-04-03</v>
      </c>
      <c r="C1326" s="22">
        <f ca="1"/>
        <v>89.580001999999993</v>
      </c>
      <c r="D1326" s="22">
        <f ca="1"/>
        <v>90.050003000000004</v>
      </c>
      <c r="E1326" s="22">
        <f ca="1"/>
        <v>87.889999000000003</v>
      </c>
      <c r="F1326" s="22">
        <f ca="1"/>
        <v>89.709998999999996</v>
      </c>
      <c r="G1326" s="22">
        <f ca="1"/>
        <v>84.878082000000006</v>
      </c>
      <c r="H1326" s="69">
        <f ca="1"/>
        <v>37213800</v>
      </c>
      <c r="I1326" s="23" t="str">
        <f t="shared" ca="1" si="41"/>
        <v/>
      </c>
    </row>
    <row r="1327" spans="1:9" ht="13.8">
      <c r="A1327" s="20">
        <f t="shared" ca="1" si="40"/>
        <v>43194</v>
      </c>
      <c r="B1327" s="21" t="str">
        <f ca="1"/>
        <v>2018-04-04</v>
      </c>
      <c r="C1327" s="22">
        <f ca="1"/>
        <v>87.849997999999999</v>
      </c>
      <c r="D1327" s="22">
        <f ca="1"/>
        <v>92.760002</v>
      </c>
      <c r="E1327" s="22">
        <f ca="1"/>
        <v>87.730002999999996</v>
      </c>
      <c r="F1327" s="22">
        <f ca="1"/>
        <v>92.330001999999993</v>
      </c>
      <c r="G1327" s="22">
        <f ca="1"/>
        <v>87.356978999999995</v>
      </c>
      <c r="H1327" s="69">
        <f ca="1"/>
        <v>35560000</v>
      </c>
      <c r="I1327" s="23" t="str">
        <f t="shared" ca="1" si="41"/>
        <v/>
      </c>
    </row>
    <row r="1328" spans="1:9" ht="13.8">
      <c r="A1328" s="20">
        <f t="shared" ca="1" si="40"/>
        <v>43195</v>
      </c>
      <c r="B1328" s="21" t="str">
        <f ca="1"/>
        <v>2018-04-05</v>
      </c>
      <c r="C1328" s="22">
        <f ca="1"/>
        <v>92.440002000000007</v>
      </c>
      <c r="D1328" s="22">
        <f ca="1"/>
        <v>93.07</v>
      </c>
      <c r="E1328" s="22">
        <f ca="1"/>
        <v>91.400002000000001</v>
      </c>
      <c r="F1328" s="22">
        <f ca="1"/>
        <v>92.379997000000003</v>
      </c>
      <c r="G1328" s="22">
        <f ca="1"/>
        <v>87.404266000000007</v>
      </c>
      <c r="H1328" s="69">
        <f ca="1"/>
        <v>29771900</v>
      </c>
      <c r="I1328" s="23" t="str">
        <f t="shared" ca="1" si="41"/>
        <v/>
      </c>
    </row>
    <row r="1329" spans="1:9" ht="13.8">
      <c r="A1329" s="20">
        <f t="shared" ca="1" si="40"/>
        <v>43196</v>
      </c>
      <c r="B1329" s="21" t="str">
        <f ca="1"/>
        <v>2018-04-06</v>
      </c>
      <c r="C1329" s="22">
        <f ca="1"/>
        <v>91.489998</v>
      </c>
      <c r="D1329" s="22">
        <f ca="1"/>
        <v>92.459998999999996</v>
      </c>
      <c r="E1329" s="22">
        <f ca="1"/>
        <v>89.480002999999996</v>
      </c>
      <c r="F1329" s="22">
        <f ca="1"/>
        <v>90.230002999999996</v>
      </c>
      <c r="G1329" s="22">
        <f ca="1"/>
        <v>85.370102000000003</v>
      </c>
      <c r="H1329" s="69">
        <f ca="1"/>
        <v>38026000</v>
      </c>
      <c r="I1329" s="23" t="str">
        <f t="shared" ca="1" si="41"/>
        <v/>
      </c>
    </row>
    <row r="1330" spans="1:9" ht="13.8">
      <c r="A1330" s="20">
        <f t="shared" ca="1" si="40"/>
        <v>43199</v>
      </c>
      <c r="B1330" s="21" t="str">
        <f ca="1"/>
        <v>2018-04-09</v>
      </c>
      <c r="C1330" s="22">
        <f ca="1"/>
        <v>91.040001000000004</v>
      </c>
      <c r="D1330" s="22">
        <f ca="1"/>
        <v>93.169998000000007</v>
      </c>
      <c r="E1330" s="22">
        <f ca="1"/>
        <v>90.620002999999997</v>
      </c>
      <c r="F1330" s="22">
        <f ca="1"/>
        <v>90.769997000000004</v>
      </c>
      <c r="G1330" s="22">
        <f ca="1"/>
        <v>85.880996999999994</v>
      </c>
      <c r="H1330" s="69">
        <f ca="1"/>
        <v>31533900</v>
      </c>
      <c r="I1330" s="23" t="str">
        <f t="shared" ca="1" si="41"/>
        <v/>
      </c>
    </row>
    <row r="1331" spans="1:9" ht="13.8">
      <c r="A1331" s="20">
        <f t="shared" ca="1" si="40"/>
        <v>43200</v>
      </c>
      <c r="B1331" s="21" t="str">
        <f ca="1"/>
        <v>2018-04-10</v>
      </c>
      <c r="C1331" s="22">
        <f ca="1"/>
        <v>92.389999000000003</v>
      </c>
      <c r="D1331" s="22">
        <f ca="1"/>
        <v>93.279999000000004</v>
      </c>
      <c r="E1331" s="22">
        <f ca="1"/>
        <v>91.639999000000003</v>
      </c>
      <c r="F1331" s="22">
        <f ca="1"/>
        <v>92.879997000000003</v>
      </c>
      <c r="G1331" s="22">
        <f ca="1"/>
        <v>87.877335000000002</v>
      </c>
      <c r="H1331" s="69">
        <f ca="1"/>
        <v>26812000</v>
      </c>
      <c r="I1331" s="23" t="str">
        <f t="shared" ca="1" si="41"/>
        <v/>
      </c>
    </row>
    <row r="1332" spans="1:9" ht="13.8">
      <c r="A1332" s="20">
        <f t="shared" ca="1" si="40"/>
        <v>43201</v>
      </c>
      <c r="B1332" s="21" t="str">
        <f ca="1"/>
        <v>2018-04-11</v>
      </c>
      <c r="C1332" s="22">
        <f ca="1"/>
        <v>92.010002</v>
      </c>
      <c r="D1332" s="22">
        <f ca="1"/>
        <v>93.290001000000004</v>
      </c>
      <c r="E1332" s="22">
        <f ca="1"/>
        <v>91.480002999999996</v>
      </c>
      <c r="F1332" s="22">
        <f ca="1"/>
        <v>91.860000999999997</v>
      </c>
      <c r="G1332" s="22">
        <f ca="1"/>
        <v>86.912277000000003</v>
      </c>
      <c r="H1332" s="69">
        <f ca="1"/>
        <v>24872100</v>
      </c>
      <c r="I1332" s="23" t="str">
        <f t="shared" ca="1" si="41"/>
        <v/>
      </c>
    </row>
    <row r="1333" spans="1:9" ht="13.8">
      <c r="A1333" s="20">
        <f t="shared" ca="1" si="40"/>
        <v>43202</v>
      </c>
      <c r="B1333" s="21" t="str">
        <f ca="1"/>
        <v>2018-04-12</v>
      </c>
      <c r="C1333" s="22">
        <f ca="1"/>
        <v>92.43</v>
      </c>
      <c r="D1333" s="22">
        <f ca="1"/>
        <v>94.160004000000001</v>
      </c>
      <c r="E1333" s="22">
        <f ca="1"/>
        <v>92.43</v>
      </c>
      <c r="F1333" s="22">
        <f ca="1"/>
        <v>93.580001999999993</v>
      </c>
      <c r="G1333" s="22">
        <f ca="1"/>
        <v>88.539642000000001</v>
      </c>
      <c r="H1333" s="69">
        <f ca="1"/>
        <v>26758900</v>
      </c>
      <c r="I1333" s="23" t="str">
        <f t="shared" ca="1" si="41"/>
        <v/>
      </c>
    </row>
    <row r="1334" spans="1:9" ht="13.8">
      <c r="A1334" s="20">
        <f t="shared" ca="1" si="40"/>
        <v>43203</v>
      </c>
      <c r="B1334" s="21" t="str">
        <f ca="1"/>
        <v>2018-04-13</v>
      </c>
      <c r="C1334" s="22">
        <f ca="1"/>
        <v>94.050003000000004</v>
      </c>
      <c r="D1334" s="22">
        <f ca="1"/>
        <v>94.18</v>
      </c>
      <c r="E1334" s="22">
        <f ca="1"/>
        <v>92.440002000000007</v>
      </c>
      <c r="F1334" s="22">
        <f ca="1"/>
        <v>93.080001999999993</v>
      </c>
      <c r="G1334" s="22">
        <f ca="1"/>
        <v>88.066588999999993</v>
      </c>
      <c r="H1334" s="69">
        <f ca="1"/>
        <v>23346100</v>
      </c>
      <c r="I1334" s="23" t="str">
        <f t="shared" ca="1" si="41"/>
        <v/>
      </c>
    </row>
    <row r="1335" spans="1:9" ht="13.8">
      <c r="A1335" s="20">
        <f t="shared" ca="1" si="40"/>
        <v>43206</v>
      </c>
      <c r="B1335" s="21" t="str">
        <f ca="1"/>
        <v>2018-04-16</v>
      </c>
      <c r="C1335" s="22">
        <f ca="1"/>
        <v>94.07</v>
      </c>
      <c r="D1335" s="22">
        <f ca="1"/>
        <v>94.660004000000001</v>
      </c>
      <c r="E1335" s="22">
        <f ca="1"/>
        <v>93.419998000000007</v>
      </c>
      <c r="F1335" s="22">
        <f ca="1"/>
        <v>94.169998000000007</v>
      </c>
      <c r="G1335" s="22">
        <f ca="1"/>
        <v>89.097877999999994</v>
      </c>
      <c r="H1335" s="69">
        <f ca="1"/>
        <v>20288100</v>
      </c>
      <c r="I1335" s="23" t="str">
        <f t="shared" ca="1" si="41"/>
        <v/>
      </c>
    </row>
    <row r="1336" spans="1:9" ht="13.8">
      <c r="A1336" s="20">
        <f t="shared" ca="1" si="40"/>
        <v>43207</v>
      </c>
      <c r="B1336" s="21" t="str">
        <f ca="1"/>
        <v>2018-04-17</v>
      </c>
      <c r="C1336" s="22">
        <f ca="1"/>
        <v>95</v>
      </c>
      <c r="D1336" s="22">
        <f ca="1"/>
        <v>96.540001000000004</v>
      </c>
      <c r="E1336" s="22">
        <f ca="1"/>
        <v>94.879997000000003</v>
      </c>
      <c r="F1336" s="22">
        <f ca="1"/>
        <v>96.07</v>
      </c>
      <c r="G1336" s="22">
        <f ca="1"/>
        <v>90.895531000000005</v>
      </c>
      <c r="H1336" s="69">
        <f ca="1"/>
        <v>26771000</v>
      </c>
      <c r="I1336" s="23" t="str">
        <f t="shared" ca="1" si="41"/>
        <v/>
      </c>
    </row>
    <row r="1337" spans="1:9" ht="13.8">
      <c r="A1337" s="20">
        <f t="shared" ca="1" si="40"/>
        <v>43208</v>
      </c>
      <c r="B1337" s="21" t="str">
        <f ca="1"/>
        <v>2018-04-18</v>
      </c>
      <c r="C1337" s="22">
        <f ca="1"/>
        <v>96.220000999999996</v>
      </c>
      <c r="D1337" s="22">
        <f ca="1"/>
        <v>96.720000999999996</v>
      </c>
      <c r="E1337" s="22">
        <f ca="1"/>
        <v>95.519997000000004</v>
      </c>
      <c r="F1337" s="22">
        <f ca="1"/>
        <v>96.440002000000007</v>
      </c>
      <c r="G1337" s="22">
        <f ca="1"/>
        <v>91.245598000000001</v>
      </c>
      <c r="H1337" s="69">
        <f ca="1"/>
        <v>21043300</v>
      </c>
      <c r="I1337" s="23" t="str">
        <f t="shared" ca="1" si="41"/>
        <v/>
      </c>
    </row>
    <row r="1338" spans="1:9" ht="13.8">
      <c r="A1338" s="20">
        <f t="shared" ca="1" si="40"/>
        <v>43209</v>
      </c>
      <c r="B1338" s="21" t="str">
        <f ca="1"/>
        <v>2018-04-19</v>
      </c>
      <c r="C1338" s="22">
        <f ca="1"/>
        <v>96.440002000000007</v>
      </c>
      <c r="D1338" s="22">
        <f ca="1"/>
        <v>97.07</v>
      </c>
      <c r="E1338" s="22">
        <f ca="1"/>
        <v>95.339995999999999</v>
      </c>
      <c r="F1338" s="22">
        <f ca="1"/>
        <v>96.110000999999997</v>
      </c>
      <c r="G1338" s="22">
        <f ca="1"/>
        <v>90.933387999999994</v>
      </c>
      <c r="H1338" s="69">
        <f ca="1"/>
        <v>23552500</v>
      </c>
      <c r="I1338" s="23" t="str">
        <f t="shared" ca="1" si="41"/>
        <v/>
      </c>
    </row>
    <row r="1339" spans="1:9" ht="13.8">
      <c r="A1339" s="20">
        <f t="shared" ca="1" si="40"/>
        <v>43210</v>
      </c>
      <c r="B1339" s="21" t="str">
        <f ca="1"/>
        <v>2018-04-20</v>
      </c>
      <c r="C1339" s="22">
        <f ca="1"/>
        <v>95.910004000000001</v>
      </c>
      <c r="D1339" s="22">
        <f ca="1"/>
        <v>96.110000999999997</v>
      </c>
      <c r="E1339" s="22">
        <f ca="1"/>
        <v>94.050003000000004</v>
      </c>
      <c r="F1339" s="22">
        <f ca="1"/>
        <v>95</v>
      </c>
      <c r="G1339" s="22">
        <f ca="1"/>
        <v>89.883171000000004</v>
      </c>
      <c r="H1339" s="69">
        <f ca="1"/>
        <v>31154400</v>
      </c>
      <c r="I1339" s="23" t="str">
        <f t="shared" ca="1" si="41"/>
        <v/>
      </c>
    </row>
    <row r="1340" spans="1:9" ht="13.8">
      <c r="A1340" s="20">
        <f t="shared" ca="1" si="40"/>
        <v>43213</v>
      </c>
      <c r="B1340" s="21" t="str">
        <f ca="1"/>
        <v>2018-04-23</v>
      </c>
      <c r="C1340" s="22">
        <f ca="1"/>
        <v>95.739998</v>
      </c>
      <c r="D1340" s="22">
        <f ca="1"/>
        <v>96.290001000000004</v>
      </c>
      <c r="E1340" s="22">
        <f ca="1"/>
        <v>94.629997000000003</v>
      </c>
      <c r="F1340" s="22">
        <f ca="1"/>
        <v>95.349997999999999</v>
      </c>
      <c r="G1340" s="22">
        <f ca="1"/>
        <v>90.214316999999994</v>
      </c>
      <c r="H1340" s="69">
        <f ca="1"/>
        <v>22331800</v>
      </c>
      <c r="I1340" s="23" t="str">
        <f t="shared" ca="1" si="41"/>
        <v/>
      </c>
    </row>
    <row r="1341" spans="1:9" ht="13.8">
      <c r="A1341" s="20">
        <f t="shared" ca="1" si="40"/>
        <v>43214</v>
      </c>
      <c r="B1341" s="21" t="str">
        <f ca="1"/>
        <v>2018-04-24</v>
      </c>
      <c r="C1341" s="22">
        <f ca="1"/>
        <v>96.239998</v>
      </c>
      <c r="D1341" s="22">
        <f ca="1"/>
        <v>96.470000999999996</v>
      </c>
      <c r="E1341" s="22">
        <f ca="1"/>
        <v>92.410004000000001</v>
      </c>
      <c r="F1341" s="22">
        <f ca="1"/>
        <v>93.120002999999997</v>
      </c>
      <c r="G1341" s="22">
        <f ca="1"/>
        <v>88.104416000000001</v>
      </c>
      <c r="H1341" s="69">
        <f ca="1"/>
        <v>34524800</v>
      </c>
      <c r="I1341" s="23" t="str">
        <f t="shared" ca="1" si="41"/>
        <v/>
      </c>
    </row>
    <row r="1342" spans="1:9" ht="13.8">
      <c r="A1342" s="20">
        <f t="shared" ca="1" si="40"/>
        <v>43215</v>
      </c>
      <c r="B1342" s="21" t="str">
        <f ca="1"/>
        <v>2018-04-25</v>
      </c>
      <c r="C1342" s="22">
        <f ca="1"/>
        <v>93.300003000000004</v>
      </c>
      <c r="D1342" s="22">
        <f ca="1"/>
        <v>93.300003000000004</v>
      </c>
      <c r="E1342" s="22">
        <f ca="1"/>
        <v>90.279999000000004</v>
      </c>
      <c r="F1342" s="22">
        <f ca="1"/>
        <v>92.309997999999993</v>
      </c>
      <c r="G1342" s="22">
        <f ca="1"/>
        <v>87.338050999999993</v>
      </c>
      <c r="H1342" s="69">
        <f ca="1"/>
        <v>33729300</v>
      </c>
      <c r="I1342" s="23" t="str">
        <f t="shared" ca="1" si="41"/>
        <v/>
      </c>
    </row>
    <row r="1343" spans="1:9" ht="13.8">
      <c r="A1343" s="20">
        <f t="shared" ca="1" si="40"/>
        <v>43216</v>
      </c>
      <c r="B1343" s="21" t="str">
        <f ca="1"/>
        <v>2018-04-26</v>
      </c>
      <c r="C1343" s="22">
        <f ca="1"/>
        <v>93.550003000000004</v>
      </c>
      <c r="D1343" s="22">
        <f ca="1"/>
        <v>95.150002000000001</v>
      </c>
      <c r="E1343" s="22">
        <f ca="1"/>
        <v>93.099997999999999</v>
      </c>
      <c r="F1343" s="22">
        <f ca="1"/>
        <v>94.260002</v>
      </c>
      <c r="G1343" s="22">
        <f ca="1"/>
        <v>89.183006000000006</v>
      </c>
      <c r="H1343" s="69">
        <f ca="1"/>
        <v>42529000</v>
      </c>
      <c r="I1343" s="23" t="str">
        <f t="shared" ca="1" si="41"/>
        <v/>
      </c>
    </row>
    <row r="1344" spans="1:9" ht="13.8">
      <c r="A1344" s="20">
        <f t="shared" ca="1" si="40"/>
        <v>43217</v>
      </c>
      <c r="B1344" s="21" t="str">
        <f ca="1"/>
        <v>2018-04-27</v>
      </c>
      <c r="C1344" s="22">
        <f ca="1"/>
        <v>97.599997999999999</v>
      </c>
      <c r="D1344" s="22">
        <f ca="1"/>
        <v>97.900002000000001</v>
      </c>
      <c r="E1344" s="22">
        <f ca="1"/>
        <v>93.910004000000001</v>
      </c>
      <c r="F1344" s="22">
        <f ca="1"/>
        <v>95.82</v>
      </c>
      <c r="G1344" s="22">
        <f ca="1"/>
        <v>90.658989000000005</v>
      </c>
      <c r="H1344" s="69">
        <f ca="1"/>
        <v>48272800</v>
      </c>
      <c r="I1344" s="23" t="str">
        <f t="shared" ca="1" si="41"/>
        <v/>
      </c>
    </row>
    <row r="1345" spans="1:9" ht="13.8">
      <c r="A1345" s="20">
        <f t="shared" ca="1" si="40"/>
        <v>43220</v>
      </c>
      <c r="B1345" s="21" t="str">
        <f ca="1"/>
        <v>2018-04-30</v>
      </c>
      <c r="C1345" s="22">
        <f ca="1"/>
        <v>96.330001999999993</v>
      </c>
      <c r="D1345" s="22">
        <f ca="1"/>
        <v>96.400002000000001</v>
      </c>
      <c r="E1345" s="22">
        <f ca="1"/>
        <v>93.150002000000001</v>
      </c>
      <c r="F1345" s="22">
        <f ca="1"/>
        <v>93.519997000000004</v>
      </c>
      <c r="G1345" s="22">
        <f ca="1"/>
        <v>88.482872</v>
      </c>
      <c r="H1345" s="69">
        <f ca="1"/>
        <v>41523600</v>
      </c>
      <c r="I1345" s="23" t="str">
        <f t="shared" ca="1" si="41"/>
        <v/>
      </c>
    </row>
    <row r="1346" spans="1:9" ht="13.8">
      <c r="A1346" s="20">
        <f t="shared" ca="1" si="40"/>
        <v>43221</v>
      </c>
      <c r="B1346" s="21" t="str">
        <f ca="1"/>
        <v>2018-05-01</v>
      </c>
      <c r="C1346" s="22">
        <f ca="1"/>
        <v>93.209998999999996</v>
      </c>
      <c r="D1346" s="22">
        <f ca="1"/>
        <v>95.290001000000004</v>
      </c>
      <c r="E1346" s="22">
        <f ca="1"/>
        <v>92.790001000000004</v>
      </c>
      <c r="F1346" s="22">
        <f ca="1"/>
        <v>95</v>
      </c>
      <c r="G1346" s="22">
        <f ca="1"/>
        <v>89.883171000000004</v>
      </c>
      <c r="H1346" s="69">
        <f ca="1"/>
        <v>31408900</v>
      </c>
      <c r="I1346" s="23" t="str">
        <f t="shared" ca="1" si="41"/>
        <v/>
      </c>
    </row>
    <row r="1347" spans="1:9" ht="13.8">
      <c r="A1347" s="20">
        <f t="shared" ca="1" si="40"/>
        <v>43222</v>
      </c>
      <c r="B1347" s="21" t="str">
        <f ca="1"/>
        <v>2018-05-02</v>
      </c>
      <c r="C1347" s="22">
        <f ca="1"/>
        <v>94.989998</v>
      </c>
      <c r="D1347" s="22">
        <f ca="1"/>
        <v>95.169998000000007</v>
      </c>
      <c r="E1347" s="22">
        <f ca="1"/>
        <v>93.190002000000007</v>
      </c>
      <c r="F1347" s="22">
        <f ca="1"/>
        <v>93.510002</v>
      </c>
      <c r="G1347" s="22">
        <f ca="1"/>
        <v>88.473427000000001</v>
      </c>
      <c r="H1347" s="69">
        <f ca="1"/>
        <v>27471000</v>
      </c>
      <c r="I1347" s="23" t="str">
        <f t="shared" ca="1" si="41"/>
        <v/>
      </c>
    </row>
    <row r="1348" spans="1:9" ht="13.8">
      <c r="A1348" s="20">
        <f t="shared" ca="1" si="40"/>
        <v>43223</v>
      </c>
      <c r="B1348" s="21" t="str">
        <f ca="1"/>
        <v>2018-05-03</v>
      </c>
      <c r="C1348" s="22">
        <f ca="1"/>
        <v>92.959998999999996</v>
      </c>
      <c r="D1348" s="22">
        <f ca="1"/>
        <v>94.93</v>
      </c>
      <c r="E1348" s="22">
        <f ca="1"/>
        <v>92.449996999999996</v>
      </c>
      <c r="F1348" s="22">
        <f ca="1"/>
        <v>94.07</v>
      </c>
      <c r="G1348" s="22">
        <f ca="1"/>
        <v>89.003242</v>
      </c>
      <c r="H1348" s="69">
        <f ca="1"/>
        <v>31142500</v>
      </c>
      <c r="I1348" s="23" t="str">
        <f t="shared" ca="1" si="41"/>
        <v/>
      </c>
    </row>
    <row r="1349" spans="1:9" ht="13.8">
      <c r="A1349" s="20">
        <f t="shared" ca="1" si="40"/>
        <v>43224</v>
      </c>
      <c r="B1349" s="21" t="str">
        <f ca="1"/>
        <v>2018-05-04</v>
      </c>
      <c r="C1349" s="22">
        <f ca="1"/>
        <v>93.32</v>
      </c>
      <c r="D1349" s="22">
        <f ca="1"/>
        <v>95.370002999999997</v>
      </c>
      <c r="E1349" s="22">
        <f ca="1"/>
        <v>92.919998000000007</v>
      </c>
      <c r="F1349" s="22">
        <f ca="1"/>
        <v>95.160004000000001</v>
      </c>
      <c r="G1349" s="22">
        <f ca="1"/>
        <v>90.034560999999997</v>
      </c>
      <c r="H1349" s="69">
        <f ca="1"/>
        <v>22531300</v>
      </c>
      <c r="I1349" s="23" t="str">
        <f t="shared" ca="1" si="41"/>
        <v/>
      </c>
    </row>
    <row r="1350" spans="1:9" ht="13.8">
      <c r="A1350" s="20">
        <f t="shared" ref="A1350:A1413" ca="1" si="42">IFERROR(DATEVALUE($B1350),"--")</f>
        <v>43227</v>
      </c>
      <c r="B1350" s="21" t="str">
        <f ca="1"/>
        <v>2018-05-07</v>
      </c>
      <c r="C1350" s="22">
        <f ca="1"/>
        <v>95.169998000000007</v>
      </c>
      <c r="D1350" s="22">
        <f ca="1"/>
        <v>96.709998999999996</v>
      </c>
      <c r="E1350" s="22">
        <f ca="1"/>
        <v>95.099997999999999</v>
      </c>
      <c r="F1350" s="22">
        <f ca="1"/>
        <v>96.220000999999996</v>
      </c>
      <c r="G1350" s="22">
        <f ca="1"/>
        <v>91.037459999999996</v>
      </c>
      <c r="H1350" s="69">
        <f ca="1"/>
        <v>24242000</v>
      </c>
      <c r="I1350" s="23" t="str">
        <f t="shared" ref="I1350:I1413" ca="1" si="43">IFERROR(IF(Ticker&lt;&gt;$Q$2,"",INDEX($P:$P,MATCH($A1350,$O:$O,0))),"")</f>
        <v/>
      </c>
    </row>
    <row r="1351" spans="1:9" ht="13.8">
      <c r="A1351" s="20">
        <f t="shared" ca="1" si="42"/>
        <v>43228</v>
      </c>
      <c r="B1351" s="21" t="str">
        <f ca="1"/>
        <v>2018-05-08</v>
      </c>
      <c r="C1351" s="22">
        <f ca="1"/>
        <v>95.849997999999999</v>
      </c>
      <c r="D1351" s="22">
        <f ca="1"/>
        <v>96.160004000000001</v>
      </c>
      <c r="E1351" s="22">
        <f ca="1"/>
        <v>95.059997999999993</v>
      </c>
      <c r="F1351" s="22">
        <f ca="1"/>
        <v>95.809997999999993</v>
      </c>
      <c r="G1351" s="22">
        <f ca="1"/>
        <v>90.649535999999998</v>
      </c>
      <c r="H1351" s="69">
        <f ca="1"/>
        <v>23484600</v>
      </c>
      <c r="I1351" s="23" t="str">
        <f t="shared" ca="1" si="43"/>
        <v/>
      </c>
    </row>
    <row r="1352" spans="1:9" ht="13.8">
      <c r="A1352" s="20">
        <f t="shared" ca="1" si="42"/>
        <v>43229</v>
      </c>
      <c r="B1352" s="21" t="str">
        <f ca="1"/>
        <v>2018-05-09</v>
      </c>
      <c r="C1352" s="22">
        <f ca="1"/>
        <v>96.010002</v>
      </c>
      <c r="D1352" s="22">
        <f ca="1"/>
        <v>96.970000999999996</v>
      </c>
      <c r="E1352" s="22">
        <f ca="1"/>
        <v>95.050003000000004</v>
      </c>
      <c r="F1352" s="22">
        <f ca="1"/>
        <v>96.940002000000007</v>
      </c>
      <c r="G1352" s="22">
        <f ca="1"/>
        <v>91.718681000000004</v>
      </c>
      <c r="H1352" s="69">
        <f ca="1"/>
        <v>27327400</v>
      </c>
      <c r="I1352" s="23" t="str">
        <f t="shared" ca="1" si="43"/>
        <v/>
      </c>
    </row>
    <row r="1353" spans="1:9" ht="13.8">
      <c r="A1353" s="20">
        <f t="shared" ca="1" si="42"/>
        <v>43230</v>
      </c>
      <c r="B1353" s="21" t="str">
        <f ca="1"/>
        <v>2018-05-10</v>
      </c>
      <c r="C1353" s="22">
        <f ca="1"/>
        <v>97.459998999999996</v>
      </c>
      <c r="D1353" s="22">
        <f ca="1"/>
        <v>97.949996999999996</v>
      </c>
      <c r="E1353" s="22">
        <f ca="1"/>
        <v>97.050003000000004</v>
      </c>
      <c r="F1353" s="22">
        <f ca="1"/>
        <v>97.910004000000001</v>
      </c>
      <c r="G1353" s="22">
        <f ca="1"/>
        <v>92.636420999999999</v>
      </c>
      <c r="H1353" s="69">
        <f ca="1"/>
        <v>22388100</v>
      </c>
      <c r="I1353" s="23" t="str">
        <f t="shared" ca="1" si="43"/>
        <v/>
      </c>
    </row>
    <row r="1354" spans="1:9" ht="13.8">
      <c r="A1354" s="20">
        <f t="shared" ca="1" si="42"/>
        <v>43231</v>
      </c>
      <c r="B1354" s="21" t="str">
        <f ca="1"/>
        <v>2018-05-11</v>
      </c>
      <c r="C1354" s="22">
        <f ca="1"/>
        <v>97.800003000000004</v>
      </c>
      <c r="D1354" s="22">
        <f ca="1"/>
        <v>97.870002999999997</v>
      </c>
      <c r="E1354" s="22">
        <f ca="1"/>
        <v>97.040001000000004</v>
      </c>
      <c r="F1354" s="22">
        <f ca="1"/>
        <v>97.699996999999996</v>
      </c>
      <c r="G1354" s="22">
        <f ca="1"/>
        <v>92.437720999999996</v>
      </c>
      <c r="H1354" s="69">
        <f ca="1"/>
        <v>16778300</v>
      </c>
      <c r="I1354" s="23" t="str">
        <f t="shared" ca="1" si="43"/>
        <v/>
      </c>
    </row>
    <row r="1355" spans="1:9" ht="13.8">
      <c r="A1355" s="20">
        <f t="shared" ca="1" si="42"/>
        <v>43234</v>
      </c>
      <c r="B1355" s="21" t="str">
        <f ca="1"/>
        <v>2018-05-14</v>
      </c>
      <c r="C1355" s="22">
        <f ca="1"/>
        <v>97.919998000000007</v>
      </c>
      <c r="D1355" s="22">
        <f ca="1"/>
        <v>98.690002000000007</v>
      </c>
      <c r="E1355" s="22">
        <f ca="1"/>
        <v>97.309997999999993</v>
      </c>
      <c r="F1355" s="22">
        <f ca="1"/>
        <v>98.029999000000004</v>
      </c>
      <c r="G1355" s="22">
        <f ca="1"/>
        <v>92.749968999999993</v>
      </c>
      <c r="H1355" s="69">
        <f ca="1"/>
        <v>19454100</v>
      </c>
      <c r="I1355" s="23" t="str">
        <f t="shared" ca="1" si="43"/>
        <v/>
      </c>
    </row>
    <row r="1356" spans="1:9" ht="13.8">
      <c r="A1356" s="20">
        <f t="shared" ca="1" si="42"/>
        <v>43235</v>
      </c>
      <c r="B1356" s="21" t="str">
        <f ca="1"/>
        <v>2018-05-15</v>
      </c>
      <c r="C1356" s="22">
        <f ca="1"/>
        <v>97.239998</v>
      </c>
      <c r="D1356" s="22">
        <f ca="1"/>
        <v>97.849997999999999</v>
      </c>
      <c r="E1356" s="22">
        <f ca="1"/>
        <v>96.339995999999999</v>
      </c>
      <c r="F1356" s="22">
        <f ca="1"/>
        <v>97.32</v>
      </c>
      <c r="G1356" s="22">
        <f ca="1"/>
        <v>92.078209000000001</v>
      </c>
      <c r="H1356" s="69">
        <f ca="1"/>
        <v>24594000</v>
      </c>
      <c r="I1356" s="23" t="str">
        <f t="shared" ca="1" si="43"/>
        <v/>
      </c>
    </row>
    <row r="1357" spans="1:9" ht="13.8">
      <c r="A1357" s="20">
        <f t="shared" ca="1" si="42"/>
        <v>43236</v>
      </c>
      <c r="B1357" s="21" t="str">
        <f ca="1"/>
        <v>2018-05-16</v>
      </c>
      <c r="C1357" s="22">
        <f ca="1"/>
        <v>97.360000999999997</v>
      </c>
      <c r="D1357" s="22">
        <f ca="1"/>
        <v>97.400002000000001</v>
      </c>
      <c r="E1357" s="22">
        <f ca="1"/>
        <v>96.620002999999997</v>
      </c>
      <c r="F1357" s="22">
        <f ca="1"/>
        <v>97.150002000000001</v>
      </c>
      <c r="G1357" s="22">
        <f ca="1"/>
        <v>92.315758000000002</v>
      </c>
      <c r="H1357" s="69">
        <f ca="1"/>
        <v>17384700</v>
      </c>
      <c r="I1357" s="23">
        <f t="shared" ca="1" si="43"/>
        <v>0.42</v>
      </c>
    </row>
    <row r="1358" spans="1:9" ht="13.8">
      <c r="A1358" s="20">
        <f t="shared" ca="1" si="42"/>
        <v>43237</v>
      </c>
      <c r="B1358" s="21" t="str">
        <f ca="1"/>
        <v>2018-05-17</v>
      </c>
      <c r="C1358" s="22">
        <f ca="1"/>
        <v>96.760002</v>
      </c>
      <c r="D1358" s="22">
        <f ca="1"/>
        <v>97.540001000000004</v>
      </c>
      <c r="E1358" s="22">
        <f ca="1"/>
        <v>95.830001999999993</v>
      </c>
      <c r="F1358" s="22">
        <f ca="1"/>
        <v>96.18</v>
      </c>
      <c r="G1358" s="22">
        <f ca="1"/>
        <v>91.394035000000002</v>
      </c>
      <c r="H1358" s="69">
        <f ca="1"/>
        <v>17246700</v>
      </c>
      <c r="I1358" s="23" t="str">
        <f t="shared" ca="1" si="43"/>
        <v/>
      </c>
    </row>
    <row r="1359" spans="1:9" ht="13.8">
      <c r="A1359" s="20">
        <f t="shared" ca="1" si="42"/>
        <v>43238</v>
      </c>
      <c r="B1359" s="21" t="str">
        <f ca="1"/>
        <v>2018-05-18</v>
      </c>
      <c r="C1359" s="22">
        <f ca="1"/>
        <v>96.010002</v>
      </c>
      <c r="D1359" s="22">
        <f ca="1"/>
        <v>96.93</v>
      </c>
      <c r="E1359" s="22">
        <f ca="1"/>
        <v>96.010002</v>
      </c>
      <c r="F1359" s="22">
        <f ca="1"/>
        <v>96.360000999999997</v>
      </c>
      <c r="G1359" s="22">
        <f ca="1"/>
        <v>91.565101999999996</v>
      </c>
      <c r="H1359" s="69">
        <f ca="1"/>
        <v>17865800</v>
      </c>
      <c r="I1359" s="23" t="str">
        <f t="shared" ca="1" si="43"/>
        <v/>
      </c>
    </row>
    <row r="1360" spans="1:9" ht="13.8">
      <c r="A1360" s="20">
        <f t="shared" ca="1" si="42"/>
        <v>43241</v>
      </c>
      <c r="B1360" s="21" t="str">
        <f ca="1"/>
        <v>2018-05-21</v>
      </c>
      <c r="C1360" s="22">
        <f ca="1"/>
        <v>97</v>
      </c>
      <c r="D1360" s="22">
        <f ca="1"/>
        <v>98.010002</v>
      </c>
      <c r="E1360" s="22">
        <f ca="1"/>
        <v>96.800003000000004</v>
      </c>
      <c r="F1360" s="22">
        <f ca="1"/>
        <v>97.599997999999999</v>
      </c>
      <c r="G1360" s="22">
        <f ca="1"/>
        <v>92.743369999999999</v>
      </c>
      <c r="H1360" s="69">
        <f ca="1"/>
        <v>19422500</v>
      </c>
      <c r="I1360" s="23" t="str">
        <f t="shared" ca="1" si="43"/>
        <v/>
      </c>
    </row>
    <row r="1361" spans="1:9" ht="13.8">
      <c r="A1361" s="20">
        <f t="shared" ca="1" si="42"/>
        <v>43242</v>
      </c>
      <c r="B1361" s="21" t="str">
        <f ca="1"/>
        <v>2018-05-22</v>
      </c>
      <c r="C1361" s="22">
        <f ca="1"/>
        <v>97.68</v>
      </c>
      <c r="D1361" s="22">
        <f ca="1"/>
        <v>98.169998000000007</v>
      </c>
      <c r="E1361" s="22">
        <f ca="1"/>
        <v>97.199996999999996</v>
      </c>
      <c r="F1361" s="22">
        <f ca="1"/>
        <v>97.5</v>
      </c>
      <c r="G1361" s="22">
        <f ca="1"/>
        <v>92.648337999999995</v>
      </c>
      <c r="H1361" s="69">
        <f ca="1"/>
        <v>15441200</v>
      </c>
      <c r="I1361" s="23" t="str">
        <f t="shared" ca="1" si="43"/>
        <v/>
      </c>
    </row>
    <row r="1362" spans="1:9" ht="13.8">
      <c r="A1362" s="20">
        <f t="shared" ca="1" si="42"/>
        <v>43243</v>
      </c>
      <c r="B1362" s="21" t="str">
        <f ca="1"/>
        <v>2018-05-23</v>
      </c>
      <c r="C1362" s="22">
        <f ca="1"/>
        <v>96.709998999999996</v>
      </c>
      <c r="D1362" s="22">
        <f ca="1"/>
        <v>98.730002999999996</v>
      </c>
      <c r="E1362" s="22">
        <f ca="1"/>
        <v>96.32</v>
      </c>
      <c r="F1362" s="22">
        <f ca="1"/>
        <v>98.660004000000001</v>
      </c>
      <c r="G1362" s="22">
        <f ca="1"/>
        <v>93.750609999999995</v>
      </c>
      <c r="H1362" s="69">
        <f ca="1"/>
        <v>21251200</v>
      </c>
      <c r="I1362" s="23" t="str">
        <f t="shared" ca="1" si="43"/>
        <v/>
      </c>
    </row>
    <row r="1363" spans="1:9" ht="13.8">
      <c r="A1363" s="20">
        <f t="shared" ca="1" si="42"/>
        <v>43244</v>
      </c>
      <c r="B1363" s="21" t="str">
        <f ca="1"/>
        <v>2018-05-24</v>
      </c>
      <c r="C1363" s="22">
        <f ca="1"/>
        <v>98.730002999999996</v>
      </c>
      <c r="D1363" s="22">
        <f ca="1"/>
        <v>98.940002000000007</v>
      </c>
      <c r="E1363" s="22">
        <f ca="1"/>
        <v>96.809997999999993</v>
      </c>
      <c r="F1363" s="22">
        <f ca="1"/>
        <v>98.309997999999993</v>
      </c>
      <c r="G1363" s="22">
        <f ca="1"/>
        <v>93.418036999999998</v>
      </c>
      <c r="H1363" s="69">
        <f ca="1"/>
        <v>26649300</v>
      </c>
      <c r="I1363" s="23" t="str">
        <f t="shared" ca="1" si="43"/>
        <v/>
      </c>
    </row>
    <row r="1364" spans="1:9" ht="13.8">
      <c r="A1364" s="20">
        <f t="shared" ca="1" si="42"/>
        <v>43245</v>
      </c>
      <c r="B1364" s="21" t="str">
        <f ca="1"/>
        <v>2018-05-25</v>
      </c>
      <c r="C1364" s="22">
        <f ca="1"/>
        <v>98.300003000000004</v>
      </c>
      <c r="D1364" s="22">
        <f ca="1"/>
        <v>98.980002999999996</v>
      </c>
      <c r="E1364" s="22">
        <f ca="1"/>
        <v>97.860000999999997</v>
      </c>
      <c r="F1364" s="22">
        <f ca="1"/>
        <v>98.360000999999997</v>
      </c>
      <c r="G1364" s="22">
        <f ca="1"/>
        <v>93.465553</v>
      </c>
      <c r="H1364" s="69">
        <f ca="1"/>
        <v>18363900</v>
      </c>
      <c r="I1364" s="23" t="str">
        <f t="shared" ca="1" si="43"/>
        <v/>
      </c>
    </row>
    <row r="1365" spans="1:9" ht="13.8">
      <c r="A1365" s="20">
        <f t="shared" ca="1" si="42"/>
        <v>43249</v>
      </c>
      <c r="B1365" s="21" t="str">
        <f ca="1"/>
        <v>2018-05-29</v>
      </c>
      <c r="C1365" s="22">
        <f ca="1"/>
        <v>97.839995999999999</v>
      </c>
      <c r="D1365" s="22">
        <f ca="1"/>
        <v>98.879997000000003</v>
      </c>
      <c r="E1365" s="22">
        <f ca="1"/>
        <v>97.230002999999996</v>
      </c>
      <c r="F1365" s="22">
        <f ca="1"/>
        <v>98.010002</v>
      </c>
      <c r="G1365" s="22">
        <f ca="1"/>
        <v>93.132964999999999</v>
      </c>
      <c r="H1365" s="69">
        <f ca="1"/>
        <v>28671000</v>
      </c>
      <c r="I1365" s="23" t="str">
        <f t="shared" ca="1" si="43"/>
        <v/>
      </c>
    </row>
    <row r="1366" spans="1:9" ht="13.8">
      <c r="A1366" s="20">
        <f t="shared" ca="1" si="42"/>
        <v>43250</v>
      </c>
      <c r="B1366" s="21" t="str">
        <f ca="1"/>
        <v>2018-05-30</v>
      </c>
      <c r="C1366" s="22">
        <f ca="1"/>
        <v>98.309997999999993</v>
      </c>
      <c r="D1366" s="22">
        <f ca="1"/>
        <v>99.25</v>
      </c>
      <c r="E1366" s="22">
        <f ca="1"/>
        <v>97.910004000000001</v>
      </c>
      <c r="F1366" s="22">
        <f ca="1"/>
        <v>98.949996999999996</v>
      </c>
      <c r="G1366" s="22">
        <f ca="1"/>
        <v>94.026191999999995</v>
      </c>
      <c r="H1366" s="69">
        <f ca="1"/>
        <v>22158500</v>
      </c>
      <c r="I1366" s="23" t="str">
        <f t="shared" ca="1" si="43"/>
        <v/>
      </c>
    </row>
    <row r="1367" spans="1:9" ht="13.8">
      <c r="A1367" s="20">
        <f t="shared" ca="1" si="42"/>
        <v>43251</v>
      </c>
      <c r="B1367" s="21" t="str">
        <f ca="1"/>
        <v>2018-05-31</v>
      </c>
      <c r="C1367" s="22">
        <f ca="1"/>
        <v>99.290001000000004</v>
      </c>
      <c r="D1367" s="22">
        <f ca="1"/>
        <v>99.989998</v>
      </c>
      <c r="E1367" s="22">
        <f ca="1"/>
        <v>98.610000999999997</v>
      </c>
      <c r="F1367" s="22">
        <f ca="1"/>
        <v>98.839995999999999</v>
      </c>
      <c r="G1367" s="22">
        <f ca="1"/>
        <v>93.921683999999999</v>
      </c>
      <c r="H1367" s="69">
        <f ca="1"/>
        <v>34140900</v>
      </c>
      <c r="I1367" s="23" t="str">
        <f t="shared" ca="1" si="43"/>
        <v/>
      </c>
    </row>
    <row r="1368" spans="1:9" ht="13.8">
      <c r="A1368" s="20">
        <f t="shared" ca="1" si="42"/>
        <v>43252</v>
      </c>
      <c r="B1368" s="21" t="str">
        <f ca="1"/>
        <v>2018-06-01</v>
      </c>
      <c r="C1368" s="22">
        <f ca="1"/>
        <v>99.279999000000004</v>
      </c>
      <c r="D1368" s="22">
        <f ca="1"/>
        <v>100.860001</v>
      </c>
      <c r="E1368" s="22">
        <f ca="1"/>
        <v>99.169998000000007</v>
      </c>
      <c r="F1368" s="22">
        <f ca="1"/>
        <v>100.790001</v>
      </c>
      <c r="G1368" s="22">
        <f ca="1"/>
        <v>95.774635000000004</v>
      </c>
      <c r="H1368" s="69">
        <f ca="1"/>
        <v>28655600</v>
      </c>
      <c r="I1368" s="23" t="str">
        <f t="shared" ca="1" si="43"/>
        <v/>
      </c>
    </row>
    <row r="1369" spans="1:9" ht="13.8">
      <c r="A1369" s="20">
        <f t="shared" ca="1" si="42"/>
        <v>43255</v>
      </c>
      <c r="B1369" s="21" t="str">
        <f ca="1"/>
        <v>2018-06-04</v>
      </c>
      <c r="C1369" s="22">
        <f ca="1"/>
        <v>101.260002</v>
      </c>
      <c r="D1369" s="22">
        <f ca="1"/>
        <v>101.860001</v>
      </c>
      <c r="E1369" s="22">
        <f ca="1"/>
        <v>100.849998</v>
      </c>
      <c r="F1369" s="22">
        <f ca="1"/>
        <v>101.66999800000001</v>
      </c>
      <c r="G1369" s="22">
        <f ca="1"/>
        <v>96.610847000000007</v>
      </c>
      <c r="H1369" s="69">
        <f ca="1"/>
        <v>27281600</v>
      </c>
      <c r="I1369" s="23" t="str">
        <f t="shared" ca="1" si="43"/>
        <v/>
      </c>
    </row>
    <row r="1370" spans="1:9" ht="13.8">
      <c r="A1370" s="20">
        <f t="shared" ca="1" si="42"/>
        <v>43256</v>
      </c>
      <c r="B1370" s="21" t="str">
        <f ca="1"/>
        <v>2018-06-05</v>
      </c>
      <c r="C1370" s="22">
        <f ca="1"/>
        <v>102</v>
      </c>
      <c r="D1370" s="22">
        <f ca="1"/>
        <v>102.33000199999999</v>
      </c>
      <c r="E1370" s="22">
        <f ca="1"/>
        <v>101.529999</v>
      </c>
      <c r="F1370" s="22">
        <f ca="1"/>
        <v>102.19000200000001</v>
      </c>
      <c r="G1370" s="22">
        <f ca="1"/>
        <v>97.104965000000007</v>
      </c>
      <c r="H1370" s="69">
        <f ca="1"/>
        <v>23514400</v>
      </c>
      <c r="I1370" s="23" t="str">
        <f t="shared" ca="1" si="43"/>
        <v/>
      </c>
    </row>
    <row r="1371" spans="1:9" ht="13.8">
      <c r="A1371" s="20">
        <f t="shared" ca="1" si="42"/>
        <v>43257</v>
      </c>
      <c r="B1371" s="21" t="str">
        <f ca="1"/>
        <v>2018-06-06</v>
      </c>
      <c r="C1371" s="22">
        <f ca="1"/>
        <v>102.480003</v>
      </c>
      <c r="D1371" s="22">
        <f ca="1"/>
        <v>102.599998</v>
      </c>
      <c r="E1371" s="22">
        <f ca="1"/>
        <v>101.900002</v>
      </c>
      <c r="F1371" s="22">
        <f ca="1"/>
        <v>102.489998</v>
      </c>
      <c r="G1371" s="22">
        <f ca="1"/>
        <v>97.390029999999996</v>
      </c>
      <c r="H1371" s="69">
        <f ca="1"/>
        <v>21122900</v>
      </c>
      <c r="I1371" s="23" t="str">
        <f t="shared" ca="1" si="43"/>
        <v/>
      </c>
    </row>
    <row r="1372" spans="1:9" ht="13.8">
      <c r="A1372" s="20">
        <f t="shared" ca="1" si="42"/>
        <v>43258</v>
      </c>
      <c r="B1372" s="21" t="str">
        <f ca="1"/>
        <v>2018-06-07</v>
      </c>
      <c r="C1372" s="22">
        <f ca="1"/>
        <v>102.650002</v>
      </c>
      <c r="D1372" s="22">
        <f ca="1"/>
        <v>102.69000200000001</v>
      </c>
      <c r="E1372" s="22">
        <f ca="1"/>
        <v>100.379997</v>
      </c>
      <c r="F1372" s="22">
        <f ca="1"/>
        <v>100.879997</v>
      </c>
      <c r="G1372" s="22">
        <f ca="1"/>
        <v>95.860168000000002</v>
      </c>
      <c r="H1372" s="69">
        <f ca="1"/>
        <v>28232200</v>
      </c>
      <c r="I1372" s="23" t="str">
        <f t="shared" ca="1" si="43"/>
        <v/>
      </c>
    </row>
    <row r="1373" spans="1:9" ht="13.8">
      <c r="A1373" s="20">
        <f t="shared" ca="1" si="42"/>
        <v>43259</v>
      </c>
      <c r="B1373" s="21" t="str">
        <f ca="1"/>
        <v>2018-06-08</v>
      </c>
      <c r="C1373" s="22">
        <f ca="1"/>
        <v>101.089996</v>
      </c>
      <c r="D1373" s="22">
        <f ca="1"/>
        <v>101.949997</v>
      </c>
      <c r="E1373" s="22">
        <f ca="1"/>
        <v>100.540001</v>
      </c>
      <c r="F1373" s="22">
        <f ca="1"/>
        <v>101.629997</v>
      </c>
      <c r="G1373" s="22">
        <f ca="1"/>
        <v>96.572852999999995</v>
      </c>
      <c r="H1373" s="69">
        <f ca="1"/>
        <v>22165100</v>
      </c>
      <c r="I1373" s="23" t="str">
        <f t="shared" ca="1" si="43"/>
        <v/>
      </c>
    </row>
    <row r="1374" spans="1:9" ht="13.8">
      <c r="A1374" s="20">
        <f t="shared" ca="1" si="42"/>
        <v>43262</v>
      </c>
      <c r="B1374" s="21" t="str">
        <f ca="1"/>
        <v>2018-06-11</v>
      </c>
      <c r="C1374" s="22">
        <f ca="1"/>
        <v>101.010002</v>
      </c>
      <c r="D1374" s="22">
        <f ca="1"/>
        <v>101.589996</v>
      </c>
      <c r="E1374" s="22">
        <f ca="1"/>
        <v>100.66999800000001</v>
      </c>
      <c r="F1374" s="22">
        <f ca="1"/>
        <v>101.050003</v>
      </c>
      <c r="G1374" s="22">
        <f ca="1"/>
        <v>96.021705999999995</v>
      </c>
      <c r="H1374" s="69">
        <f ca="1"/>
        <v>23490900</v>
      </c>
      <c r="I1374" s="23" t="str">
        <f t="shared" ca="1" si="43"/>
        <v/>
      </c>
    </row>
    <row r="1375" spans="1:9" ht="13.8">
      <c r="A1375" s="20">
        <f t="shared" ca="1" si="42"/>
        <v>43263</v>
      </c>
      <c r="B1375" s="21" t="str">
        <f ca="1"/>
        <v>2018-06-12</v>
      </c>
      <c r="C1375" s="22">
        <f ca="1"/>
        <v>101.099998</v>
      </c>
      <c r="D1375" s="22">
        <f ca="1"/>
        <v>101.449997</v>
      </c>
      <c r="E1375" s="22">
        <f ca="1"/>
        <v>100.75</v>
      </c>
      <c r="F1375" s="22">
        <f ca="1"/>
        <v>101.30999799999999</v>
      </c>
      <c r="G1375" s="22">
        <f ca="1"/>
        <v>96.268767999999994</v>
      </c>
      <c r="H1375" s="69">
        <f ca="1"/>
        <v>18325200</v>
      </c>
      <c r="I1375" s="23" t="str">
        <f t="shared" ca="1" si="43"/>
        <v/>
      </c>
    </row>
    <row r="1376" spans="1:9" ht="13.8">
      <c r="A1376" s="20">
        <f t="shared" ca="1" si="42"/>
        <v>43264</v>
      </c>
      <c r="B1376" s="21" t="str">
        <f ca="1"/>
        <v>2018-06-13</v>
      </c>
      <c r="C1376" s="22">
        <f ca="1"/>
        <v>101.720001</v>
      </c>
      <c r="D1376" s="22">
        <f ca="1"/>
        <v>102.010002</v>
      </c>
      <c r="E1376" s="22">
        <f ca="1"/>
        <v>100.55999799999999</v>
      </c>
      <c r="F1376" s="22">
        <f ca="1"/>
        <v>100.849998</v>
      </c>
      <c r="G1376" s="22">
        <f ca="1"/>
        <v>95.831665000000001</v>
      </c>
      <c r="H1376" s="69">
        <f ca="1"/>
        <v>29492900</v>
      </c>
      <c r="I1376" s="23" t="str">
        <f t="shared" ca="1" si="43"/>
        <v/>
      </c>
    </row>
    <row r="1377" spans="1:9" ht="13.8">
      <c r="A1377" s="20">
        <f t="shared" ca="1" si="42"/>
        <v>43265</v>
      </c>
      <c r="B1377" s="21" t="str">
        <f ca="1"/>
        <v>2018-06-14</v>
      </c>
      <c r="C1377" s="22">
        <f ca="1"/>
        <v>101.650002</v>
      </c>
      <c r="D1377" s="22">
        <f ca="1"/>
        <v>102.029999</v>
      </c>
      <c r="E1377" s="22">
        <f ca="1"/>
        <v>101</v>
      </c>
      <c r="F1377" s="22">
        <f ca="1"/>
        <v>101.41999800000001</v>
      </c>
      <c r="G1377" s="22">
        <f ca="1"/>
        <v>96.373283000000001</v>
      </c>
      <c r="H1377" s="69">
        <f ca="1"/>
        <v>25691800</v>
      </c>
      <c r="I1377" s="23" t="str">
        <f t="shared" ca="1" si="43"/>
        <v/>
      </c>
    </row>
    <row r="1378" spans="1:9" ht="13.8">
      <c r="A1378" s="20">
        <f t="shared" ca="1" si="42"/>
        <v>43266</v>
      </c>
      <c r="B1378" s="21" t="str">
        <f ca="1"/>
        <v>2018-06-15</v>
      </c>
      <c r="C1378" s="22">
        <f ca="1"/>
        <v>101.510002</v>
      </c>
      <c r="D1378" s="22">
        <f ca="1"/>
        <v>101.529999</v>
      </c>
      <c r="E1378" s="22">
        <f ca="1"/>
        <v>100.07</v>
      </c>
      <c r="F1378" s="22">
        <f ca="1"/>
        <v>100.129997</v>
      </c>
      <c r="G1378" s="22">
        <f ca="1"/>
        <v>95.147475999999997</v>
      </c>
      <c r="H1378" s="69">
        <f ca="1"/>
        <v>65738600</v>
      </c>
      <c r="I1378" s="23" t="str">
        <f t="shared" ca="1" si="43"/>
        <v/>
      </c>
    </row>
    <row r="1379" spans="1:9" ht="13.8">
      <c r="A1379" s="20">
        <f t="shared" ca="1" si="42"/>
        <v>43269</v>
      </c>
      <c r="B1379" s="21" t="str">
        <f ca="1"/>
        <v>2018-06-18</v>
      </c>
      <c r="C1379" s="22">
        <f ca="1"/>
        <v>100.010002</v>
      </c>
      <c r="D1379" s="22">
        <f ca="1"/>
        <v>101.110001</v>
      </c>
      <c r="E1379" s="22">
        <f ca="1"/>
        <v>99.419998000000007</v>
      </c>
      <c r="F1379" s="22">
        <f ca="1"/>
        <v>100.860001</v>
      </c>
      <c r="G1379" s="22">
        <f ca="1"/>
        <v>95.841148000000004</v>
      </c>
      <c r="H1379" s="69">
        <f ca="1"/>
        <v>23586000</v>
      </c>
      <c r="I1379" s="23" t="str">
        <f t="shared" ca="1" si="43"/>
        <v/>
      </c>
    </row>
    <row r="1380" spans="1:9" ht="13.8">
      <c r="A1380" s="20">
        <f t="shared" ca="1" si="42"/>
        <v>43270</v>
      </c>
      <c r="B1380" s="21" t="str">
        <f ca="1"/>
        <v>2018-06-19</v>
      </c>
      <c r="C1380" s="22">
        <f ca="1"/>
        <v>99.650002000000001</v>
      </c>
      <c r="D1380" s="22">
        <f ca="1"/>
        <v>101</v>
      </c>
      <c r="E1380" s="22">
        <f ca="1"/>
        <v>99.5</v>
      </c>
      <c r="F1380" s="22">
        <f ca="1"/>
        <v>100.860001</v>
      </c>
      <c r="G1380" s="22">
        <f ca="1"/>
        <v>95.841148000000004</v>
      </c>
      <c r="H1380" s="69">
        <f ca="1"/>
        <v>28653100</v>
      </c>
      <c r="I1380" s="23" t="str">
        <f t="shared" ca="1" si="43"/>
        <v/>
      </c>
    </row>
    <row r="1381" spans="1:9" ht="13.8">
      <c r="A1381" s="20">
        <f t="shared" ca="1" si="42"/>
        <v>43271</v>
      </c>
      <c r="B1381" s="21" t="str">
        <f ca="1"/>
        <v>2018-06-20</v>
      </c>
      <c r="C1381" s="22">
        <f ca="1"/>
        <v>101.370003</v>
      </c>
      <c r="D1381" s="22">
        <f ca="1"/>
        <v>102.519997</v>
      </c>
      <c r="E1381" s="22">
        <f ca="1"/>
        <v>101.120003</v>
      </c>
      <c r="F1381" s="22">
        <f ca="1"/>
        <v>101.870003</v>
      </c>
      <c r="G1381" s="22">
        <f ca="1"/>
        <v>96.800895999999995</v>
      </c>
      <c r="H1381" s="69">
        <f ca="1"/>
        <v>26180800</v>
      </c>
      <c r="I1381" s="23" t="str">
        <f t="shared" ca="1" si="43"/>
        <v/>
      </c>
    </row>
    <row r="1382" spans="1:9" ht="13.8">
      <c r="A1382" s="20">
        <f t="shared" ca="1" si="42"/>
        <v>43272</v>
      </c>
      <c r="B1382" s="21" t="str">
        <f ca="1"/>
        <v>2018-06-21</v>
      </c>
      <c r="C1382" s="22">
        <f ca="1"/>
        <v>102.08000199999999</v>
      </c>
      <c r="D1382" s="22">
        <f ca="1"/>
        <v>102.459999</v>
      </c>
      <c r="E1382" s="22">
        <f ca="1"/>
        <v>100.879997</v>
      </c>
      <c r="F1382" s="22">
        <f ca="1"/>
        <v>101.139999</v>
      </c>
      <c r="G1382" s="22">
        <f ca="1"/>
        <v>96.107215999999994</v>
      </c>
      <c r="H1382" s="69">
        <f ca="1"/>
        <v>23198200</v>
      </c>
      <c r="I1382" s="23" t="str">
        <f t="shared" ca="1" si="43"/>
        <v/>
      </c>
    </row>
    <row r="1383" spans="1:9" ht="13.8">
      <c r="A1383" s="20">
        <f t="shared" ca="1" si="42"/>
        <v>43273</v>
      </c>
      <c r="B1383" s="21" t="str">
        <f ca="1"/>
        <v>2018-06-22</v>
      </c>
      <c r="C1383" s="22">
        <f ca="1"/>
        <v>100.410004</v>
      </c>
      <c r="D1383" s="22">
        <f ca="1"/>
        <v>100.769997</v>
      </c>
      <c r="E1383" s="22">
        <f ca="1"/>
        <v>99.629997000000003</v>
      </c>
      <c r="F1383" s="22">
        <f ca="1"/>
        <v>100.410004</v>
      </c>
      <c r="G1383" s="22">
        <f ca="1"/>
        <v>95.413544000000002</v>
      </c>
      <c r="H1383" s="69">
        <f ca="1"/>
        <v>38923100</v>
      </c>
      <c r="I1383" s="23" t="str">
        <f t="shared" ca="1" si="43"/>
        <v/>
      </c>
    </row>
    <row r="1384" spans="1:9" ht="13.8">
      <c r="A1384" s="20">
        <f t="shared" ca="1" si="42"/>
        <v>43276</v>
      </c>
      <c r="B1384" s="21" t="str">
        <f ca="1"/>
        <v>2018-06-25</v>
      </c>
      <c r="C1384" s="22">
        <f ca="1"/>
        <v>100</v>
      </c>
      <c r="D1384" s="22">
        <f ca="1"/>
        <v>100.110001</v>
      </c>
      <c r="E1384" s="22">
        <f ca="1"/>
        <v>97.300003000000004</v>
      </c>
      <c r="F1384" s="22">
        <f ca="1"/>
        <v>98.389999000000003</v>
      </c>
      <c r="G1384" s="22">
        <f ca="1"/>
        <v>93.494056999999998</v>
      </c>
      <c r="H1384" s="69">
        <f ca="1"/>
        <v>35433300</v>
      </c>
      <c r="I1384" s="23" t="str">
        <f t="shared" ca="1" si="43"/>
        <v/>
      </c>
    </row>
    <row r="1385" spans="1:9" ht="13.8">
      <c r="A1385" s="20">
        <f t="shared" ca="1" si="42"/>
        <v>43277</v>
      </c>
      <c r="B1385" s="21" t="str">
        <f ca="1"/>
        <v>2018-06-26</v>
      </c>
      <c r="C1385" s="22">
        <f ca="1"/>
        <v>98.82</v>
      </c>
      <c r="D1385" s="22">
        <f ca="1"/>
        <v>100.08000199999999</v>
      </c>
      <c r="E1385" s="22">
        <f ca="1"/>
        <v>98.75</v>
      </c>
      <c r="F1385" s="22">
        <f ca="1"/>
        <v>99.080001999999993</v>
      </c>
      <c r="G1385" s="22">
        <f ca="1"/>
        <v>94.149726999999999</v>
      </c>
      <c r="H1385" s="69">
        <f ca="1"/>
        <v>26897200</v>
      </c>
      <c r="I1385" s="23" t="str">
        <f t="shared" ca="1" si="43"/>
        <v/>
      </c>
    </row>
    <row r="1386" spans="1:9" ht="13.8">
      <c r="A1386" s="20">
        <f t="shared" ca="1" si="42"/>
        <v>43278</v>
      </c>
      <c r="B1386" s="21" t="str">
        <f ca="1"/>
        <v>2018-06-27</v>
      </c>
      <c r="C1386" s="22">
        <f ca="1"/>
        <v>99.580001999999993</v>
      </c>
      <c r="D1386" s="22">
        <f ca="1"/>
        <v>100.019997</v>
      </c>
      <c r="E1386" s="22">
        <f ca="1"/>
        <v>97.400002000000001</v>
      </c>
      <c r="F1386" s="22">
        <f ca="1"/>
        <v>97.540001000000004</v>
      </c>
      <c r="G1386" s="22">
        <f ca="1"/>
        <v>92.686347999999995</v>
      </c>
      <c r="H1386" s="69">
        <f ca="1"/>
        <v>31298400</v>
      </c>
      <c r="I1386" s="23" t="str">
        <f t="shared" ca="1" si="43"/>
        <v/>
      </c>
    </row>
    <row r="1387" spans="1:9" ht="13.8">
      <c r="A1387" s="20">
        <f t="shared" ca="1" si="42"/>
        <v>43279</v>
      </c>
      <c r="B1387" s="21" t="str">
        <f ca="1"/>
        <v>2018-06-28</v>
      </c>
      <c r="C1387" s="22">
        <f ca="1"/>
        <v>97.379997000000003</v>
      </c>
      <c r="D1387" s="22">
        <f ca="1"/>
        <v>99.110000999999997</v>
      </c>
      <c r="E1387" s="22">
        <f ca="1"/>
        <v>97.260002</v>
      </c>
      <c r="F1387" s="22">
        <f ca="1"/>
        <v>98.629997000000003</v>
      </c>
      <c r="G1387" s="22">
        <f ca="1"/>
        <v>93.722115000000002</v>
      </c>
      <c r="H1387" s="69">
        <f ca="1"/>
        <v>26650700</v>
      </c>
      <c r="I1387" s="23" t="str">
        <f t="shared" ca="1" si="43"/>
        <v/>
      </c>
    </row>
    <row r="1388" spans="1:9" ht="13.8">
      <c r="A1388" s="20">
        <f t="shared" ca="1" si="42"/>
        <v>43280</v>
      </c>
      <c r="B1388" s="21" t="str">
        <f ca="1"/>
        <v>2018-06-29</v>
      </c>
      <c r="C1388" s="22">
        <f ca="1"/>
        <v>98.93</v>
      </c>
      <c r="D1388" s="22">
        <f ca="1"/>
        <v>99.910004000000001</v>
      </c>
      <c r="E1388" s="22">
        <f ca="1"/>
        <v>98.330001999999993</v>
      </c>
      <c r="F1388" s="22">
        <f ca="1"/>
        <v>98.610000999999997</v>
      </c>
      <c r="G1388" s="22">
        <f ca="1"/>
        <v>93.703102000000001</v>
      </c>
      <c r="H1388" s="69">
        <f ca="1"/>
        <v>28053200</v>
      </c>
      <c r="I1388" s="23" t="str">
        <f t="shared" ca="1" si="43"/>
        <v/>
      </c>
    </row>
    <row r="1389" spans="1:9" ht="13.8">
      <c r="A1389" s="20">
        <f t="shared" ca="1" si="42"/>
        <v>43283</v>
      </c>
      <c r="B1389" s="21" t="str">
        <f ca="1"/>
        <v>2018-07-02</v>
      </c>
      <c r="C1389" s="22">
        <f ca="1"/>
        <v>98.099997999999999</v>
      </c>
      <c r="D1389" s="22">
        <f ca="1"/>
        <v>100.05999799999999</v>
      </c>
      <c r="E1389" s="22">
        <f ca="1"/>
        <v>98</v>
      </c>
      <c r="F1389" s="22">
        <f ca="1"/>
        <v>100.010002</v>
      </c>
      <c r="G1389" s="22">
        <f ca="1"/>
        <v>95.033455000000004</v>
      </c>
      <c r="H1389" s="69">
        <f ca="1"/>
        <v>19564500</v>
      </c>
      <c r="I1389" s="23" t="str">
        <f t="shared" ca="1" si="43"/>
        <v/>
      </c>
    </row>
    <row r="1390" spans="1:9" ht="13.8">
      <c r="A1390" s="20">
        <f t="shared" ca="1" si="42"/>
        <v>43284</v>
      </c>
      <c r="B1390" s="21" t="str">
        <f ca="1"/>
        <v>2018-07-03</v>
      </c>
      <c r="C1390" s="22">
        <f ca="1"/>
        <v>100.480003</v>
      </c>
      <c r="D1390" s="22">
        <f ca="1"/>
        <v>100.629997</v>
      </c>
      <c r="E1390" s="22">
        <f ca="1"/>
        <v>98.940002000000007</v>
      </c>
      <c r="F1390" s="22">
        <f ca="1"/>
        <v>99.050003000000004</v>
      </c>
      <c r="G1390" s="22">
        <f ca="1"/>
        <v>94.121216000000004</v>
      </c>
      <c r="H1390" s="69">
        <f ca="1"/>
        <v>14670300</v>
      </c>
      <c r="I1390" s="23" t="str">
        <f t="shared" ca="1" si="43"/>
        <v/>
      </c>
    </row>
    <row r="1391" spans="1:9" ht="13.8">
      <c r="A1391" s="20">
        <f t="shared" ca="1" si="42"/>
        <v>43286</v>
      </c>
      <c r="B1391" s="21" t="str">
        <f ca="1"/>
        <v>2018-07-05</v>
      </c>
      <c r="C1391" s="22">
        <f ca="1"/>
        <v>99.5</v>
      </c>
      <c r="D1391" s="22">
        <f ca="1"/>
        <v>99.919998000000007</v>
      </c>
      <c r="E1391" s="22">
        <f ca="1"/>
        <v>99.029999000000004</v>
      </c>
      <c r="F1391" s="22">
        <f ca="1"/>
        <v>99.760002</v>
      </c>
      <c r="G1391" s="22">
        <f ca="1"/>
        <v>94.795897999999994</v>
      </c>
      <c r="H1391" s="69">
        <f ca="1"/>
        <v>18977400</v>
      </c>
      <c r="I1391" s="23" t="str">
        <f t="shared" ca="1" si="43"/>
        <v/>
      </c>
    </row>
    <row r="1392" spans="1:9" ht="13.8">
      <c r="A1392" s="20">
        <f t="shared" ca="1" si="42"/>
        <v>43287</v>
      </c>
      <c r="B1392" s="21" t="str">
        <f ca="1"/>
        <v>2018-07-06</v>
      </c>
      <c r="C1392" s="22">
        <f ca="1"/>
        <v>99.889999000000003</v>
      </c>
      <c r="D1392" s="22">
        <f ca="1"/>
        <v>101.43</v>
      </c>
      <c r="E1392" s="22">
        <f ca="1"/>
        <v>99.669998000000007</v>
      </c>
      <c r="F1392" s="22">
        <f ca="1"/>
        <v>101.160004</v>
      </c>
      <c r="G1392" s="22">
        <f ca="1"/>
        <v>96.126221000000001</v>
      </c>
      <c r="H1392" s="69">
        <f ca="1"/>
        <v>19234600</v>
      </c>
      <c r="I1392" s="23" t="str">
        <f t="shared" ca="1" si="43"/>
        <v/>
      </c>
    </row>
    <row r="1393" spans="1:9" ht="13.8">
      <c r="A1393" s="20">
        <f t="shared" ca="1" si="42"/>
        <v>43290</v>
      </c>
      <c r="B1393" s="21" t="str">
        <f ca="1"/>
        <v>2018-07-09</v>
      </c>
      <c r="C1393" s="22">
        <f ca="1"/>
        <v>101.650002</v>
      </c>
      <c r="D1393" s="22">
        <f ca="1"/>
        <v>102.25</v>
      </c>
      <c r="E1393" s="22">
        <f ca="1"/>
        <v>101.25</v>
      </c>
      <c r="F1393" s="22">
        <f ca="1"/>
        <v>101.849998</v>
      </c>
      <c r="G1393" s="22">
        <f ca="1"/>
        <v>96.781891000000002</v>
      </c>
      <c r="H1393" s="69">
        <f ca="1"/>
        <v>18212000</v>
      </c>
      <c r="I1393" s="23" t="str">
        <f t="shared" ca="1" si="43"/>
        <v/>
      </c>
    </row>
    <row r="1394" spans="1:9" ht="13.8">
      <c r="A1394" s="20">
        <f t="shared" ca="1" si="42"/>
        <v>43291</v>
      </c>
      <c r="B1394" s="21" t="str">
        <f ca="1"/>
        <v>2018-07-10</v>
      </c>
      <c r="C1394" s="22">
        <f ca="1"/>
        <v>102</v>
      </c>
      <c r="D1394" s="22">
        <f ca="1"/>
        <v>102.510002</v>
      </c>
      <c r="E1394" s="22">
        <f ca="1"/>
        <v>101.860001</v>
      </c>
      <c r="F1394" s="22">
        <f ca="1"/>
        <v>102.120003</v>
      </c>
      <c r="G1394" s="22">
        <f ca="1"/>
        <v>97.038460000000001</v>
      </c>
      <c r="H1394" s="69">
        <f ca="1"/>
        <v>19293100</v>
      </c>
      <c r="I1394" s="23" t="str">
        <f t="shared" ca="1" si="43"/>
        <v/>
      </c>
    </row>
    <row r="1395" spans="1:9" ht="13.8">
      <c r="A1395" s="20">
        <f t="shared" ca="1" si="42"/>
        <v>43292</v>
      </c>
      <c r="B1395" s="21" t="str">
        <f ca="1"/>
        <v>2018-07-11</v>
      </c>
      <c r="C1395" s="22">
        <f ca="1"/>
        <v>101.150002</v>
      </c>
      <c r="D1395" s="22">
        <f ca="1"/>
        <v>102.339996</v>
      </c>
      <c r="E1395" s="22">
        <f ca="1"/>
        <v>101.099998</v>
      </c>
      <c r="F1395" s="22">
        <f ca="1"/>
        <v>101.980003</v>
      </c>
      <c r="G1395" s="22">
        <f ca="1"/>
        <v>96.905417999999997</v>
      </c>
      <c r="H1395" s="69">
        <f ca="1"/>
        <v>19644600</v>
      </c>
      <c r="I1395" s="23" t="str">
        <f t="shared" ca="1" si="43"/>
        <v/>
      </c>
    </row>
    <row r="1396" spans="1:9" ht="13.8">
      <c r="A1396" s="20">
        <f t="shared" ca="1" si="42"/>
        <v>43293</v>
      </c>
      <c r="B1396" s="21" t="str">
        <f ca="1"/>
        <v>2018-07-12</v>
      </c>
      <c r="C1396" s="22">
        <f ca="1"/>
        <v>102.769997</v>
      </c>
      <c r="D1396" s="22">
        <f ca="1"/>
        <v>104.410004</v>
      </c>
      <c r="E1396" s="22">
        <f ca="1"/>
        <v>102.730003</v>
      </c>
      <c r="F1396" s="22">
        <f ca="1"/>
        <v>104.19000200000001</v>
      </c>
      <c r="G1396" s="22">
        <f ca="1"/>
        <v>99.005454999999998</v>
      </c>
      <c r="H1396" s="69">
        <f ca="1"/>
        <v>24335900</v>
      </c>
      <c r="I1396" s="23" t="str">
        <f t="shared" ca="1" si="43"/>
        <v/>
      </c>
    </row>
    <row r="1397" spans="1:9" ht="13.8">
      <c r="A1397" s="20">
        <f t="shared" ca="1" si="42"/>
        <v>43294</v>
      </c>
      <c r="B1397" s="21" t="str">
        <f ca="1"/>
        <v>2018-07-13</v>
      </c>
      <c r="C1397" s="22">
        <f ca="1"/>
        <v>104.370003</v>
      </c>
      <c r="D1397" s="22">
        <f ca="1"/>
        <v>105.599998</v>
      </c>
      <c r="E1397" s="22">
        <f ca="1"/>
        <v>104.089996</v>
      </c>
      <c r="F1397" s="22">
        <f ca="1"/>
        <v>105.43</v>
      </c>
      <c r="G1397" s="22">
        <f ca="1"/>
        <v>100.183739</v>
      </c>
      <c r="H1397" s="69">
        <f ca="1"/>
        <v>24635200</v>
      </c>
      <c r="I1397" s="23" t="str">
        <f t="shared" ca="1" si="43"/>
        <v/>
      </c>
    </row>
    <row r="1398" spans="1:9" ht="13.8">
      <c r="A1398" s="20">
        <f t="shared" ca="1" si="42"/>
        <v>43297</v>
      </c>
      <c r="B1398" s="21" t="str">
        <f ca="1"/>
        <v>2018-07-16</v>
      </c>
      <c r="C1398" s="22">
        <f ca="1"/>
        <v>105.400002</v>
      </c>
      <c r="D1398" s="22">
        <f ca="1"/>
        <v>105.82</v>
      </c>
      <c r="E1398" s="22">
        <f ca="1"/>
        <v>104.519997</v>
      </c>
      <c r="F1398" s="22">
        <f ca="1"/>
        <v>104.910004</v>
      </c>
      <c r="G1398" s="22">
        <f ca="1"/>
        <v>99.689621000000002</v>
      </c>
      <c r="H1398" s="69">
        <f ca="1"/>
        <v>21786900</v>
      </c>
      <c r="I1398" s="23" t="str">
        <f t="shared" ca="1" si="43"/>
        <v/>
      </c>
    </row>
    <row r="1399" spans="1:9" ht="13.8">
      <c r="A1399" s="20">
        <f t="shared" ca="1" si="42"/>
        <v>43298</v>
      </c>
      <c r="B1399" s="21" t="str">
        <f ca="1"/>
        <v>2018-07-17</v>
      </c>
      <c r="C1399" s="22">
        <f ca="1"/>
        <v>104.610001</v>
      </c>
      <c r="D1399" s="22">
        <f ca="1"/>
        <v>106.5</v>
      </c>
      <c r="E1399" s="22">
        <f ca="1"/>
        <v>104.32</v>
      </c>
      <c r="F1399" s="22">
        <f ca="1"/>
        <v>105.949997</v>
      </c>
      <c r="G1399" s="22">
        <f ca="1"/>
        <v>100.67785600000001</v>
      </c>
      <c r="H1399" s="69">
        <f ca="1"/>
        <v>25901700</v>
      </c>
      <c r="I1399" s="23" t="str">
        <f t="shared" ca="1" si="43"/>
        <v/>
      </c>
    </row>
    <row r="1400" spans="1:9" ht="13.8">
      <c r="A1400" s="20">
        <f t="shared" ca="1" si="42"/>
        <v>43299</v>
      </c>
      <c r="B1400" s="21" t="str">
        <f ca="1"/>
        <v>2018-07-18</v>
      </c>
      <c r="C1400" s="22">
        <f ca="1"/>
        <v>105.94000200000001</v>
      </c>
      <c r="D1400" s="22">
        <f ca="1"/>
        <v>106.050003</v>
      </c>
      <c r="E1400" s="22">
        <f ca="1"/>
        <v>104.720001</v>
      </c>
      <c r="F1400" s="22">
        <f ca="1"/>
        <v>105.120003</v>
      </c>
      <c r="G1400" s="22">
        <f ca="1"/>
        <v>99.889174999999994</v>
      </c>
      <c r="H1400" s="69">
        <f ca="1"/>
        <v>29493900</v>
      </c>
      <c r="I1400" s="23" t="str">
        <f t="shared" ca="1" si="43"/>
        <v/>
      </c>
    </row>
    <row r="1401" spans="1:9" ht="13.8">
      <c r="A1401" s="20">
        <f t="shared" ca="1" si="42"/>
        <v>43300</v>
      </c>
      <c r="B1401" s="21" t="str">
        <f ca="1"/>
        <v>2018-07-19</v>
      </c>
      <c r="C1401" s="22">
        <f ca="1"/>
        <v>104.93</v>
      </c>
      <c r="D1401" s="22">
        <f ca="1"/>
        <v>105.30999799999999</v>
      </c>
      <c r="E1401" s="22">
        <f ca="1"/>
        <v>103.889999</v>
      </c>
      <c r="F1401" s="22">
        <f ca="1"/>
        <v>104.400002</v>
      </c>
      <c r="G1401" s="22">
        <f ca="1"/>
        <v>99.204993999999999</v>
      </c>
      <c r="H1401" s="69">
        <f ca="1"/>
        <v>40171600</v>
      </c>
      <c r="I1401" s="23" t="str">
        <f t="shared" ca="1" si="43"/>
        <v/>
      </c>
    </row>
    <row r="1402" spans="1:9" ht="13.8">
      <c r="A1402" s="20">
        <f t="shared" ca="1" si="42"/>
        <v>43301</v>
      </c>
      <c r="B1402" s="21" t="str">
        <f ca="1"/>
        <v>2018-07-20</v>
      </c>
      <c r="C1402" s="22">
        <f ca="1"/>
        <v>108.08000199999999</v>
      </c>
      <c r="D1402" s="22">
        <f ca="1"/>
        <v>108.199997</v>
      </c>
      <c r="E1402" s="22">
        <f ca="1"/>
        <v>106.08000199999999</v>
      </c>
      <c r="F1402" s="22">
        <f ca="1"/>
        <v>106.269997</v>
      </c>
      <c r="G1402" s="22">
        <f ca="1"/>
        <v>100.98194100000001</v>
      </c>
      <c r="H1402" s="69">
        <f ca="1"/>
        <v>56004000</v>
      </c>
      <c r="I1402" s="23" t="str">
        <f t="shared" ca="1" si="43"/>
        <v/>
      </c>
    </row>
    <row r="1403" spans="1:9" ht="13.8">
      <c r="A1403" s="20">
        <f t="shared" ca="1" si="42"/>
        <v>43304</v>
      </c>
      <c r="B1403" s="21" t="str">
        <f ca="1"/>
        <v>2018-07-23</v>
      </c>
      <c r="C1403" s="22">
        <f ca="1"/>
        <v>106.300003</v>
      </c>
      <c r="D1403" s="22">
        <f ca="1"/>
        <v>108.139999</v>
      </c>
      <c r="E1403" s="22">
        <f ca="1"/>
        <v>106.129997</v>
      </c>
      <c r="F1403" s="22">
        <f ca="1"/>
        <v>107.970001</v>
      </c>
      <c r="G1403" s="22">
        <f ca="1"/>
        <v>102.597343</v>
      </c>
      <c r="H1403" s="69">
        <f ca="1"/>
        <v>29707000</v>
      </c>
      <c r="I1403" s="23" t="str">
        <f t="shared" ca="1" si="43"/>
        <v/>
      </c>
    </row>
    <row r="1404" spans="1:9" ht="13.8">
      <c r="A1404" s="20">
        <f t="shared" ca="1" si="42"/>
        <v>43305</v>
      </c>
      <c r="B1404" s="21" t="str">
        <f ca="1"/>
        <v>2018-07-24</v>
      </c>
      <c r="C1404" s="22">
        <f ca="1"/>
        <v>108.57</v>
      </c>
      <c r="D1404" s="22">
        <f ca="1"/>
        <v>108.82</v>
      </c>
      <c r="E1404" s="22">
        <f ca="1"/>
        <v>107.260002</v>
      </c>
      <c r="F1404" s="22">
        <f ca="1"/>
        <v>107.660004</v>
      </c>
      <c r="G1404" s="22">
        <f ca="1"/>
        <v>102.30278</v>
      </c>
      <c r="H1404" s="69">
        <f ca="1"/>
        <v>26316600</v>
      </c>
      <c r="I1404" s="23" t="str">
        <f t="shared" ca="1" si="43"/>
        <v/>
      </c>
    </row>
    <row r="1405" spans="1:9" ht="13.8">
      <c r="A1405" s="20">
        <f t="shared" ca="1" si="42"/>
        <v>43306</v>
      </c>
      <c r="B1405" s="21" t="str">
        <f ca="1"/>
        <v>2018-07-25</v>
      </c>
      <c r="C1405" s="22">
        <f ca="1"/>
        <v>107.959999</v>
      </c>
      <c r="D1405" s="22">
        <f ca="1"/>
        <v>111.150002</v>
      </c>
      <c r="E1405" s="22">
        <f ca="1"/>
        <v>107.599998</v>
      </c>
      <c r="F1405" s="22">
        <f ca="1"/>
        <v>110.83000199999999</v>
      </c>
      <c r="G1405" s="22">
        <f ca="1"/>
        <v>105.315048</v>
      </c>
      <c r="H1405" s="69">
        <f ca="1"/>
        <v>30702100</v>
      </c>
      <c r="I1405" s="23" t="str">
        <f t="shared" ca="1" si="43"/>
        <v/>
      </c>
    </row>
    <row r="1406" spans="1:9" ht="13.8">
      <c r="A1406" s="20">
        <f t="shared" ca="1" si="42"/>
        <v>43307</v>
      </c>
      <c r="B1406" s="21" t="str">
        <f ca="1"/>
        <v>2018-07-26</v>
      </c>
      <c r="C1406" s="22">
        <f ca="1"/>
        <v>110.739998</v>
      </c>
      <c r="D1406" s="22">
        <f ca="1"/>
        <v>111</v>
      </c>
      <c r="E1406" s="22">
        <f ca="1"/>
        <v>109.5</v>
      </c>
      <c r="F1406" s="22">
        <f ca="1"/>
        <v>109.620003</v>
      </c>
      <c r="G1406" s="22">
        <f ca="1"/>
        <v>104.16525300000001</v>
      </c>
      <c r="H1406" s="69">
        <f ca="1"/>
        <v>31372100</v>
      </c>
      <c r="I1406" s="23" t="str">
        <f t="shared" ca="1" si="43"/>
        <v/>
      </c>
    </row>
    <row r="1407" spans="1:9" ht="13.8">
      <c r="A1407" s="20">
        <f t="shared" ca="1" si="42"/>
        <v>43308</v>
      </c>
      <c r="B1407" s="21" t="str">
        <f ca="1"/>
        <v>2018-07-27</v>
      </c>
      <c r="C1407" s="22">
        <f ca="1"/>
        <v>110.18</v>
      </c>
      <c r="D1407" s="22">
        <f ca="1"/>
        <v>110.18</v>
      </c>
      <c r="E1407" s="22">
        <f ca="1"/>
        <v>106.139999</v>
      </c>
      <c r="F1407" s="22">
        <f ca="1"/>
        <v>107.68</v>
      </c>
      <c r="G1407" s="22">
        <f ca="1"/>
        <v>102.321793</v>
      </c>
      <c r="H1407" s="69">
        <f ca="1"/>
        <v>37005300</v>
      </c>
      <c r="I1407" s="23" t="str">
        <f t="shared" ca="1" si="43"/>
        <v/>
      </c>
    </row>
    <row r="1408" spans="1:9" ht="13.8">
      <c r="A1408" s="20">
        <f t="shared" ca="1" si="42"/>
        <v>43311</v>
      </c>
      <c r="B1408" s="21" t="str">
        <f ca="1"/>
        <v>2018-07-30</v>
      </c>
      <c r="C1408" s="22">
        <f ca="1"/>
        <v>107.19000200000001</v>
      </c>
      <c r="D1408" s="22">
        <f ca="1"/>
        <v>107.529999</v>
      </c>
      <c r="E1408" s="22">
        <f ca="1"/>
        <v>104.760002</v>
      </c>
      <c r="F1408" s="22">
        <f ca="1"/>
        <v>105.370003</v>
      </c>
      <c r="G1408" s="22">
        <f ca="1"/>
        <v>100.126724</v>
      </c>
      <c r="H1408" s="69">
        <f ca="1"/>
        <v>34668300</v>
      </c>
      <c r="I1408" s="23" t="str">
        <f t="shared" ca="1" si="43"/>
        <v/>
      </c>
    </row>
    <row r="1409" spans="1:9" ht="13.8">
      <c r="A1409" s="20">
        <f t="shared" ca="1" si="42"/>
        <v>43312</v>
      </c>
      <c r="B1409" s="21" t="str">
        <f ca="1"/>
        <v>2018-07-31</v>
      </c>
      <c r="C1409" s="22">
        <f ca="1"/>
        <v>106.489998</v>
      </c>
      <c r="D1409" s="22">
        <f ca="1"/>
        <v>106.720001</v>
      </c>
      <c r="E1409" s="22">
        <f ca="1"/>
        <v>105.379997</v>
      </c>
      <c r="F1409" s="22">
        <f ca="1"/>
        <v>106.08000199999999</v>
      </c>
      <c r="G1409" s="22">
        <f ca="1"/>
        <v>100.801399</v>
      </c>
      <c r="H1409" s="69">
        <f ca="1"/>
        <v>27655200</v>
      </c>
      <c r="I1409" s="23" t="str">
        <f t="shared" ca="1" si="43"/>
        <v/>
      </c>
    </row>
    <row r="1410" spans="1:9" ht="13.8">
      <c r="A1410" s="20">
        <f t="shared" ca="1" si="42"/>
        <v>43313</v>
      </c>
      <c r="B1410" s="21" t="str">
        <f ca="1"/>
        <v>2018-08-01</v>
      </c>
      <c r="C1410" s="22">
        <f ca="1"/>
        <v>106.029999</v>
      </c>
      <c r="D1410" s="22">
        <f ca="1"/>
        <v>106.449997</v>
      </c>
      <c r="E1410" s="22">
        <f ca="1"/>
        <v>105.41999800000001</v>
      </c>
      <c r="F1410" s="22">
        <f ca="1"/>
        <v>106.279999</v>
      </c>
      <c r="G1410" s="22">
        <f ca="1"/>
        <v>100.991455</v>
      </c>
      <c r="H1410" s="69">
        <f ca="1"/>
        <v>23628700</v>
      </c>
      <c r="I1410" s="23" t="str">
        <f t="shared" ca="1" si="43"/>
        <v/>
      </c>
    </row>
    <row r="1411" spans="1:9" ht="13.8">
      <c r="A1411" s="20">
        <f t="shared" ca="1" si="42"/>
        <v>43314</v>
      </c>
      <c r="B1411" s="21" t="str">
        <f ca="1"/>
        <v>2018-08-02</v>
      </c>
      <c r="C1411" s="22">
        <f ca="1"/>
        <v>105.400002</v>
      </c>
      <c r="D1411" s="22">
        <f ca="1"/>
        <v>108.089996</v>
      </c>
      <c r="E1411" s="22">
        <f ca="1"/>
        <v>104.839996</v>
      </c>
      <c r="F1411" s="22">
        <f ca="1"/>
        <v>107.57</v>
      </c>
      <c r="G1411" s="22">
        <f ca="1"/>
        <v>102.21725499999999</v>
      </c>
      <c r="H1411" s="69">
        <f ca="1"/>
        <v>26104300</v>
      </c>
      <c r="I1411" s="23" t="str">
        <f t="shared" ca="1" si="43"/>
        <v/>
      </c>
    </row>
    <row r="1412" spans="1:9" ht="13.8">
      <c r="A1412" s="20">
        <f t="shared" ca="1" si="42"/>
        <v>43315</v>
      </c>
      <c r="B1412" s="21" t="str">
        <f ca="1"/>
        <v>2018-08-03</v>
      </c>
      <c r="C1412" s="22">
        <f ca="1"/>
        <v>107.800003</v>
      </c>
      <c r="D1412" s="22">
        <f ca="1"/>
        <v>108.050003</v>
      </c>
      <c r="E1412" s="22">
        <f ca="1"/>
        <v>106.82</v>
      </c>
      <c r="F1412" s="22">
        <f ca="1"/>
        <v>108.040001</v>
      </c>
      <c r="G1412" s="22">
        <f ca="1"/>
        <v>102.663872</v>
      </c>
      <c r="H1412" s="69">
        <f ca="1"/>
        <v>18659600</v>
      </c>
      <c r="I1412" s="23" t="str">
        <f t="shared" ca="1" si="43"/>
        <v/>
      </c>
    </row>
    <row r="1413" spans="1:9" ht="13.8">
      <c r="A1413" s="20">
        <f t="shared" ca="1" si="42"/>
        <v>43318</v>
      </c>
      <c r="B1413" s="21" t="str">
        <f ca="1"/>
        <v>2018-08-06</v>
      </c>
      <c r="C1413" s="22">
        <f ca="1"/>
        <v>108.120003</v>
      </c>
      <c r="D1413" s="22">
        <f ca="1"/>
        <v>108.41999800000001</v>
      </c>
      <c r="E1413" s="22">
        <f ca="1"/>
        <v>107.55999799999999</v>
      </c>
      <c r="F1413" s="22">
        <f ca="1"/>
        <v>108.129997</v>
      </c>
      <c r="G1413" s="22">
        <f ca="1"/>
        <v>102.749374</v>
      </c>
      <c r="H1413" s="69">
        <f ca="1"/>
        <v>20265900</v>
      </c>
      <c r="I1413" s="23" t="str">
        <f t="shared" ca="1" si="43"/>
        <v/>
      </c>
    </row>
    <row r="1414" spans="1:9" ht="13.8">
      <c r="A1414" s="20">
        <f t="shared" ref="A1414:A1477" ca="1" si="44">IFERROR(DATEVALUE($B1414),"--")</f>
        <v>43319</v>
      </c>
      <c r="B1414" s="21" t="str">
        <f ca="1"/>
        <v>2018-08-07</v>
      </c>
      <c r="C1414" s="22">
        <f ca="1"/>
        <v>108.55999799999999</v>
      </c>
      <c r="D1414" s="22">
        <f ca="1"/>
        <v>109.099998</v>
      </c>
      <c r="E1414" s="22">
        <f ca="1"/>
        <v>108.16999800000001</v>
      </c>
      <c r="F1414" s="22">
        <f ca="1"/>
        <v>108.879997</v>
      </c>
      <c r="G1414" s="22">
        <f ca="1"/>
        <v>103.462067</v>
      </c>
      <c r="H1414" s="69">
        <f ca="1"/>
        <v>16080200</v>
      </c>
      <c r="I1414" s="23" t="str">
        <f t="shared" ref="I1414:I1477" ca="1" si="45">IFERROR(IF(Ticker&lt;&gt;$Q$2,"",INDEX($P:$P,MATCH($A1414,$O:$O,0))),"")</f>
        <v/>
      </c>
    </row>
    <row r="1415" spans="1:9" ht="13.8">
      <c r="A1415" s="20">
        <f t="shared" ca="1" si="44"/>
        <v>43320</v>
      </c>
      <c r="B1415" s="21" t="str">
        <f ca="1"/>
        <v>2018-08-08</v>
      </c>
      <c r="C1415" s="22">
        <f ca="1"/>
        <v>109.33000199999999</v>
      </c>
      <c r="D1415" s="22">
        <f ca="1"/>
        <v>109.75</v>
      </c>
      <c r="E1415" s="22">
        <f ca="1"/>
        <v>108.760002</v>
      </c>
      <c r="F1415" s="22">
        <f ca="1"/>
        <v>109.489998</v>
      </c>
      <c r="G1415" s="22">
        <f ca="1"/>
        <v>104.04170999999999</v>
      </c>
      <c r="H1415" s="69">
        <f ca="1"/>
        <v>15487500</v>
      </c>
      <c r="I1415" s="23" t="str">
        <f t="shared" ca="1" si="45"/>
        <v/>
      </c>
    </row>
    <row r="1416" spans="1:9" ht="13.8">
      <c r="A1416" s="20">
        <f t="shared" ca="1" si="44"/>
        <v>43321</v>
      </c>
      <c r="B1416" s="21" t="str">
        <f ca="1"/>
        <v>2018-08-09</v>
      </c>
      <c r="C1416" s="22">
        <f ca="1"/>
        <v>109.709999</v>
      </c>
      <c r="D1416" s="22">
        <f ca="1"/>
        <v>110.160004</v>
      </c>
      <c r="E1416" s="22">
        <f ca="1"/>
        <v>109.599998</v>
      </c>
      <c r="F1416" s="22">
        <f ca="1"/>
        <v>109.66999800000001</v>
      </c>
      <c r="G1416" s="22">
        <f ca="1"/>
        <v>104.21275300000001</v>
      </c>
      <c r="H1416" s="69">
        <f ca="1"/>
        <v>13677200</v>
      </c>
      <c r="I1416" s="23" t="str">
        <f t="shared" ca="1" si="45"/>
        <v/>
      </c>
    </row>
    <row r="1417" spans="1:9" ht="13.8">
      <c r="A1417" s="20">
        <f t="shared" ca="1" si="44"/>
        <v>43322</v>
      </c>
      <c r="B1417" s="21" t="str">
        <f ca="1"/>
        <v>2018-08-10</v>
      </c>
      <c r="C1417" s="22">
        <f ca="1"/>
        <v>109.41999800000001</v>
      </c>
      <c r="D1417" s="22">
        <f ca="1"/>
        <v>109.69000200000001</v>
      </c>
      <c r="E1417" s="22">
        <f ca="1"/>
        <v>108.379997</v>
      </c>
      <c r="F1417" s="22">
        <f ca="1"/>
        <v>109</v>
      </c>
      <c r="G1417" s="22">
        <f ca="1"/>
        <v>103.576103</v>
      </c>
      <c r="H1417" s="69">
        <f ca="1"/>
        <v>18183700</v>
      </c>
      <c r="I1417" s="23" t="str">
        <f t="shared" ca="1" si="45"/>
        <v/>
      </c>
    </row>
    <row r="1418" spans="1:9" ht="13.8">
      <c r="A1418" s="20">
        <f t="shared" ca="1" si="44"/>
        <v>43325</v>
      </c>
      <c r="B1418" s="21" t="str">
        <f ca="1"/>
        <v>2018-08-13</v>
      </c>
      <c r="C1418" s="22">
        <f ca="1"/>
        <v>109.239998</v>
      </c>
      <c r="D1418" s="22">
        <f ca="1"/>
        <v>109.58000199999999</v>
      </c>
      <c r="E1418" s="22">
        <f ca="1"/>
        <v>108.099998</v>
      </c>
      <c r="F1418" s="22">
        <f ca="1"/>
        <v>108.209999</v>
      </c>
      <c r="G1418" s="22">
        <f ca="1"/>
        <v>102.825401</v>
      </c>
      <c r="H1418" s="69">
        <f ca="1"/>
        <v>18472500</v>
      </c>
      <c r="I1418" s="23" t="str">
        <f t="shared" ca="1" si="45"/>
        <v/>
      </c>
    </row>
    <row r="1419" spans="1:9" ht="13.8">
      <c r="A1419" s="20">
        <f t="shared" ca="1" si="44"/>
        <v>43326</v>
      </c>
      <c r="B1419" s="21" t="str">
        <f ca="1"/>
        <v>2018-08-14</v>
      </c>
      <c r="C1419" s="22">
        <f ca="1"/>
        <v>108.55999799999999</v>
      </c>
      <c r="D1419" s="22">
        <f ca="1"/>
        <v>109.75</v>
      </c>
      <c r="E1419" s="22">
        <f ca="1"/>
        <v>108.040001</v>
      </c>
      <c r="F1419" s="22">
        <f ca="1"/>
        <v>109.55999799999999</v>
      </c>
      <c r="G1419" s="22">
        <f ca="1"/>
        <v>104.108231</v>
      </c>
      <c r="H1419" s="69">
        <f ca="1"/>
        <v>16788300</v>
      </c>
      <c r="I1419" s="23" t="str">
        <f t="shared" ca="1" si="45"/>
        <v/>
      </c>
    </row>
    <row r="1420" spans="1:9" ht="13.8">
      <c r="A1420" s="20">
        <f t="shared" ca="1" si="44"/>
        <v>43327</v>
      </c>
      <c r="B1420" s="21" t="str">
        <f ca="1"/>
        <v>2018-08-15</v>
      </c>
      <c r="C1420" s="22">
        <f ca="1"/>
        <v>108.489998</v>
      </c>
      <c r="D1420" s="22">
        <f ca="1"/>
        <v>108.989998</v>
      </c>
      <c r="E1420" s="22">
        <f ca="1"/>
        <v>106.82</v>
      </c>
      <c r="F1420" s="22">
        <f ca="1"/>
        <v>107.660004</v>
      </c>
      <c r="G1420" s="22">
        <f ca="1"/>
        <v>102.696472</v>
      </c>
      <c r="H1420" s="69">
        <f ca="1"/>
        <v>29982800</v>
      </c>
      <c r="I1420" s="23">
        <f t="shared" ca="1" si="45"/>
        <v>0.42</v>
      </c>
    </row>
    <row r="1421" spans="1:9" ht="13.8">
      <c r="A1421" s="20">
        <f t="shared" ca="1" si="44"/>
        <v>43328</v>
      </c>
      <c r="B1421" s="21" t="str">
        <f ca="1"/>
        <v>2018-08-16</v>
      </c>
      <c r="C1421" s="22">
        <f ca="1"/>
        <v>108.300003</v>
      </c>
      <c r="D1421" s="22">
        <f ca="1"/>
        <v>108.860001</v>
      </c>
      <c r="E1421" s="22">
        <f ca="1"/>
        <v>107.300003</v>
      </c>
      <c r="F1421" s="22">
        <f ca="1"/>
        <v>107.639999</v>
      </c>
      <c r="G1421" s="22">
        <f ca="1"/>
        <v>102.67738300000001</v>
      </c>
      <c r="H1421" s="69">
        <f ca="1"/>
        <v>21384300</v>
      </c>
      <c r="I1421" s="23" t="str">
        <f t="shared" ca="1" si="45"/>
        <v/>
      </c>
    </row>
    <row r="1422" spans="1:9" ht="13.8">
      <c r="A1422" s="20">
        <f t="shared" ca="1" si="44"/>
        <v>43329</v>
      </c>
      <c r="B1422" s="21" t="str">
        <f ca="1"/>
        <v>2018-08-17</v>
      </c>
      <c r="C1422" s="22">
        <f ca="1"/>
        <v>107.360001</v>
      </c>
      <c r="D1422" s="22">
        <f ca="1"/>
        <v>107.900002</v>
      </c>
      <c r="E1422" s="22">
        <f ca="1"/>
        <v>106.69000200000001</v>
      </c>
      <c r="F1422" s="22">
        <f ca="1"/>
        <v>107.58000199999999</v>
      </c>
      <c r="G1422" s="22">
        <f ca="1"/>
        <v>102.62016300000001</v>
      </c>
      <c r="H1422" s="69">
        <f ca="1"/>
        <v>18061500</v>
      </c>
      <c r="I1422" s="23" t="str">
        <f t="shared" ca="1" si="45"/>
        <v/>
      </c>
    </row>
    <row r="1423" spans="1:9" ht="13.8">
      <c r="A1423" s="20">
        <f t="shared" ca="1" si="44"/>
        <v>43332</v>
      </c>
      <c r="B1423" s="21" t="str">
        <f ca="1"/>
        <v>2018-08-20</v>
      </c>
      <c r="C1423" s="22">
        <f ca="1"/>
        <v>107.510002</v>
      </c>
      <c r="D1423" s="22">
        <f ca="1"/>
        <v>107.900002</v>
      </c>
      <c r="E1423" s="22">
        <f ca="1"/>
        <v>106.480003</v>
      </c>
      <c r="F1423" s="22">
        <f ca="1"/>
        <v>106.870003</v>
      </c>
      <c r="G1423" s="22">
        <f ca="1"/>
        <v>101.942902</v>
      </c>
      <c r="H1423" s="69">
        <f ca="1"/>
        <v>17914200</v>
      </c>
      <c r="I1423" s="23" t="str">
        <f t="shared" ca="1" si="45"/>
        <v/>
      </c>
    </row>
    <row r="1424" spans="1:9" ht="13.8">
      <c r="A1424" s="20">
        <f t="shared" ca="1" si="44"/>
        <v>43333</v>
      </c>
      <c r="B1424" s="21" t="str">
        <f ca="1"/>
        <v>2018-08-21</v>
      </c>
      <c r="C1424" s="22">
        <f ca="1"/>
        <v>106.91999800000001</v>
      </c>
      <c r="D1424" s="22">
        <f ca="1"/>
        <v>107.349998</v>
      </c>
      <c r="E1424" s="22">
        <f ca="1"/>
        <v>105.849998</v>
      </c>
      <c r="F1424" s="22">
        <f ca="1"/>
        <v>105.980003</v>
      </c>
      <c r="G1424" s="22">
        <f ca="1"/>
        <v>101.093925</v>
      </c>
      <c r="H1424" s="69">
        <f ca="1"/>
        <v>22881900</v>
      </c>
      <c r="I1424" s="23" t="str">
        <f t="shared" ca="1" si="45"/>
        <v/>
      </c>
    </row>
    <row r="1425" spans="1:9" ht="13.8">
      <c r="A1425" s="20">
        <f t="shared" ca="1" si="44"/>
        <v>43334</v>
      </c>
      <c r="B1425" s="21" t="str">
        <f ca="1"/>
        <v>2018-08-22</v>
      </c>
      <c r="C1425" s="22">
        <f ca="1"/>
        <v>105.849998</v>
      </c>
      <c r="D1425" s="22">
        <f ca="1"/>
        <v>107.339996</v>
      </c>
      <c r="E1425" s="22">
        <f ca="1"/>
        <v>105.779999</v>
      </c>
      <c r="F1425" s="22">
        <f ca="1"/>
        <v>107.05999799999999</v>
      </c>
      <c r="G1425" s="22">
        <f ca="1"/>
        <v>102.12412999999999</v>
      </c>
      <c r="H1425" s="69">
        <f ca="1"/>
        <v>18000600</v>
      </c>
      <c r="I1425" s="23" t="str">
        <f t="shared" ca="1" si="45"/>
        <v/>
      </c>
    </row>
    <row r="1426" spans="1:9" ht="13.8">
      <c r="A1426" s="20">
        <f t="shared" ca="1" si="44"/>
        <v>43335</v>
      </c>
      <c r="B1426" s="21" t="str">
        <f ca="1"/>
        <v>2018-08-23</v>
      </c>
      <c r="C1426" s="22">
        <f ca="1"/>
        <v>107.150002</v>
      </c>
      <c r="D1426" s="22">
        <f ca="1"/>
        <v>108.18</v>
      </c>
      <c r="E1426" s="22">
        <f ca="1"/>
        <v>106.870003</v>
      </c>
      <c r="F1426" s="22">
        <f ca="1"/>
        <v>107.55999799999999</v>
      </c>
      <c r="G1426" s="22">
        <f ca="1"/>
        <v>102.60108200000001</v>
      </c>
      <c r="H1426" s="69">
        <f ca="1"/>
        <v>18167700</v>
      </c>
      <c r="I1426" s="23" t="str">
        <f t="shared" ca="1" si="45"/>
        <v/>
      </c>
    </row>
    <row r="1427" spans="1:9" ht="13.8">
      <c r="A1427" s="20">
        <f t="shared" ca="1" si="44"/>
        <v>43336</v>
      </c>
      <c r="B1427" s="21" t="str">
        <f ca="1"/>
        <v>2018-08-24</v>
      </c>
      <c r="C1427" s="22">
        <f ca="1"/>
        <v>107.66999800000001</v>
      </c>
      <c r="D1427" s="22">
        <f ca="1"/>
        <v>108.55999799999999</v>
      </c>
      <c r="E1427" s="22">
        <f ca="1"/>
        <v>107.55999799999999</v>
      </c>
      <c r="F1427" s="22">
        <f ca="1"/>
        <v>108.400002</v>
      </c>
      <c r="G1427" s="22">
        <f ca="1"/>
        <v>103.402351</v>
      </c>
      <c r="H1427" s="69">
        <f ca="1"/>
        <v>17234000</v>
      </c>
      <c r="I1427" s="23" t="str">
        <f t="shared" ca="1" si="45"/>
        <v/>
      </c>
    </row>
    <row r="1428" spans="1:9" ht="13.8">
      <c r="A1428" s="20">
        <f t="shared" ca="1" si="44"/>
        <v>43339</v>
      </c>
      <c r="B1428" s="21" t="str">
        <f ca="1"/>
        <v>2018-08-27</v>
      </c>
      <c r="C1428" s="22">
        <f ca="1"/>
        <v>109.269997</v>
      </c>
      <c r="D1428" s="22">
        <f ca="1"/>
        <v>109.639999</v>
      </c>
      <c r="E1428" s="22">
        <f ca="1"/>
        <v>108.510002</v>
      </c>
      <c r="F1428" s="22">
        <f ca="1"/>
        <v>109.599998</v>
      </c>
      <c r="G1428" s="22">
        <f ca="1"/>
        <v>104.547028</v>
      </c>
      <c r="H1428" s="69">
        <f ca="1"/>
        <v>19662300</v>
      </c>
      <c r="I1428" s="23" t="str">
        <f t="shared" ca="1" si="45"/>
        <v/>
      </c>
    </row>
    <row r="1429" spans="1:9" ht="13.8">
      <c r="A1429" s="20">
        <f t="shared" ca="1" si="44"/>
        <v>43340</v>
      </c>
      <c r="B1429" s="21" t="str">
        <f ca="1"/>
        <v>2018-08-28</v>
      </c>
      <c r="C1429" s="22">
        <f ca="1"/>
        <v>109.94000200000001</v>
      </c>
      <c r="D1429" s="22">
        <f ca="1"/>
        <v>110.5</v>
      </c>
      <c r="E1429" s="22">
        <f ca="1"/>
        <v>109.790001</v>
      </c>
      <c r="F1429" s="22">
        <f ca="1"/>
        <v>110.260002</v>
      </c>
      <c r="G1429" s="22">
        <f ca="1"/>
        <v>105.176613</v>
      </c>
      <c r="H1429" s="69">
        <f ca="1"/>
        <v>19151500</v>
      </c>
      <c r="I1429" s="23" t="str">
        <f t="shared" ca="1" si="45"/>
        <v/>
      </c>
    </row>
    <row r="1430" spans="1:9" ht="13.8">
      <c r="A1430" s="20">
        <f t="shared" ca="1" si="44"/>
        <v>43341</v>
      </c>
      <c r="B1430" s="21" t="str">
        <f ca="1"/>
        <v>2018-08-29</v>
      </c>
      <c r="C1430" s="22">
        <f ca="1"/>
        <v>110.449997</v>
      </c>
      <c r="D1430" s="22">
        <f ca="1"/>
        <v>112.029999</v>
      </c>
      <c r="E1430" s="22">
        <f ca="1"/>
        <v>110.269997</v>
      </c>
      <c r="F1430" s="22">
        <f ca="1"/>
        <v>112.019997</v>
      </c>
      <c r="G1430" s="22">
        <f ca="1"/>
        <v>106.855446</v>
      </c>
      <c r="H1430" s="69">
        <f ca="1"/>
        <v>20818000</v>
      </c>
      <c r="I1430" s="23" t="str">
        <f t="shared" ca="1" si="45"/>
        <v/>
      </c>
    </row>
    <row r="1431" spans="1:9" ht="13.8">
      <c r="A1431" s="20">
        <f t="shared" ca="1" si="44"/>
        <v>43342</v>
      </c>
      <c r="B1431" s="21" t="str">
        <f ca="1"/>
        <v>2018-08-30</v>
      </c>
      <c r="C1431" s="22">
        <f ca="1"/>
        <v>111.66999800000001</v>
      </c>
      <c r="D1431" s="22">
        <f ca="1"/>
        <v>112.610001</v>
      </c>
      <c r="E1431" s="22">
        <f ca="1"/>
        <v>111.44000200000001</v>
      </c>
      <c r="F1431" s="22">
        <f ca="1"/>
        <v>111.949997</v>
      </c>
      <c r="G1431" s="22">
        <f ca="1"/>
        <v>106.788673</v>
      </c>
      <c r="H1431" s="69">
        <f ca="1"/>
        <v>22798700</v>
      </c>
      <c r="I1431" s="23" t="str">
        <f t="shared" ca="1" si="45"/>
        <v/>
      </c>
    </row>
    <row r="1432" spans="1:9" ht="13.8">
      <c r="A1432" s="20">
        <f t="shared" ca="1" si="44"/>
        <v>43343</v>
      </c>
      <c r="B1432" s="21" t="str">
        <f ca="1"/>
        <v>2018-08-31</v>
      </c>
      <c r="C1432" s="22">
        <f ca="1"/>
        <v>111.69000200000001</v>
      </c>
      <c r="D1432" s="22">
        <f ca="1"/>
        <v>112.779999</v>
      </c>
      <c r="E1432" s="22">
        <f ca="1"/>
        <v>111.519997</v>
      </c>
      <c r="F1432" s="22">
        <f ca="1"/>
        <v>112.33000199999999</v>
      </c>
      <c r="G1432" s="22">
        <f ca="1"/>
        <v>107.15117600000001</v>
      </c>
      <c r="H1432" s="69">
        <f ca="1"/>
        <v>23222700</v>
      </c>
      <c r="I1432" s="23" t="str">
        <f t="shared" ca="1" si="45"/>
        <v/>
      </c>
    </row>
    <row r="1433" spans="1:9" ht="13.8">
      <c r="A1433" s="20">
        <f t="shared" ca="1" si="44"/>
        <v>43347</v>
      </c>
      <c r="B1433" s="21" t="str">
        <f ca="1"/>
        <v>2018-09-04</v>
      </c>
      <c r="C1433" s="22">
        <f ca="1"/>
        <v>110.849998</v>
      </c>
      <c r="D1433" s="22">
        <f ca="1"/>
        <v>111.959999</v>
      </c>
      <c r="E1433" s="22">
        <f ca="1"/>
        <v>110.220001</v>
      </c>
      <c r="F1433" s="22">
        <f ca="1"/>
        <v>111.709999</v>
      </c>
      <c r="G1433" s="22">
        <f ca="1"/>
        <v>106.559746</v>
      </c>
      <c r="H1433" s="69">
        <f ca="1"/>
        <v>22634600</v>
      </c>
      <c r="I1433" s="23" t="str">
        <f t="shared" ca="1" si="45"/>
        <v/>
      </c>
    </row>
    <row r="1434" spans="1:9" ht="13.8">
      <c r="A1434" s="20">
        <f t="shared" ca="1" si="44"/>
        <v>43348</v>
      </c>
      <c r="B1434" s="21" t="str">
        <f ca="1"/>
        <v>2018-09-05</v>
      </c>
      <c r="C1434" s="22">
        <f ca="1"/>
        <v>111.010002</v>
      </c>
      <c r="D1434" s="22">
        <f ca="1"/>
        <v>111.41999800000001</v>
      </c>
      <c r="E1434" s="22">
        <f ca="1"/>
        <v>108.099998</v>
      </c>
      <c r="F1434" s="22">
        <f ca="1"/>
        <v>108.489998</v>
      </c>
      <c r="G1434" s="22">
        <f ca="1"/>
        <v>103.48819</v>
      </c>
      <c r="H1434" s="69">
        <f ca="1"/>
        <v>32872400</v>
      </c>
      <c r="I1434" s="23" t="str">
        <f t="shared" ca="1" si="45"/>
        <v/>
      </c>
    </row>
    <row r="1435" spans="1:9" ht="13.8">
      <c r="A1435" s="20">
        <f t="shared" ca="1" si="44"/>
        <v>43349</v>
      </c>
      <c r="B1435" s="21" t="str">
        <f ca="1"/>
        <v>2018-09-06</v>
      </c>
      <c r="C1435" s="22">
        <f ca="1"/>
        <v>108.25</v>
      </c>
      <c r="D1435" s="22">
        <f ca="1"/>
        <v>108.989998</v>
      </c>
      <c r="E1435" s="22">
        <f ca="1"/>
        <v>107.510002</v>
      </c>
      <c r="F1435" s="22">
        <f ca="1"/>
        <v>108.739998</v>
      </c>
      <c r="G1435" s="22">
        <f ca="1"/>
        <v>103.726685</v>
      </c>
      <c r="H1435" s="69">
        <f ca="1"/>
        <v>23477600</v>
      </c>
      <c r="I1435" s="23" t="str">
        <f t="shared" ca="1" si="45"/>
        <v/>
      </c>
    </row>
    <row r="1436" spans="1:9" ht="13.8">
      <c r="A1436" s="20">
        <f t="shared" ca="1" si="44"/>
        <v>43350</v>
      </c>
      <c r="B1436" s="21" t="str">
        <f ca="1"/>
        <v>2018-09-07</v>
      </c>
      <c r="C1436" s="22">
        <f ca="1"/>
        <v>108.230003</v>
      </c>
      <c r="D1436" s="22">
        <f ca="1"/>
        <v>108.720001</v>
      </c>
      <c r="E1436" s="22">
        <f ca="1"/>
        <v>107.230003</v>
      </c>
      <c r="F1436" s="22">
        <f ca="1"/>
        <v>108.209999</v>
      </c>
      <c r="G1436" s="22">
        <f ca="1"/>
        <v>103.221115</v>
      </c>
      <c r="H1436" s="69">
        <f ca="1"/>
        <v>22498600</v>
      </c>
      <c r="I1436" s="23" t="str">
        <f t="shared" ca="1" si="45"/>
        <v/>
      </c>
    </row>
    <row r="1437" spans="1:9" ht="13.8">
      <c r="A1437" s="20">
        <f t="shared" ca="1" si="44"/>
        <v>43353</v>
      </c>
      <c r="B1437" s="21" t="str">
        <f ca="1"/>
        <v>2018-09-10</v>
      </c>
      <c r="C1437" s="22">
        <f ca="1"/>
        <v>108.839996</v>
      </c>
      <c r="D1437" s="22">
        <f ca="1"/>
        <v>109.639999</v>
      </c>
      <c r="E1437" s="22">
        <f ca="1"/>
        <v>108.360001</v>
      </c>
      <c r="F1437" s="22">
        <f ca="1"/>
        <v>109.379997</v>
      </c>
      <c r="G1437" s="22">
        <f ca="1"/>
        <v>104.337181</v>
      </c>
      <c r="H1437" s="69">
        <f ca="1"/>
        <v>20727900</v>
      </c>
      <c r="I1437" s="23" t="str">
        <f t="shared" ca="1" si="45"/>
        <v/>
      </c>
    </row>
    <row r="1438" spans="1:9" ht="13.8">
      <c r="A1438" s="20">
        <f t="shared" ca="1" si="44"/>
        <v>43354</v>
      </c>
      <c r="B1438" s="21" t="str">
        <f ca="1"/>
        <v>2018-09-11</v>
      </c>
      <c r="C1438" s="22">
        <f ca="1"/>
        <v>108.900002</v>
      </c>
      <c r="D1438" s="22">
        <f ca="1"/>
        <v>111.589996</v>
      </c>
      <c r="E1438" s="22">
        <f ca="1"/>
        <v>108.889999</v>
      </c>
      <c r="F1438" s="22">
        <f ca="1"/>
        <v>111.239998</v>
      </c>
      <c r="G1438" s="22">
        <f ca="1"/>
        <v>106.111412</v>
      </c>
      <c r="H1438" s="69">
        <f ca="1"/>
        <v>24301800</v>
      </c>
      <c r="I1438" s="23" t="str">
        <f t="shared" ca="1" si="45"/>
        <v/>
      </c>
    </row>
    <row r="1439" spans="1:9" ht="13.8">
      <c r="A1439" s="20">
        <f t="shared" ca="1" si="44"/>
        <v>43355</v>
      </c>
      <c r="B1439" s="21" t="str">
        <f ca="1"/>
        <v>2018-09-12</v>
      </c>
      <c r="C1439" s="22">
        <f ca="1"/>
        <v>111.43</v>
      </c>
      <c r="D1439" s="22">
        <f ca="1"/>
        <v>111.849998</v>
      </c>
      <c r="E1439" s="22">
        <f ca="1"/>
        <v>110.510002</v>
      </c>
      <c r="F1439" s="22">
        <f ca="1"/>
        <v>111.709999</v>
      </c>
      <c r="G1439" s="22">
        <f ca="1"/>
        <v>106.559746</v>
      </c>
      <c r="H1439" s="69">
        <f ca="1"/>
        <v>18891100</v>
      </c>
      <c r="I1439" s="23" t="str">
        <f t="shared" ca="1" si="45"/>
        <v/>
      </c>
    </row>
    <row r="1440" spans="1:9" ht="13.8">
      <c r="A1440" s="20">
        <f t="shared" ca="1" si="44"/>
        <v>43356</v>
      </c>
      <c r="B1440" s="21" t="str">
        <f ca="1"/>
        <v>2018-09-13</v>
      </c>
      <c r="C1440" s="22">
        <f ca="1"/>
        <v>112.120003</v>
      </c>
      <c r="D1440" s="22">
        <f ca="1"/>
        <v>113.730003</v>
      </c>
      <c r="E1440" s="22">
        <f ca="1"/>
        <v>112.120003</v>
      </c>
      <c r="F1440" s="22">
        <f ca="1"/>
        <v>112.910004</v>
      </c>
      <c r="G1440" s="22">
        <f ca="1"/>
        <v>107.70442199999999</v>
      </c>
      <c r="H1440" s="69">
        <f ca="1"/>
        <v>26055600</v>
      </c>
      <c r="I1440" s="23" t="str">
        <f t="shared" ca="1" si="45"/>
        <v/>
      </c>
    </row>
    <row r="1441" spans="1:9" ht="13.8">
      <c r="A1441" s="20">
        <f t="shared" ca="1" si="44"/>
        <v>43357</v>
      </c>
      <c r="B1441" s="21" t="str">
        <f ca="1"/>
        <v>2018-09-14</v>
      </c>
      <c r="C1441" s="22">
        <f ca="1"/>
        <v>113.360001</v>
      </c>
      <c r="D1441" s="22">
        <f ca="1"/>
        <v>113.730003</v>
      </c>
      <c r="E1441" s="22">
        <f ca="1"/>
        <v>112.44000200000001</v>
      </c>
      <c r="F1441" s="22">
        <f ca="1"/>
        <v>113.370003</v>
      </c>
      <c r="G1441" s="22">
        <f ca="1"/>
        <v>108.143227</v>
      </c>
      <c r="H1441" s="69">
        <f ca="1"/>
        <v>19122300</v>
      </c>
      <c r="I1441" s="23" t="str">
        <f t="shared" ca="1" si="45"/>
        <v/>
      </c>
    </row>
    <row r="1442" spans="1:9" ht="13.8">
      <c r="A1442" s="20">
        <f t="shared" ca="1" si="44"/>
        <v>43360</v>
      </c>
      <c r="B1442" s="21" t="str">
        <f ca="1"/>
        <v>2018-09-17</v>
      </c>
      <c r="C1442" s="22">
        <f ca="1"/>
        <v>113.69000200000001</v>
      </c>
      <c r="D1442" s="22">
        <f ca="1"/>
        <v>113.699997</v>
      </c>
      <c r="E1442" s="22">
        <f ca="1"/>
        <v>111.860001</v>
      </c>
      <c r="F1442" s="22">
        <f ca="1"/>
        <v>112.139999</v>
      </c>
      <c r="G1442" s="22">
        <f ca="1"/>
        <v>106.969925</v>
      </c>
      <c r="H1442" s="69">
        <f ca="1"/>
        <v>20736500</v>
      </c>
      <c r="I1442" s="23" t="str">
        <f t="shared" ca="1" si="45"/>
        <v/>
      </c>
    </row>
    <row r="1443" spans="1:9" ht="13.8">
      <c r="A1443" s="20">
        <f t="shared" ca="1" si="44"/>
        <v>43361</v>
      </c>
      <c r="B1443" s="21" t="str">
        <f ca="1"/>
        <v>2018-09-18</v>
      </c>
      <c r="C1443" s="22">
        <f ca="1"/>
        <v>112.19000200000001</v>
      </c>
      <c r="D1443" s="22">
        <f ca="1"/>
        <v>113.699997</v>
      </c>
      <c r="E1443" s="22">
        <f ca="1"/>
        <v>111.720001</v>
      </c>
      <c r="F1443" s="22">
        <f ca="1"/>
        <v>113.209999</v>
      </c>
      <c r="G1443" s="22">
        <f ca="1"/>
        <v>107.990601</v>
      </c>
      <c r="H1443" s="69">
        <f ca="1"/>
        <v>22170900</v>
      </c>
      <c r="I1443" s="23" t="str">
        <f t="shared" ca="1" si="45"/>
        <v/>
      </c>
    </row>
    <row r="1444" spans="1:9" ht="13.8">
      <c r="A1444" s="20">
        <f t="shared" ca="1" si="44"/>
        <v>43362</v>
      </c>
      <c r="B1444" s="21" t="str">
        <f ca="1"/>
        <v>2018-09-19</v>
      </c>
      <c r="C1444" s="22">
        <f ca="1"/>
        <v>113.050003</v>
      </c>
      <c r="D1444" s="22">
        <f ca="1"/>
        <v>113.32</v>
      </c>
      <c r="E1444" s="22">
        <f ca="1"/>
        <v>111.040001</v>
      </c>
      <c r="F1444" s="22">
        <f ca="1"/>
        <v>111.699997</v>
      </c>
      <c r="G1444" s="22">
        <f ca="1"/>
        <v>106.550201</v>
      </c>
      <c r="H1444" s="69">
        <f ca="1"/>
        <v>21728400</v>
      </c>
      <c r="I1444" s="23" t="str">
        <f t="shared" ca="1" si="45"/>
        <v/>
      </c>
    </row>
    <row r="1445" spans="1:9" ht="13.8">
      <c r="A1445" s="20">
        <f t="shared" ca="1" si="44"/>
        <v>43363</v>
      </c>
      <c r="B1445" s="21" t="str">
        <f ca="1"/>
        <v>2018-09-20</v>
      </c>
      <c r="C1445" s="22">
        <f ca="1"/>
        <v>112.279999</v>
      </c>
      <c r="D1445" s="22">
        <f ca="1"/>
        <v>113.800003</v>
      </c>
      <c r="E1445" s="22">
        <f ca="1"/>
        <v>111.93</v>
      </c>
      <c r="F1445" s="22">
        <f ca="1"/>
        <v>113.57</v>
      </c>
      <c r="G1445" s="22">
        <f ca="1"/>
        <v>108.333977</v>
      </c>
      <c r="H1445" s="69">
        <f ca="1"/>
        <v>23714500</v>
      </c>
      <c r="I1445" s="23" t="str">
        <f t="shared" ca="1" si="45"/>
        <v/>
      </c>
    </row>
    <row r="1446" spans="1:9" ht="13.8">
      <c r="A1446" s="20">
        <f t="shared" ca="1" si="44"/>
        <v>43364</v>
      </c>
      <c r="B1446" s="21" t="str">
        <f ca="1"/>
        <v>2018-09-21</v>
      </c>
      <c r="C1446" s="22">
        <f ca="1"/>
        <v>114</v>
      </c>
      <c r="D1446" s="22">
        <f ca="1"/>
        <v>115.290001</v>
      </c>
      <c r="E1446" s="22">
        <f ca="1"/>
        <v>113.510002</v>
      </c>
      <c r="F1446" s="22">
        <f ca="1"/>
        <v>114.260002</v>
      </c>
      <c r="G1446" s="22">
        <f ca="1"/>
        <v>108.992188</v>
      </c>
      <c r="H1446" s="69">
        <f ca="1"/>
        <v>71229700</v>
      </c>
      <c r="I1446" s="23" t="str">
        <f t="shared" ca="1" si="45"/>
        <v/>
      </c>
    </row>
    <row r="1447" spans="1:9" ht="13.8">
      <c r="A1447" s="20">
        <f t="shared" ca="1" si="44"/>
        <v>43367</v>
      </c>
      <c r="B1447" s="21" t="str">
        <f ca="1"/>
        <v>2018-09-24</v>
      </c>
      <c r="C1447" s="22">
        <f ca="1"/>
        <v>113.029999</v>
      </c>
      <c r="D1447" s="22">
        <f ca="1"/>
        <v>114.900002</v>
      </c>
      <c r="E1447" s="22">
        <f ca="1"/>
        <v>112.220001</v>
      </c>
      <c r="F1447" s="22">
        <f ca="1"/>
        <v>114.66999800000001</v>
      </c>
      <c r="G1447" s="22">
        <f ca="1"/>
        <v>109.383286</v>
      </c>
      <c r="H1447" s="69">
        <f ca="1"/>
        <v>27334500</v>
      </c>
      <c r="I1447" s="23" t="str">
        <f t="shared" ca="1" si="45"/>
        <v/>
      </c>
    </row>
    <row r="1448" spans="1:9" ht="13.8">
      <c r="A1448" s="20">
        <f t="shared" ca="1" si="44"/>
        <v>43368</v>
      </c>
      <c r="B1448" s="21" t="str">
        <f ca="1"/>
        <v>2018-09-25</v>
      </c>
      <c r="C1448" s="22">
        <f ca="1"/>
        <v>114.800003</v>
      </c>
      <c r="D1448" s="22">
        <f ca="1"/>
        <v>115.099998</v>
      </c>
      <c r="E1448" s="22">
        <f ca="1"/>
        <v>113.75</v>
      </c>
      <c r="F1448" s="22">
        <f ca="1"/>
        <v>114.449997</v>
      </c>
      <c r="G1448" s="22">
        <f ca="1"/>
        <v>109.17340900000001</v>
      </c>
      <c r="H1448" s="69">
        <f ca="1"/>
        <v>22668000</v>
      </c>
      <c r="I1448" s="23" t="str">
        <f t="shared" ca="1" si="45"/>
        <v/>
      </c>
    </row>
    <row r="1449" spans="1:9" ht="13.8">
      <c r="A1449" s="20">
        <f t="shared" ca="1" si="44"/>
        <v>43369</v>
      </c>
      <c r="B1449" s="21" t="str">
        <f ca="1"/>
        <v>2018-09-26</v>
      </c>
      <c r="C1449" s="22">
        <f ca="1"/>
        <v>114.470001</v>
      </c>
      <c r="D1449" s="22">
        <f ca="1"/>
        <v>115.05999799999999</v>
      </c>
      <c r="E1449" s="22">
        <f ca="1"/>
        <v>113.739998</v>
      </c>
      <c r="F1449" s="22">
        <f ca="1"/>
        <v>113.980003</v>
      </c>
      <c r="G1449" s="22">
        <f ca="1"/>
        <v>108.725098</v>
      </c>
      <c r="H1449" s="69">
        <f ca="1"/>
        <v>19352000</v>
      </c>
      <c r="I1449" s="23" t="str">
        <f t="shared" ca="1" si="45"/>
        <v/>
      </c>
    </row>
    <row r="1450" spans="1:9" ht="13.8">
      <c r="A1450" s="20">
        <f t="shared" ca="1" si="44"/>
        <v>43370</v>
      </c>
      <c r="B1450" s="21" t="str">
        <f ca="1"/>
        <v>2018-09-27</v>
      </c>
      <c r="C1450" s="22">
        <f ca="1"/>
        <v>114.779999</v>
      </c>
      <c r="D1450" s="22">
        <f ca="1"/>
        <v>114.910004</v>
      </c>
      <c r="E1450" s="22">
        <f ca="1"/>
        <v>114.199997</v>
      </c>
      <c r="F1450" s="22">
        <f ca="1"/>
        <v>114.410004</v>
      </c>
      <c r="G1450" s="22">
        <f ca="1"/>
        <v>109.135277</v>
      </c>
      <c r="H1450" s="69">
        <f ca="1"/>
        <v>19091300</v>
      </c>
      <c r="I1450" s="23" t="str">
        <f t="shared" ca="1" si="45"/>
        <v/>
      </c>
    </row>
    <row r="1451" spans="1:9" ht="13.8">
      <c r="A1451" s="20">
        <f t="shared" ca="1" si="44"/>
        <v>43371</v>
      </c>
      <c r="B1451" s="21" t="str">
        <f ca="1"/>
        <v>2018-09-28</v>
      </c>
      <c r="C1451" s="22">
        <f ca="1"/>
        <v>114.19000200000001</v>
      </c>
      <c r="D1451" s="22">
        <f ca="1"/>
        <v>114.57</v>
      </c>
      <c r="E1451" s="22">
        <f ca="1"/>
        <v>113.68</v>
      </c>
      <c r="F1451" s="22">
        <f ca="1"/>
        <v>114.370003</v>
      </c>
      <c r="G1451" s="22">
        <f ca="1"/>
        <v>109.097122</v>
      </c>
      <c r="H1451" s="69">
        <f ca="1"/>
        <v>21647800</v>
      </c>
      <c r="I1451" s="23" t="str">
        <f t="shared" ca="1" si="45"/>
        <v/>
      </c>
    </row>
    <row r="1452" spans="1:9" ht="13.8">
      <c r="A1452" s="20">
        <f t="shared" ca="1" si="44"/>
        <v>43374</v>
      </c>
      <c r="B1452" s="21" t="str">
        <f ca="1"/>
        <v>2018-10-01</v>
      </c>
      <c r="C1452" s="22">
        <f ca="1"/>
        <v>114.75</v>
      </c>
      <c r="D1452" s="22">
        <f ca="1"/>
        <v>115.68</v>
      </c>
      <c r="E1452" s="22">
        <f ca="1"/>
        <v>114.730003</v>
      </c>
      <c r="F1452" s="22">
        <f ca="1"/>
        <v>115.610001</v>
      </c>
      <c r="G1452" s="22">
        <f ca="1"/>
        <v>110.279945</v>
      </c>
      <c r="H1452" s="69">
        <f ca="1"/>
        <v>18883100</v>
      </c>
      <c r="I1452" s="23" t="str">
        <f t="shared" ca="1" si="45"/>
        <v/>
      </c>
    </row>
    <row r="1453" spans="1:9" ht="13.8">
      <c r="A1453" s="20">
        <f t="shared" ca="1" si="44"/>
        <v>43375</v>
      </c>
      <c r="B1453" s="21" t="str">
        <f ca="1"/>
        <v>2018-10-02</v>
      </c>
      <c r="C1453" s="22">
        <f ca="1"/>
        <v>115.300003</v>
      </c>
      <c r="D1453" s="22">
        <f ca="1"/>
        <v>115.839996</v>
      </c>
      <c r="E1453" s="22">
        <f ca="1"/>
        <v>114.44000200000001</v>
      </c>
      <c r="F1453" s="22">
        <f ca="1"/>
        <v>115.150002</v>
      </c>
      <c r="G1453" s="22">
        <f ca="1"/>
        <v>109.84116400000001</v>
      </c>
      <c r="H1453" s="69">
        <f ca="1"/>
        <v>20787200</v>
      </c>
      <c r="I1453" s="23" t="str">
        <f t="shared" ca="1" si="45"/>
        <v/>
      </c>
    </row>
    <row r="1454" spans="1:9" ht="13.8">
      <c r="A1454" s="20">
        <f t="shared" ca="1" si="44"/>
        <v>43376</v>
      </c>
      <c r="B1454" s="21" t="str">
        <f ca="1"/>
        <v>2018-10-03</v>
      </c>
      <c r="C1454" s="22">
        <f ca="1"/>
        <v>115.41999800000001</v>
      </c>
      <c r="D1454" s="22">
        <f ca="1"/>
        <v>116.18</v>
      </c>
      <c r="E1454" s="22">
        <f ca="1"/>
        <v>114.93</v>
      </c>
      <c r="F1454" s="22">
        <f ca="1"/>
        <v>115.16999800000001</v>
      </c>
      <c r="G1454" s="22">
        <f ca="1"/>
        <v>109.860229</v>
      </c>
      <c r="H1454" s="69">
        <f ca="1"/>
        <v>16648000</v>
      </c>
      <c r="I1454" s="23" t="str">
        <f t="shared" ca="1" si="45"/>
        <v/>
      </c>
    </row>
    <row r="1455" spans="1:9" ht="13.8">
      <c r="A1455" s="20">
        <f t="shared" ca="1" si="44"/>
        <v>43377</v>
      </c>
      <c r="B1455" s="21" t="str">
        <f ca="1"/>
        <v>2018-10-04</v>
      </c>
      <c r="C1455" s="22">
        <f ca="1"/>
        <v>114.610001</v>
      </c>
      <c r="D1455" s="22">
        <f ca="1"/>
        <v>114.760002</v>
      </c>
      <c r="E1455" s="22">
        <f ca="1"/>
        <v>111.629997</v>
      </c>
      <c r="F1455" s="22">
        <f ca="1"/>
        <v>112.790001</v>
      </c>
      <c r="G1455" s="22">
        <f ca="1"/>
        <v>107.589951</v>
      </c>
      <c r="H1455" s="69">
        <f ca="1"/>
        <v>34821700</v>
      </c>
      <c r="I1455" s="23" t="str">
        <f t="shared" ca="1" si="45"/>
        <v/>
      </c>
    </row>
    <row r="1456" spans="1:9" ht="13.8">
      <c r="A1456" s="20">
        <f t="shared" ca="1" si="44"/>
        <v>43378</v>
      </c>
      <c r="B1456" s="21" t="str">
        <f ca="1"/>
        <v>2018-10-05</v>
      </c>
      <c r="C1456" s="22">
        <f ca="1"/>
        <v>112.629997</v>
      </c>
      <c r="D1456" s="22">
        <f ca="1"/>
        <v>113.16999800000001</v>
      </c>
      <c r="E1456" s="22">
        <f ca="1"/>
        <v>110.639999</v>
      </c>
      <c r="F1456" s="22">
        <f ca="1"/>
        <v>112.129997</v>
      </c>
      <c r="G1456" s="22">
        <f ca="1"/>
        <v>106.96038799999999</v>
      </c>
      <c r="H1456" s="69">
        <f ca="1"/>
        <v>29068900</v>
      </c>
      <c r="I1456" s="23" t="str">
        <f t="shared" ca="1" si="45"/>
        <v/>
      </c>
    </row>
    <row r="1457" spans="1:9" ht="13.8">
      <c r="A1457" s="20">
        <f t="shared" ca="1" si="44"/>
        <v>43381</v>
      </c>
      <c r="B1457" s="21" t="str">
        <f ca="1"/>
        <v>2018-10-08</v>
      </c>
      <c r="C1457" s="22">
        <f ca="1"/>
        <v>111.660004</v>
      </c>
      <c r="D1457" s="22">
        <f ca="1"/>
        <v>112.029999</v>
      </c>
      <c r="E1457" s="22">
        <f ca="1"/>
        <v>109.339996</v>
      </c>
      <c r="F1457" s="22">
        <f ca="1"/>
        <v>110.849998</v>
      </c>
      <c r="G1457" s="22">
        <f ca="1"/>
        <v>105.739403</v>
      </c>
      <c r="H1457" s="69">
        <f ca="1"/>
        <v>29640600</v>
      </c>
      <c r="I1457" s="23" t="str">
        <f t="shared" ca="1" si="45"/>
        <v/>
      </c>
    </row>
    <row r="1458" spans="1:9" ht="13.8">
      <c r="A1458" s="20">
        <f t="shared" ca="1" si="44"/>
        <v>43382</v>
      </c>
      <c r="B1458" s="21" t="str">
        <f ca="1"/>
        <v>2018-10-09</v>
      </c>
      <c r="C1458" s="22">
        <f ca="1"/>
        <v>111.139999</v>
      </c>
      <c r="D1458" s="22">
        <f ca="1"/>
        <v>113.08000199999999</v>
      </c>
      <c r="E1458" s="22">
        <f ca="1"/>
        <v>110.800003</v>
      </c>
      <c r="F1458" s="22">
        <f ca="1"/>
        <v>112.260002</v>
      </c>
      <c r="G1458" s="22">
        <f ca="1"/>
        <v>107.084389</v>
      </c>
      <c r="H1458" s="69">
        <f ca="1"/>
        <v>26198600</v>
      </c>
      <c r="I1458" s="23" t="str">
        <f t="shared" ca="1" si="45"/>
        <v/>
      </c>
    </row>
    <row r="1459" spans="1:9" ht="13.8">
      <c r="A1459" s="20">
        <f t="shared" ca="1" si="44"/>
        <v>43383</v>
      </c>
      <c r="B1459" s="21" t="str">
        <f ca="1"/>
        <v>2018-10-10</v>
      </c>
      <c r="C1459" s="22">
        <f ca="1"/>
        <v>111.239998</v>
      </c>
      <c r="D1459" s="22">
        <f ca="1"/>
        <v>111.5</v>
      </c>
      <c r="E1459" s="22">
        <f ca="1"/>
        <v>105.790001</v>
      </c>
      <c r="F1459" s="22">
        <f ca="1"/>
        <v>106.160004</v>
      </c>
      <c r="G1459" s="22">
        <f ca="1"/>
        <v>101.26563299999999</v>
      </c>
      <c r="H1459" s="69">
        <f ca="1"/>
        <v>61376300</v>
      </c>
      <c r="I1459" s="23" t="str">
        <f t="shared" ca="1" si="45"/>
        <v/>
      </c>
    </row>
    <row r="1460" spans="1:9" ht="13.8">
      <c r="A1460" s="20">
        <f t="shared" ca="1" si="44"/>
        <v>43384</v>
      </c>
      <c r="B1460" s="21" t="str">
        <f ca="1"/>
        <v>2018-10-11</v>
      </c>
      <c r="C1460" s="22">
        <f ca="1"/>
        <v>105.349998</v>
      </c>
      <c r="D1460" s="22">
        <f ca="1"/>
        <v>108.93</v>
      </c>
      <c r="E1460" s="22">
        <f ca="1"/>
        <v>104.199997</v>
      </c>
      <c r="F1460" s="22">
        <f ca="1"/>
        <v>105.910004</v>
      </c>
      <c r="G1460" s="22">
        <f ca="1"/>
        <v>101.027168</v>
      </c>
      <c r="H1460" s="69">
        <f ca="1"/>
        <v>63904300</v>
      </c>
      <c r="I1460" s="23" t="str">
        <f t="shared" ca="1" si="45"/>
        <v/>
      </c>
    </row>
    <row r="1461" spans="1:9" ht="13.8">
      <c r="A1461" s="20">
        <f t="shared" ca="1" si="44"/>
        <v>43385</v>
      </c>
      <c r="B1461" s="21" t="str">
        <f ca="1"/>
        <v>2018-10-12</v>
      </c>
      <c r="C1461" s="22">
        <f ca="1"/>
        <v>109.010002</v>
      </c>
      <c r="D1461" s="22">
        <f ca="1"/>
        <v>111.239998</v>
      </c>
      <c r="E1461" s="22">
        <f ca="1"/>
        <v>107.120003</v>
      </c>
      <c r="F1461" s="22">
        <f ca="1"/>
        <v>109.57</v>
      </c>
      <c r="G1461" s="22">
        <f ca="1"/>
        <v>104.51840199999999</v>
      </c>
      <c r="H1461" s="69">
        <f ca="1"/>
        <v>47742100</v>
      </c>
      <c r="I1461" s="23" t="str">
        <f t="shared" ca="1" si="45"/>
        <v/>
      </c>
    </row>
    <row r="1462" spans="1:9" ht="13.8">
      <c r="A1462" s="20">
        <f t="shared" ca="1" si="44"/>
        <v>43388</v>
      </c>
      <c r="B1462" s="21" t="str">
        <f ca="1"/>
        <v>2018-10-15</v>
      </c>
      <c r="C1462" s="22">
        <f ca="1"/>
        <v>108.910004</v>
      </c>
      <c r="D1462" s="22">
        <f ca="1"/>
        <v>109.480003</v>
      </c>
      <c r="E1462" s="22">
        <f ca="1"/>
        <v>106.949997</v>
      </c>
      <c r="F1462" s="22">
        <f ca="1"/>
        <v>107.599998</v>
      </c>
      <c r="G1462" s="22">
        <f ca="1"/>
        <v>102.639229</v>
      </c>
      <c r="H1462" s="69">
        <f ca="1"/>
        <v>32068100</v>
      </c>
      <c r="I1462" s="23" t="str">
        <f t="shared" ca="1" si="45"/>
        <v/>
      </c>
    </row>
    <row r="1463" spans="1:9" ht="13.8">
      <c r="A1463" s="20">
        <f t="shared" ca="1" si="44"/>
        <v>43389</v>
      </c>
      <c r="B1463" s="21" t="str">
        <f ca="1"/>
        <v>2018-10-16</v>
      </c>
      <c r="C1463" s="22">
        <f ca="1"/>
        <v>109.540001</v>
      </c>
      <c r="D1463" s="22">
        <f ca="1"/>
        <v>111.410004</v>
      </c>
      <c r="E1463" s="22">
        <f ca="1"/>
        <v>108.949997</v>
      </c>
      <c r="F1463" s="22">
        <f ca="1"/>
        <v>111</v>
      </c>
      <c r="G1463" s="22">
        <f ca="1"/>
        <v>105.88248400000001</v>
      </c>
      <c r="H1463" s="69">
        <f ca="1"/>
        <v>31610200</v>
      </c>
      <c r="I1463" s="23" t="str">
        <f t="shared" ca="1" si="45"/>
        <v/>
      </c>
    </row>
    <row r="1464" spans="1:9" ht="13.8">
      <c r="A1464" s="20">
        <f t="shared" ca="1" si="44"/>
        <v>43390</v>
      </c>
      <c r="B1464" s="21" t="str">
        <f ca="1"/>
        <v>2018-10-17</v>
      </c>
      <c r="C1464" s="22">
        <f ca="1"/>
        <v>111.68</v>
      </c>
      <c r="D1464" s="22">
        <f ca="1"/>
        <v>111.80999799999999</v>
      </c>
      <c r="E1464" s="22">
        <f ca="1"/>
        <v>109.550003</v>
      </c>
      <c r="F1464" s="22">
        <f ca="1"/>
        <v>110.709999</v>
      </c>
      <c r="G1464" s="22">
        <f ca="1"/>
        <v>105.60585</v>
      </c>
      <c r="H1464" s="69">
        <f ca="1"/>
        <v>26548200</v>
      </c>
      <c r="I1464" s="23" t="str">
        <f t="shared" ca="1" si="45"/>
        <v/>
      </c>
    </row>
    <row r="1465" spans="1:9" ht="13.8">
      <c r="A1465" s="20">
        <f t="shared" ca="1" si="44"/>
        <v>43391</v>
      </c>
      <c r="B1465" s="21" t="str">
        <f ca="1"/>
        <v>2018-10-18</v>
      </c>
      <c r="C1465" s="22">
        <f ca="1"/>
        <v>110.099998</v>
      </c>
      <c r="D1465" s="22">
        <f ca="1"/>
        <v>110.529999</v>
      </c>
      <c r="E1465" s="22">
        <f ca="1"/>
        <v>107.83000199999999</v>
      </c>
      <c r="F1465" s="22">
        <f ca="1"/>
        <v>108.5</v>
      </c>
      <c r="G1465" s="22">
        <f ca="1"/>
        <v>103.49775699999999</v>
      </c>
      <c r="H1465" s="69">
        <f ca="1"/>
        <v>32506200</v>
      </c>
      <c r="I1465" s="23" t="str">
        <f t="shared" ca="1" si="45"/>
        <v/>
      </c>
    </row>
    <row r="1466" spans="1:9" ht="13.8">
      <c r="A1466" s="20">
        <f t="shared" ca="1" si="44"/>
        <v>43392</v>
      </c>
      <c r="B1466" s="21" t="str">
        <f ca="1"/>
        <v>2018-10-19</v>
      </c>
      <c r="C1466" s="22">
        <f ca="1"/>
        <v>108.93</v>
      </c>
      <c r="D1466" s="22">
        <f ca="1"/>
        <v>110.860001</v>
      </c>
      <c r="E1466" s="22">
        <f ca="1"/>
        <v>108.209999</v>
      </c>
      <c r="F1466" s="22">
        <f ca="1"/>
        <v>108.660004</v>
      </c>
      <c r="G1466" s="22">
        <f ca="1"/>
        <v>103.65038300000001</v>
      </c>
      <c r="H1466" s="69">
        <f ca="1"/>
        <v>32785500</v>
      </c>
      <c r="I1466" s="23" t="str">
        <f t="shared" ca="1" si="45"/>
        <v/>
      </c>
    </row>
    <row r="1467" spans="1:9" ht="13.8">
      <c r="A1467" s="20">
        <f t="shared" ca="1" si="44"/>
        <v>43395</v>
      </c>
      <c r="B1467" s="21" t="str">
        <f ca="1"/>
        <v>2018-10-22</v>
      </c>
      <c r="C1467" s="22">
        <f ca="1"/>
        <v>109.32</v>
      </c>
      <c r="D1467" s="22">
        <f ca="1"/>
        <v>110.540001</v>
      </c>
      <c r="E1467" s="22">
        <f ca="1"/>
        <v>108.239998</v>
      </c>
      <c r="F1467" s="22">
        <f ca="1"/>
        <v>109.629997</v>
      </c>
      <c r="G1467" s="22">
        <f ca="1"/>
        <v>104.575638</v>
      </c>
      <c r="H1467" s="69">
        <f ca="1"/>
        <v>26545600</v>
      </c>
      <c r="I1467" s="23" t="str">
        <f t="shared" ca="1" si="45"/>
        <v/>
      </c>
    </row>
    <row r="1468" spans="1:9" ht="13.8">
      <c r="A1468" s="20">
        <f t="shared" ca="1" si="44"/>
        <v>43396</v>
      </c>
      <c r="B1468" s="21" t="str">
        <f ca="1"/>
        <v>2018-10-23</v>
      </c>
      <c r="C1468" s="22">
        <f ca="1"/>
        <v>107.769997</v>
      </c>
      <c r="D1468" s="22">
        <f ca="1"/>
        <v>108.970001</v>
      </c>
      <c r="E1468" s="22">
        <f ca="1"/>
        <v>105.110001</v>
      </c>
      <c r="F1468" s="22">
        <f ca="1"/>
        <v>108.099998</v>
      </c>
      <c r="G1468" s="22">
        <f ca="1"/>
        <v>103.11618799999999</v>
      </c>
      <c r="H1468" s="69">
        <f ca="1"/>
        <v>43770400</v>
      </c>
      <c r="I1468" s="23" t="str">
        <f t="shared" ca="1" si="45"/>
        <v/>
      </c>
    </row>
    <row r="1469" spans="1:9" ht="13.8">
      <c r="A1469" s="20">
        <f t="shared" ca="1" si="44"/>
        <v>43397</v>
      </c>
      <c r="B1469" s="21" t="str">
        <f ca="1"/>
        <v>2018-10-24</v>
      </c>
      <c r="C1469" s="22">
        <f ca="1"/>
        <v>108.410004</v>
      </c>
      <c r="D1469" s="22">
        <f ca="1"/>
        <v>108.489998</v>
      </c>
      <c r="E1469" s="22">
        <f ca="1"/>
        <v>101.589996</v>
      </c>
      <c r="F1469" s="22">
        <f ca="1"/>
        <v>102.32</v>
      </c>
      <c r="G1469" s="22">
        <f ca="1"/>
        <v>97.602660999999998</v>
      </c>
      <c r="H1469" s="69">
        <f ca="1"/>
        <v>63897800</v>
      </c>
      <c r="I1469" s="23" t="str">
        <f t="shared" ca="1" si="45"/>
        <v/>
      </c>
    </row>
    <row r="1470" spans="1:9" ht="13.8">
      <c r="A1470" s="20">
        <f t="shared" ca="1" si="44"/>
        <v>43398</v>
      </c>
      <c r="B1470" s="21" t="str">
        <f ca="1"/>
        <v>2018-10-25</v>
      </c>
      <c r="C1470" s="22">
        <f ca="1"/>
        <v>106.550003</v>
      </c>
      <c r="D1470" s="22">
        <f ca="1"/>
        <v>109.269997</v>
      </c>
      <c r="E1470" s="22">
        <f ca="1"/>
        <v>106.150002</v>
      </c>
      <c r="F1470" s="22">
        <f ca="1"/>
        <v>108.300003</v>
      </c>
      <c r="G1470" s="22">
        <f ca="1"/>
        <v>103.306969</v>
      </c>
      <c r="H1470" s="69">
        <f ca="1"/>
        <v>61646800</v>
      </c>
      <c r="I1470" s="23" t="str">
        <f t="shared" ca="1" si="45"/>
        <v/>
      </c>
    </row>
    <row r="1471" spans="1:9" ht="13.8">
      <c r="A1471" s="20">
        <f t="shared" ca="1" si="44"/>
        <v>43399</v>
      </c>
      <c r="B1471" s="21" t="str">
        <f ca="1"/>
        <v>2018-10-26</v>
      </c>
      <c r="C1471" s="22">
        <f ca="1"/>
        <v>105.69000200000001</v>
      </c>
      <c r="D1471" s="22">
        <f ca="1"/>
        <v>108.75</v>
      </c>
      <c r="E1471" s="22">
        <f ca="1"/>
        <v>104.760002</v>
      </c>
      <c r="F1471" s="22">
        <f ca="1"/>
        <v>106.959999</v>
      </c>
      <c r="G1471" s="22">
        <f ca="1"/>
        <v>102.02874</v>
      </c>
      <c r="H1471" s="69">
        <f ca="1"/>
        <v>55523100</v>
      </c>
      <c r="I1471" s="23" t="str">
        <f t="shared" ca="1" si="45"/>
        <v/>
      </c>
    </row>
    <row r="1472" spans="1:9" ht="13.8">
      <c r="A1472" s="20">
        <f t="shared" ca="1" si="44"/>
        <v>43402</v>
      </c>
      <c r="B1472" s="21" t="str">
        <f ca="1"/>
        <v>2018-10-29</v>
      </c>
      <c r="C1472" s="22">
        <f ca="1"/>
        <v>108.110001</v>
      </c>
      <c r="D1472" s="22">
        <f ca="1"/>
        <v>108.699997</v>
      </c>
      <c r="E1472" s="22">
        <f ca="1"/>
        <v>101.629997</v>
      </c>
      <c r="F1472" s="22">
        <f ca="1"/>
        <v>103.849998</v>
      </c>
      <c r="G1472" s="22">
        <f ca="1"/>
        <v>99.062118999999996</v>
      </c>
      <c r="H1472" s="69">
        <f ca="1"/>
        <v>55162000</v>
      </c>
      <c r="I1472" s="23" t="str">
        <f t="shared" ca="1" si="45"/>
        <v/>
      </c>
    </row>
    <row r="1473" spans="1:9" ht="13.8">
      <c r="A1473" s="20">
        <f t="shared" ca="1" si="44"/>
        <v>43403</v>
      </c>
      <c r="B1473" s="21" t="str">
        <f ca="1"/>
        <v>2018-10-30</v>
      </c>
      <c r="C1473" s="22">
        <f ca="1"/>
        <v>103.660004</v>
      </c>
      <c r="D1473" s="22">
        <f ca="1"/>
        <v>104.379997</v>
      </c>
      <c r="E1473" s="22">
        <f ca="1"/>
        <v>100.110001</v>
      </c>
      <c r="F1473" s="22">
        <f ca="1"/>
        <v>103.730003</v>
      </c>
      <c r="G1473" s="22">
        <f ca="1"/>
        <v>98.947661999999994</v>
      </c>
      <c r="H1473" s="69">
        <f ca="1"/>
        <v>65350900</v>
      </c>
      <c r="I1473" s="23" t="str">
        <f t="shared" ca="1" si="45"/>
        <v/>
      </c>
    </row>
    <row r="1474" spans="1:9" ht="13.8">
      <c r="A1474" s="20">
        <f t="shared" ca="1" si="44"/>
        <v>43404</v>
      </c>
      <c r="B1474" s="21" t="str">
        <f ca="1"/>
        <v>2018-10-31</v>
      </c>
      <c r="C1474" s="22">
        <f ca="1"/>
        <v>105.44000200000001</v>
      </c>
      <c r="D1474" s="22">
        <f ca="1"/>
        <v>108.139999</v>
      </c>
      <c r="E1474" s="22">
        <f ca="1"/>
        <v>105.389999</v>
      </c>
      <c r="F1474" s="22">
        <f ca="1"/>
        <v>106.80999799999999</v>
      </c>
      <c r="G1474" s="22">
        <f ca="1"/>
        <v>101.885651</v>
      </c>
      <c r="H1474" s="69">
        <f ca="1"/>
        <v>51062400</v>
      </c>
      <c r="I1474" s="23" t="str">
        <f t="shared" ca="1" si="45"/>
        <v/>
      </c>
    </row>
    <row r="1475" spans="1:9" ht="13.8">
      <c r="A1475" s="20">
        <f t="shared" ca="1" si="44"/>
        <v>43405</v>
      </c>
      <c r="B1475" s="21" t="str">
        <f ca="1"/>
        <v>2018-11-01</v>
      </c>
      <c r="C1475" s="22">
        <f ca="1"/>
        <v>107.050003</v>
      </c>
      <c r="D1475" s="22">
        <f ca="1"/>
        <v>107.32</v>
      </c>
      <c r="E1475" s="22">
        <f ca="1"/>
        <v>105.529999</v>
      </c>
      <c r="F1475" s="22">
        <f ca="1"/>
        <v>105.91999800000001</v>
      </c>
      <c r="G1475" s="22">
        <f ca="1"/>
        <v>101.036674</v>
      </c>
      <c r="H1475" s="69">
        <f ca="1"/>
        <v>33384200</v>
      </c>
      <c r="I1475" s="23" t="str">
        <f t="shared" ca="1" si="45"/>
        <v/>
      </c>
    </row>
    <row r="1476" spans="1:9" ht="13.8">
      <c r="A1476" s="20">
        <f t="shared" ca="1" si="44"/>
        <v>43406</v>
      </c>
      <c r="B1476" s="21" t="str">
        <f ca="1"/>
        <v>2018-11-02</v>
      </c>
      <c r="C1476" s="22">
        <f ca="1"/>
        <v>106.480003</v>
      </c>
      <c r="D1476" s="22">
        <f ca="1"/>
        <v>107.32</v>
      </c>
      <c r="E1476" s="22">
        <f ca="1"/>
        <v>104.980003</v>
      </c>
      <c r="F1476" s="22">
        <f ca="1"/>
        <v>106.160004</v>
      </c>
      <c r="G1476" s="22">
        <f ca="1"/>
        <v>101.26563299999999</v>
      </c>
      <c r="H1476" s="69">
        <f ca="1"/>
        <v>37680200</v>
      </c>
      <c r="I1476" s="23" t="str">
        <f t="shared" ca="1" si="45"/>
        <v/>
      </c>
    </row>
    <row r="1477" spans="1:9" ht="13.8">
      <c r="A1477" s="20">
        <f t="shared" ca="1" si="44"/>
        <v>43409</v>
      </c>
      <c r="B1477" s="21" t="str">
        <f ca="1"/>
        <v>2018-11-05</v>
      </c>
      <c r="C1477" s="22">
        <f ca="1"/>
        <v>106.370003</v>
      </c>
      <c r="D1477" s="22">
        <f ca="1"/>
        <v>107.739998</v>
      </c>
      <c r="E1477" s="22">
        <f ca="1"/>
        <v>105.900002</v>
      </c>
      <c r="F1477" s="22">
        <f ca="1"/>
        <v>107.510002</v>
      </c>
      <c r="G1477" s="22">
        <f ca="1"/>
        <v>102.553391</v>
      </c>
      <c r="H1477" s="69">
        <f ca="1"/>
        <v>27922100</v>
      </c>
      <c r="I1477" s="23" t="str">
        <f t="shared" ca="1" si="45"/>
        <v/>
      </c>
    </row>
    <row r="1478" spans="1:9" ht="13.8">
      <c r="A1478" s="20">
        <f t="shared" ref="A1478:A1541" ca="1" si="46">IFERROR(DATEVALUE($B1478),"--")</f>
        <v>43410</v>
      </c>
      <c r="B1478" s="21" t="str">
        <f ca="1"/>
        <v>2018-11-06</v>
      </c>
      <c r="C1478" s="22">
        <f ca="1"/>
        <v>107.379997</v>
      </c>
      <c r="D1478" s="22">
        <f ca="1"/>
        <v>108.839996</v>
      </c>
      <c r="E1478" s="22">
        <f ca="1"/>
        <v>106.279999</v>
      </c>
      <c r="F1478" s="22">
        <f ca="1"/>
        <v>107.720001</v>
      </c>
      <c r="G1478" s="22">
        <f ca="1"/>
        <v>102.75369999999999</v>
      </c>
      <c r="H1478" s="69">
        <f ca="1"/>
        <v>24340200</v>
      </c>
      <c r="I1478" s="23" t="str">
        <f t="shared" ref="I1478:I1541" ca="1" si="47">IFERROR(IF(Ticker&lt;&gt;$Q$2,"",INDEX($P:$P,MATCH($A1478,$O:$O,0))),"")</f>
        <v/>
      </c>
    </row>
    <row r="1479" spans="1:9" ht="13.8">
      <c r="A1479" s="20">
        <f t="shared" ca="1" si="46"/>
        <v>43411</v>
      </c>
      <c r="B1479" s="21" t="str">
        <f ca="1"/>
        <v>2018-11-07</v>
      </c>
      <c r="C1479" s="22">
        <f ca="1"/>
        <v>109.44000200000001</v>
      </c>
      <c r="D1479" s="22">
        <f ca="1"/>
        <v>112.239998</v>
      </c>
      <c r="E1479" s="22">
        <f ca="1"/>
        <v>109.400002</v>
      </c>
      <c r="F1479" s="22">
        <f ca="1"/>
        <v>111.959999</v>
      </c>
      <c r="G1479" s="22">
        <f ca="1"/>
        <v>106.798241</v>
      </c>
      <c r="H1479" s="69">
        <f ca="1"/>
        <v>37901700</v>
      </c>
      <c r="I1479" s="23" t="str">
        <f t="shared" ca="1" si="47"/>
        <v/>
      </c>
    </row>
    <row r="1480" spans="1:9" ht="13.8">
      <c r="A1480" s="20">
        <f t="shared" ca="1" si="46"/>
        <v>43412</v>
      </c>
      <c r="B1480" s="21" t="str">
        <f ca="1"/>
        <v>2018-11-08</v>
      </c>
      <c r="C1480" s="22">
        <f ca="1"/>
        <v>111.800003</v>
      </c>
      <c r="D1480" s="22">
        <f ca="1"/>
        <v>112.209999</v>
      </c>
      <c r="E1480" s="22">
        <f ca="1"/>
        <v>110.910004</v>
      </c>
      <c r="F1480" s="22">
        <f ca="1"/>
        <v>111.75</v>
      </c>
      <c r="G1480" s="22">
        <f ca="1"/>
        <v>106.597916</v>
      </c>
      <c r="H1480" s="69">
        <f ca="1"/>
        <v>25644100</v>
      </c>
      <c r="I1480" s="23" t="str">
        <f t="shared" ca="1" si="47"/>
        <v/>
      </c>
    </row>
    <row r="1481" spans="1:9" ht="13.8">
      <c r="A1481" s="20">
        <f t="shared" ca="1" si="46"/>
        <v>43413</v>
      </c>
      <c r="B1481" s="21" t="str">
        <f ca="1"/>
        <v>2018-11-09</v>
      </c>
      <c r="C1481" s="22">
        <f ca="1"/>
        <v>110.849998</v>
      </c>
      <c r="D1481" s="22">
        <f ca="1"/>
        <v>111.449997</v>
      </c>
      <c r="E1481" s="22">
        <f ca="1"/>
        <v>108.760002</v>
      </c>
      <c r="F1481" s="22">
        <f ca="1"/>
        <v>109.57</v>
      </c>
      <c r="G1481" s="22">
        <f ca="1"/>
        <v>104.51840199999999</v>
      </c>
      <c r="H1481" s="69">
        <f ca="1"/>
        <v>32039200</v>
      </c>
      <c r="I1481" s="23" t="str">
        <f t="shared" ca="1" si="47"/>
        <v/>
      </c>
    </row>
    <row r="1482" spans="1:9" ht="13.8">
      <c r="A1482" s="20">
        <f t="shared" ca="1" si="46"/>
        <v>43416</v>
      </c>
      <c r="B1482" s="21" t="str">
        <f ca="1"/>
        <v>2018-11-12</v>
      </c>
      <c r="C1482" s="22">
        <f ca="1"/>
        <v>109.41999800000001</v>
      </c>
      <c r="D1482" s="22">
        <f ca="1"/>
        <v>109.959999</v>
      </c>
      <c r="E1482" s="22">
        <f ca="1"/>
        <v>106.099998</v>
      </c>
      <c r="F1482" s="22">
        <f ca="1"/>
        <v>106.870003</v>
      </c>
      <c r="G1482" s="22">
        <f ca="1"/>
        <v>101.942902</v>
      </c>
      <c r="H1482" s="69">
        <f ca="1"/>
        <v>33621800</v>
      </c>
      <c r="I1482" s="23" t="str">
        <f t="shared" ca="1" si="47"/>
        <v/>
      </c>
    </row>
    <row r="1483" spans="1:9" ht="13.8">
      <c r="A1483" s="20">
        <f t="shared" ca="1" si="46"/>
        <v>43417</v>
      </c>
      <c r="B1483" s="21" t="str">
        <f ca="1"/>
        <v>2018-11-13</v>
      </c>
      <c r="C1483" s="22">
        <f ca="1"/>
        <v>107.550003</v>
      </c>
      <c r="D1483" s="22">
        <f ca="1"/>
        <v>108.739998</v>
      </c>
      <c r="E1483" s="22">
        <f ca="1"/>
        <v>106.639999</v>
      </c>
      <c r="F1483" s="22">
        <f ca="1"/>
        <v>106.94000200000001</v>
      </c>
      <c r="G1483" s="22">
        <f ca="1"/>
        <v>102.009659</v>
      </c>
      <c r="H1483" s="69">
        <f ca="1"/>
        <v>35374600</v>
      </c>
      <c r="I1483" s="23" t="str">
        <f t="shared" ca="1" si="47"/>
        <v/>
      </c>
    </row>
    <row r="1484" spans="1:9" ht="13.8">
      <c r="A1484" s="20">
        <f t="shared" ca="1" si="46"/>
        <v>43418</v>
      </c>
      <c r="B1484" s="21" t="str">
        <f ca="1"/>
        <v>2018-11-14</v>
      </c>
      <c r="C1484" s="22">
        <f ca="1"/>
        <v>108.099998</v>
      </c>
      <c r="D1484" s="22">
        <f ca="1"/>
        <v>108.260002</v>
      </c>
      <c r="E1484" s="22">
        <f ca="1"/>
        <v>104.470001</v>
      </c>
      <c r="F1484" s="22">
        <f ca="1"/>
        <v>104.970001</v>
      </c>
      <c r="G1484" s="22">
        <f ca="1"/>
        <v>100.56304900000001</v>
      </c>
      <c r="H1484" s="69">
        <f ca="1"/>
        <v>39495100</v>
      </c>
      <c r="I1484" s="23">
        <f t="shared" ca="1" si="47"/>
        <v>0.46</v>
      </c>
    </row>
    <row r="1485" spans="1:9" ht="13.8">
      <c r="A1485" s="20">
        <f t="shared" ca="1" si="46"/>
        <v>43419</v>
      </c>
      <c r="B1485" s="21" t="str">
        <f ca="1"/>
        <v>2018-11-15</v>
      </c>
      <c r="C1485" s="22">
        <f ca="1"/>
        <v>104.989998</v>
      </c>
      <c r="D1485" s="22">
        <f ca="1"/>
        <v>107.800003</v>
      </c>
      <c r="E1485" s="22">
        <f ca="1"/>
        <v>103.910004</v>
      </c>
      <c r="F1485" s="22">
        <f ca="1"/>
        <v>107.279999</v>
      </c>
      <c r="G1485" s="22">
        <f ca="1"/>
        <v>102.776093</v>
      </c>
      <c r="H1485" s="69">
        <f ca="1"/>
        <v>38505200</v>
      </c>
      <c r="I1485" s="23" t="str">
        <f t="shared" ca="1" si="47"/>
        <v/>
      </c>
    </row>
    <row r="1486" spans="1:9" ht="13.8">
      <c r="A1486" s="20">
        <f t="shared" ca="1" si="46"/>
        <v>43420</v>
      </c>
      <c r="B1486" s="21" t="str">
        <f ca="1"/>
        <v>2018-11-16</v>
      </c>
      <c r="C1486" s="22">
        <f ca="1"/>
        <v>107.08000199999999</v>
      </c>
      <c r="D1486" s="22">
        <f ca="1"/>
        <v>108.879997</v>
      </c>
      <c r="E1486" s="22">
        <f ca="1"/>
        <v>106.800003</v>
      </c>
      <c r="F1486" s="22">
        <f ca="1"/>
        <v>108.290001</v>
      </c>
      <c r="G1486" s="22">
        <f ca="1"/>
        <v>103.74366000000001</v>
      </c>
      <c r="H1486" s="69">
        <f ca="1"/>
        <v>33502100</v>
      </c>
      <c r="I1486" s="23" t="str">
        <f t="shared" ca="1" si="47"/>
        <v/>
      </c>
    </row>
    <row r="1487" spans="1:9" ht="13.8">
      <c r="A1487" s="20">
        <f t="shared" ca="1" si="46"/>
        <v>43423</v>
      </c>
      <c r="B1487" s="21" t="str">
        <f ca="1"/>
        <v>2018-11-19</v>
      </c>
      <c r="C1487" s="22">
        <f ca="1"/>
        <v>108.269997</v>
      </c>
      <c r="D1487" s="22">
        <f ca="1"/>
        <v>108.55999799999999</v>
      </c>
      <c r="E1487" s="22">
        <f ca="1"/>
        <v>103.550003</v>
      </c>
      <c r="F1487" s="22">
        <f ca="1"/>
        <v>104.620003</v>
      </c>
      <c r="G1487" s="22">
        <f ca="1"/>
        <v>100.227768</v>
      </c>
      <c r="H1487" s="69">
        <f ca="1"/>
        <v>44773900</v>
      </c>
      <c r="I1487" s="23" t="str">
        <f t="shared" ca="1" si="47"/>
        <v/>
      </c>
    </row>
    <row r="1488" spans="1:9" ht="13.8">
      <c r="A1488" s="20">
        <f t="shared" ca="1" si="46"/>
        <v>43424</v>
      </c>
      <c r="B1488" s="21" t="str">
        <f ca="1"/>
        <v>2018-11-20</v>
      </c>
      <c r="C1488" s="22">
        <f ca="1"/>
        <v>101.800003</v>
      </c>
      <c r="D1488" s="22">
        <f ca="1"/>
        <v>102.970001</v>
      </c>
      <c r="E1488" s="22">
        <f ca="1"/>
        <v>99.349997999999999</v>
      </c>
      <c r="F1488" s="22">
        <f ca="1"/>
        <v>101.709999</v>
      </c>
      <c r="G1488" s="22">
        <f ca="1"/>
        <v>97.439926</v>
      </c>
      <c r="H1488" s="69">
        <f ca="1"/>
        <v>64052500</v>
      </c>
      <c r="I1488" s="23" t="str">
        <f t="shared" ca="1" si="47"/>
        <v/>
      </c>
    </row>
    <row r="1489" spans="1:9" ht="13.8">
      <c r="A1489" s="20">
        <f t="shared" ca="1" si="46"/>
        <v>43425</v>
      </c>
      <c r="B1489" s="21" t="str">
        <f ca="1"/>
        <v>2018-11-21</v>
      </c>
      <c r="C1489" s="22">
        <f ca="1"/>
        <v>103.599998</v>
      </c>
      <c r="D1489" s="22">
        <f ca="1"/>
        <v>104.43</v>
      </c>
      <c r="E1489" s="22">
        <f ca="1"/>
        <v>102.239998</v>
      </c>
      <c r="F1489" s="22">
        <f ca="1"/>
        <v>103.110001</v>
      </c>
      <c r="G1489" s="22">
        <f ca="1"/>
        <v>98.781150999999994</v>
      </c>
      <c r="H1489" s="69">
        <f ca="1"/>
        <v>28130600</v>
      </c>
      <c r="I1489" s="23" t="str">
        <f t="shared" ca="1" si="47"/>
        <v/>
      </c>
    </row>
    <row r="1490" spans="1:9" ht="13.8">
      <c r="A1490" s="20">
        <f t="shared" ca="1" si="46"/>
        <v>43427</v>
      </c>
      <c r="B1490" s="21" t="str">
        <f ca="1"/>
        <v>2018-11-23</v>
      </c>
      <c r="C1490" s="22">
        <f ca="1"/>
        <v>102.16999800000001</v>
      </c>
      <c r="D1490" s="22">
        <f ca="1"/>
        <v>103.80999799999999</v>
      </c>
      <c r="E1490" s="22">
        <f ca="1"/>
        <v>102</v>
      </c>
      <c r="F1490" s="22">
        <f ca="1"/>
        <v>103.07</v>
      </c>
      <c r="G1490" s="22">
        <f ca="1"/>
        <v>98.742835999999997</v>
      </c>
      <c r="H1490" s="69">
        <f ca="1"/>
        <v>13823100</v>
      </c>
      <c r="I1490" s="23" t="str">
        <f t="shared" ca="1" si="47"/>
        <v/>
      </c>
    </row>
    <row r="1491" spans="1:9" ht="13.8">
      <c r="A1491" s="20">
        <f t="shared" ca="1" si="46"/>
        <v>43430</v>
      </c>
      <c r="B1491" s="21" t="str">
        <f ca="1"/>
        <v>2018-11-26</v>
      </c>
      <c r="C1491" s="22">
        <f ca="1"/>
        <v>104.790001</v>
      </c>
      <c r="D1491" s="22">
        <f ca="1"/>
        <v>106.629997</v>
      </c>
      <c r="E1491" s="22">
        <f ca="1"/>
        <v>104.58000199999999</v>
      </c>
      <c r="F1491" s="22">
        <f ca="1"/>
        <v>106.470001</v>
      </c>
      <c r="G1491" s="22">
        <f ca="1"/>
        <v>102.000092</v>
      </c>
      <c r="H1491" s="69">
        <f ca="1"/>
        <v>32336200</v>
      </c>
      <c r="I1491" s="23" t="str">
        <f t="shared" ca="1" si="47"/>
        <v/>
      </c>
    </row>
    <row r="1492" spans="1:9" ht="13.8">
      <c r="A1492" s="20">
        <f t="shared" ca="1" si="46"/>
        <v>43431</v>
      </c>
      <c r="B1492" s="21" t="str">
        <f ca="1"/>
        <v>2018-11-27</v>
      </c>
      <c r="C1492" s="22">
        <f ca="1"/>
        <v>106.269997</v>
      </c>
      <c r="D1492" s="22">
        <f ca="1"/>
        <v>107.33000199999999</v>
      </c>
      <c r="E1492" s="22">
        <f ca="1"/>
        <v>105.360001</v>
      </c>
      <c r="F1492" s="22">
        <f ca="1"/>
        <v>107.139999</v>
      </c>
      <c r="G1492" s="22">
        <f ca="1"/>
        <v>102.641953</v>
      </c>
      <c r="H1492" s="69">
        <f ca="1"/>
        <v>29124500</v>
      </c>
      <c r="I1492" s="23" t="str">
        <f t="shared" ca="1" si="47"/>
        <v/>
      </c>
    </row>
    <row r="1493" spans="1:9" ht="13.8">
      <c r="A1493" s="20">
        <f t="shared" ca="1" si="46"/>
        <v>43432</v>
      </c>
      <c r="B1493" s="21" t="str">
        <f ca="1"/>
        <v>2018-11-28</v>
      </c>
      <c r="C1493" s="22">
        <f ca="1"/>
        <v>107.889999</v>
      </c>
      <c r="D1493" s="22">
        <f ca="1"/>
        <v>111.33000199999999</v>
      </c>
      <c r="E1493" s="22">
        <f ca="1"/>
        <v>107.860001</v>
      </c>
      <c r="F1493" s="22">
        <f ca="1"/>
        <v>111.120003</v>
      </c>
      <c r="G1493" s="22">
        <f ca="1"/>
        <v>106.454865</v>
      </c>
      <c r="H1493" s="69">
        <f ca="1"/>
        <v>46788500</v>
      </c>
      <c r="I1493" s="23" t="str">
        <f t="shared" ca="1" si="47"/>
        <v/>
      </c>
    </row>
    <row r="1494" spans="1:9" ht="13.8">
      <c r="A1494" s="20">
        <f t="shared" ca="1" si="46"/>
        <v>43433</v>
      </c>
      <c r="B1494" s="21" t="str">
        <f ca="1"/>
        <v>2018-11-29</v>
      </c>
      <c r="C1494" s="22">
        <f ca="1"/>
        <v>110.33000199999999</v>
      </c>
      <c r="D1494" s="22">
        <f ca="1"/>
        <v>111.120003</v>
      </c>
      <c r="E1494" s="22">
        <f ca="1"/>
        <v>109.029999</v>
      </c>
      <c r="F1494" s="22">
        <f ca="1"/>
        <v>110.19000200000001</v>
      </c>
      <c r="G1494" s="22">
        <f ca="1"/>
        <v>105.563911</v>
      </c>
      <c r="H1494" s="69">
        <f ca="1"/>
        <v>28123200</v>
      </c>
      <c r="I1494" s="23" t="str">
        <f t="shared" ca="1" si="47"/>
        <v/>
      </c>
    </row>
    <row r="1495" spans="1:9" ht="13.8">
      <c r="A1495" s="20">
        <f t="shared" ca="1" si="46"/>
        <v>43434</v>
      </c>
      <c r="B1495" s="21" t="str">
        <f ca="1"/>
        <v>2018-11-30</v>
      </c>
      <c r="C1495" s="22">
        <f ca="1"/>
        <v>110.699997</v>
      </c>
      <c r="D1495" s="22">
        <f ca="1"/>
        <v>110.970001</v>
      </c>
      <c r="E1495" s="22">
        <f ca="1"/>
        <v>109.360001</v>
      </c>
      <c r="F1495" s="22">
        <f ca="1"/>
        <v>110.889999</v>
      </c>
      <c r="G1495" s="22">
        <f ca="1"/>
        <v>106.234512</v>
      </c>
      <c r="H1495" s="69">
        <f ca="1"/>
        <v>33665600</v>
      </c>
      <c r="I1495" s="23" t="str">
        <f t="shared" ca="1" si="47"/>
        <v/>
      </c>
    </row>
    <row r="1496" spans="1:9" ht="13.8">
      <c r="A1496" s="20">
        <f t="shared" ca="1" si="46"/>
        <v>43437</v>
      </c>
      <c r="B1496" s="21" t="str">
        <f ca="1"/>
        <v>2018-12-03</v>
      </c>
      <c r="C1496" s="22">
        <f ca="1"/>
        <v>113</v>
      </c>
      <c r="D1496" s="22">
        <f ca="1"/>
        <v>113.41999800000001</v>
      </c>
      <c r="E1496" s="22">
        <f ca="1"/>
        <v>110.730003</v>
      </c>
      <c r="F1496" s="22">
        <f ca="1"/>
        <v>112.089996</v>
      </c>
      <c r="G1496" s="22">
        <f ca="1"/>
        <v>107.384125</v>
      </c>
      <c r="H1496" s="69">
        <f ca="1"/>
        <v>34732800</v>
      </c>
      <c r="I1496" s="23" t="str">
        <f t="shared" ca="1" si="47"/>
        <v/>
      </c>
    </row>
    <row r="1497" spans="1:9" ht="13.8">
      <c r="A1497" s="20">
        <f t="shared" ca="1" si="46"/>
        <v>43438</v>
      </c>
      <c r="B1497" s="21" t="str">
        <f ca="1"/>
        <v>2018-12-04</v>
      </c>
      <c r="C1497" s="22">
        <f ca="1"/>
        <v>111.94000200000001</v>
      </c>
      <c r="D1497" s="22">
        <f ca="1"/>
        <v>112.639999</v>
      </c>
      <c r="E1497" s="22">
        <f ca="1"/>
        <v>108.209999</v>
      </c>
      <c r="F1497" s="22">
        <f ca="1"/>
        <v>108.519997</v>
      </c>
      <c r="G1497" s="22">
        <f ca="1"/>
        <v>103.96402</v>
      </c>
      <c r="H1497" s="69">
        <f ca="1"/>
        <v>45197000</v>
      </c>
      <c r="I1497" s="23" t="str">
        <f t="shared" ca="1" si="47"/>
        <v/>
      </c>
    </row>
    <row r="1498" spans="1:9" ht="13.8">
      <c r="A1498" s="20">
        <f t="shared" ca="1" si="46"/>
        <v>43440</v>
      </c>
      <c r="B1498" s="21" t="str">
        <f ca="1"/>
        <v>2018-12-06</v>
      </c>
      <c r="C1498" s="22">
        <f ca="1"/>
        <v>105.82</v>
      </c>
      <c r="D1498" s="22">
        <f ca="1"/>
        <v>109.239998</v>
      </c>
      <c r="E1498" s="22">
        <f ca="1"/>
        <v>105</v>
      </c>
      <c r="F1498" s="22">
        <f ca="1"/>
        <v>109.19000200000001</v>
      </c>
      <c r="G1498" s="22">
        <f ca="1"/>
        <v>104.60588799999999</v>
      </c>
      <c r="H1498" s="69">
        <f ca="1"/>
        <v>49107400</v>
      </c>
      <c r="I1498" s="23" t="str">
        <f t="shared" ca="1" si="47"/>
        <v/>
      </c>
    </row>
    <row r="1499" spans="1:9" ht="13.8">
      <c r="A1499" s="20">
        <f t="shared" ca="1" si="46"/>
        <v>43441</v>
      </c>
      <c r="B1499" s="21" t="str">
        <f ca="1"/>
        <v>2018-12-07</v>
      </c>
      <c r="C1499" s="22">
        <f ca="1"/>
        <v>108.379997</v>
      </c>
      <c r="D1499" s="22">
        <f ca="1"/>
        <v>109.449997</v>
      </c>
      <c r="E1499" s="22">
        <f ca="1"/>
        <v>104.300003</v>
      </c>
      <c r="F1499" s="22">
        <f ca="1"/>
        <v>104.82</v>
      </c>
      <c r="G1499" s="22">
        <f ca="1"/>
        <v>100.41937299999999</v>
      </c>
      <c r="H1499" s="69">
        <f ca="1"/>
        <v>45044900</v>
      </c>
      <c r="I1499" s="23" t="str">
        <f t="shared" ca="1" si="47"/>
        <v/>
      </c>
    </row>
    <row r="1500" spans="1:9" ht="13.8">
      <c r="A1500" s="20">
        <f t="shared" ca="1" si="46"/>
        <v>43444</v>
      </c>
      <c r="B1500" s="21" t="str">
        <f ca="1"/>
        <v>2018-12-10</v>
      </c>
      <c r="C1500" s="22">
        <f ca="1"/>
        <v>104.800003</v>
      </c>
      <c r="D1500" s="22">
        <f ca="1"/>
        <v>107.980003</v>
      </c>
      <c r="E1500" s="22">
        <f ca="1"/>
        <v>103.889999</v>
      </c>
      <c r="F1500" s="22">
        <f ca="1"/>
        <v>107.589996</v>
      </c>
      <c r="G1500" s="22">
        <f ca="1"/>
        <v>103.07307400000001</v>
      </c>
      <c r="H1500" s="69">
        <f ca="1"/>
        <v>40801500</v>
      </c>
      <c r="I1500" s="23" t="str">
        <f t="shared" ca="1" si="47"/>
        <v/>
      </c>
    </row>
    <row r="1501" spans="1:9" ht="13.8">
      <c r="A1501" s="20">
        <f t="shared" ca="1" si="46"/>
        <v>43445</v>
      </c>
      <c r="B1501" s="21" t="str">
        <f ca="1"/>
        <v>2018-12-11</v>
      </c>
      <c r="C1501" s="22">
        <f ca="1"/>
        <v>109.800003</v>
      </c>
      <c r="D1501" s="22">
        <f ca="1"/>
        <v>110.949997</v>
      </c>
      <c r="E1501" s="22">
        <f ca="1"/>
        <v>107.44000200000001</v>
      </c>
      <c r="F1501" s="22">
        <f ca="1"/>
        <v>108.589996</v>
      </c>
      <c r="G1501" s="22">
        <f ca="1"/>
        <v>104.031082</v>
      </c>
      <c r="H1501" s="69">
        <f ca="1"/>
        <v>42381900</v>
      </c>
      <c r="I1501" s="23" t="str">
        <f t="shared" ca="1" si="47"/>
        <v/>
      </c>
    </row>
    <row r="1502" spans="1:9" ht="13.8">
      <c r="A1502" s="20">
        <f t="shared" ca="1" si="46"/>
        <v>43446</v>
      </c>
      <c r="B1502" s="21" t="str">
        <f ca="1"/>
        <v>2018-12-12</v>
      </c>
      <c r="C1502" s="22">
        <f ca="1"/>
        <v>110.889999</v>
      </c>
      <c r="D1502" s="22">
        <f ca="1"/>
        <v>111.269997</v>
      </c>
      <c r="E1502" s="22">
        <f ca="1"/>
        <v>109.040001</v>
      </c>
      <c r="F1502" s="22">
        <f ca="1"/>
        <v>109.08000199999999</v>
      </c>
      <c r="G1502" s="22">
        <f ca="1"/>
        <v>104.500511</v>
      </c>
      <c r="H1502" s="69">
        <f ca="1"/>
        <v>36183000</v>
      </c>
      <c r="I1502" s="23" t="str">
        <f t="shared" ca="1" si="47"/>
        <v/>
      </c>
    </row>
    <row r="1503" spans="1:9" ht="13.8">
      <c r="A1503" s="20">
        <f t="shared" ca="1" si="46"/>
        <v>43447</v>
      </c>
      <c r="B1503" s="21" t="str">
        <f ca="1"/>
        <v>2018-12-13</v>
      </c>
      <c r="C1503" s="22">
        <f ca="1"/>
        <v>109.58000199999999</v>
      </c>
      <c r="D1503" s="22">
        <f ca="1"/>
        <v>110.870003</v>
      </c>
      <c r="E1503" s="22">
        <f ca="1"/>
        <v>108.629997</v>
      </c>
      <c r="F1503" s="22">
        <f ca="1"/>
        <v>109.449997</v>
      </c>
      <c r="G1503" s="22">
        <f ca="1"/>
        <v>104.85496500000001</v>
      </c>
      <c r="H1503" s="69">
        <f ca="1"/>
        <v>31333400</v>
      </c>
      <c r="I1503" s="23" t="str">
        <f t="shared" ca="1" si="47"/>
        <v/>
      </c>
    </row>
    <row r="1504" spans="1:9" ht="13.8">
      <c r="A1504" s="20">
        <f t="shared" ca="1" si="46"/>
        <v>43448</v>
      </c>
      <c r="B1504" s="21" t="str">
        <f ca="1"/>
        <v>2018-12-14</v>
      </c>
      <c r="C1504" s="22">
        <f ca="1"/>
        <v>108.25</v>
      </c>
      <c r="D1504" s="22">
        <f ca="1"/>
        <v>109.260002</v>
      </c>
      <c r="E1504" s="22">
        <f ca="1"/>
        <v>105.5</v>
      </c>
      <c r="F1504" s="22">
        <f ca="1"/>
        <v>106.029999</v>
      </c>
      <c r="G1504" s="22">
        <f ca="1"/>
        <v>101.57854500000001</v>
      </c>
      <c r="H1504" s="69">
        <f ca="1"/>
        <v>47043100</v>
      </c>
      <c r="I1504" s="23" t="str">
        <f t="shared" ca="1" si="47"/>
        <v/>
      </c>
    </row>
    <row r="1505" spans="1:9" ht="13.8">
      <c r="A1505" s="20">
        <f t="shared" ca="1" si="46"/>
        <v>43451</v>
      </c>
      <c r="B1505" s="21" t="str">
        <f ca="1"/>
        <v>2018-12-17</v>
      </c>
      <c r="C1505" s="22">
        <f ca="1"/>
        <v>105.410004</v>
      </c>
      <c r="D1505" s="22">
        <f ca="1"/>
        <v>105.800003</v>
      </c>
      <c r="E1505" s="22">
        <f ca="1"/>
        <v>101.709999</v>
      </c>
      <c r="F1505" s="22">
        <f ca="1"/>
        <v>102.889999</v>
      </c>
      <c r="G1505" s="22">
        <f ca="1"/>
        <v>98.570380999999998</v>
      </c>
      <c r="H1505" s="69">
        <f ca="1"/>
        <v>56957300</v>
      </c>
      <c r="I1505" s="23" t="str">
        <f t="shared" ca="1" si="47"/>
        <v/>
      </c>
    </row>
    <row r="1506" spans="1:9" ht="13.8">
      <c r="A1506" s="20">
        <f t="shared" ca="1" si="46"/>
        <v>43452</v>
      </c>
      <c r="B1506" s="21" t="str">
        <f ca="1"/>
        <v>2018-12-18</v>
      </c>
      <c r="C1506" s="22">
        <f ca="1"/>
        <v>103.75</v>
      </c>
      <c r="D1506" s="22">
        <f ca="1"/>
        <v>104.510002</v>
      </c>
      <c r="E1506" s="22">
        <f ca="1"/>
        <v>102.519997</v>
      </c>
      <c r="F1506" s="22">
        <f ca="1"/>
        <v>103.970001</v>
      </c>
      <c r="G1506" s="22">
        <f ca="1"/>
        <v>99.605041999999997</v>
      </c>
      <c r="H1506" s="69">
        <f ca="1"/>
        <v>49319200</v>
      </c>
      <c r="I1506" s="23" t="str">
        <f t="shared" ca="1" si="47"/>
        <v/>
      </c>
    </row>
    <row r="1507" spans="1:9" ht="13.8">
      <c r="A1507" s="20">
        <f t="shared" ca="1" si="46"/>
        <v>43453</v>
      </c>
      <c r="B1507" s="21" t="str">
        <f ca="1"/>
        <v>2018-12-19</v>
      </c>
      <c r="C1507" s="22">
        <f ca="1"/>
        <v>103.650002</v>
      </c>
      <c r="D1507" s="22">
        <f ca="1"/>
        <v>106.879997</v>
      </c>
      <c r="E1507" s="22">
        <f ca="1"/>
        <v>101.349998</v>
      </c>
      <c r="F1507" s="22">
        <f ca="1"/>
        <v>103.69000200000001</v>
      </c>
      <c r="G1507" s="22">
        <f ca="1"/>
        <v>99.336799999999997</v>
      </c>
      <c r="H1507" s="69">
        <f ca="1"/>
        <v>68198200</v>
      </c>
      <c r="I1507" s="23" t="str">
        <f t="shared" ca="1" si="47"/>
        <v/>
      </c>
    </row>
    <row r="1508" spans="1:9" ht="13.8">
      <c r="A1508" s="20">
        <f t="shared" ca="1" si="46"/>
        <v>43454</v>
      </c>
      <c r="B1508" s="21" t="str">
        <f ca="1"/>
        <v>2018-12-20</v>
      </c>
      <c r="C1508" s="22">
        <f ca="1"/>
        <v>103.050003</v>
      </c>
      <c r="D1508" s="22">
        <f ca="1"/>
        <v>104.30999799999999</v>
      </c>
      <c r="E1508" s="22">
        <f ca="1"/>
        <v>98.779999000000004</v>
      </c>
      <c r="F1508" s="22">
        <f ca="1"/>
        <v>101.510002</v>
      </c>
      <c r="G1508" s="22">
        <f ca="1"/>
        <v>97.248305999999999</v>
      </c>
      <c r="H1508" s="69">
        <f ca="1"/>
        <v>70334200</v>
      </c>
      <c r="I1508" s="23" t="str">
        <f t="shared" ca="1" si="47"/>
        <v/>
      </c>
    </row>
    <row r="1509" spans="1:9" ht="13.8">
      <c r="A1509" s="20">
        <f t="shared" ca="1" si="46"/>
        <v>43455</v>
      </c>
      <c r="B1509" s="21" t="str">
        <f ca="1"/>
        <v>2018-12-21</v>
      </c>
      <c r="C1509" s="22">
        <f ca="1"/>
        <v>101.629997</v>
      </c>
      <c r="D1509" s="22">
        <f ca="1"/>
        <v>103</v>
      </c>
      <c r="E1509" s="22">
        <f ca="1"/>
        <v>97.459998999999996</v>
      </c>
      <c r="F1509" s="22">
        <f ca="1"/>
        <v>98.230002999999996</v>
      </c>
      <c r="G1509" s="22">
        <f ca="1"/>
        <v>94.106032999999996</v>
      </c>
      <c r="H1509" s="69">
        <f ca="1"/>
        <v>111242100</v>
      </c>
      <c r="I1509" s="23" t="str">
        <f t="shared" ca="1" si="47"/>
        <v/>
      </c>
    </row>
    <row r="1510" spans="1:9" ht="13.8">
      <c r="A1510" s="20">
        <f t="shared" ca="1" si="46"/>
        <v>43458</v>
      </c>
      <c r="B1510" s="21" t="str">
        <f ca="1"/>
        <v>2018-12-24</v>
      </c>
      <c r="C1510" s="22">
        <f ca="1"/>
        <v>97.68</v>
      </c>
      <c r="D1510" s="22">
        <f ca="1"/>
        <v>97.970000999999996</v>
      </c>
      <c r="E1510" s="22">
        <f ca="1"/>
        <v>93.980002999999996</v>
      </c>
      <c r="F1510" s="22">
        <f ca="1"/>
        <v>94.129997000000003</v>
      </c>
      <c r="G1510" s="22">
        <f ca="1"/>
        <v>90.178154000000006</v>
      </c>
      <c r="H1510" s="69">
        <f ca="1"/>
        <v>43935200</v>
      </c>
      <c r="I1510" s="23" t="str">
        <f t="shared" ca="1" si="47"/>
        <v/>
      </c>
    </row>
    <row r="1511" spans="1:9" ht="13.8">
      <c r="A1511" s="20">
        <f t="shared" ca="1" si="46"/>
        <v>43460</v>
      </c>
      <c r="B1511" s="21" t="str">
        <f ca="1"/>
        <v>2018-12-26</v>
      </c>
      <c r="C1511" s="22">
        <f ca="1"/>
        <v>95.139999000000003</v>
      </c>
      <c r="D1511" s="22">
        <f ca="1"/>
        <v>100.69000200000001</v>
      </c>
      <c r="E1511" s="22">
        <f ca="1"/>
        <v>93.959998999999996</v>
      </c>
      <c r="F1511" s="22">
        <f ca="1"/>
        <v>100.55999799999999</v>
      </c>
      <c r="G1511" s="22">
        <f ca="1"/>
        <v>96.338218999999995</v>
      </c>
      <c r="H1511" s="69">
        <f ca="1"/>
        <v>51634800</v>
      </c>
      <c r="I1511" s="23" t="str">
        <f t="shared" ca="1" si="47"/>
        <v/>
      </c>
    </row>
    <row r="1512" spans="1:9" ht="13.8">
      <c r="A1512" s="20">
        <f t="shared" ca="1" si="46"/>
        <v>43461</v>
      </c>
      <c r="B1512" s="21" t="str">
        <f ca="1"/>
        <v>2018-12-27</v>
      </c>
      <c r="C1512" s="22">
        <f ca="1"/>
        <v>99.300003000000004</v>
      </c>
      <c r="D1512" s="22">
        <f ca="1"/>
        <v>101.19000200000001</v>
      </c>
      <c r="E1512" s="22">
        <f ca="1"/>
        <v>96.400002000000001</v>
      </c>
      <c r="F1512" s="22">
        <f ca="1"/>
        <v>101.18</v>
      </c>
      <c r="G1512" s="22">
        <f ca="1"/>
        <v>96.932175000000001</v>
      </c>
      <c r="H1512" s="69">
        <f ca="1"/>
        <v>49498500</v>
      </c>
      <c r="I1512" s="23" t="str">
        <f t="shared" ca="1" si="47"/>
        <v/>
      </c>
    </row>
    <row r="1513" spans="1:9" ht="13.8">
      <c r="A1513" s="20">
        <f t="shared" ca="1" si="46"/>
        <v>43462</v>
      </c>
      <c r="B1513" s="21" t="str">
        <f ca="1"/>
        <v>2018-12-28</v>
      </c>
      <c r="C1513" s="22">
        <f ca="1"/>
        <v>102.089996</v>
      </c>
      <c r="D1513" s="22">
        <f ca="1"/>
        <v>102.410004</v>
      </c>
      <c r="E1513" s="22">
        <f ca="1"/>
        <v>99.519997000000004</v>
      </c>
      <c r="F1513" s="22">
        <f ca="1"/>
        <v>100.389999</v>
      </c>
      <c r="G1513" s="22">
        <f ca="1"/>
        <v>96.175346000000005</v>
      </c>
      <c r="H1513" s="69">
        <f ca="1"/>
        <v>38196300</v>
      </c>
      <c r="I1513" s="23" t="str">
        <f t="shared" ca="1" si="47"/>
        <v/>
      </c>
    </row>
    <row r="1514" spans="1:9" ht="13.8">
      <c r="A1514" s="20">
        <f t="shared" ca="1" si="46"/>
        <v>43465</v>
      </c>
      <c r="B1514" s="21" t="str">
        <f ca="1"/>
        <v>2018-12-31</v>
      </c>
      <c r="C1514" s="22">
        <f ca="1"/>
        <v>101.290001</v>
      </c>
      <c r="D1514" s="22">
        <f ca="1"/>
        <v>102.400002</v>
      </c>
      <c r="E1514" s="22">
        <f ca="1"/>
        <v>100.44000200000001</v>
      </c>
      <c r="F1514" s="22">
        <f ca="1"/>
        <v>101.57</v>
      </c>
      <c r="G1514" s="22">
        <f ca="1"/>
        <v>97.305801000000002</v>
      </c>
      <c r="H1514" s="69">
        <f ca="1"/>
        <v>33173800</v>
      </c>
      <c r="I1514" s="23" t="str">
        <f t="shared" ca="1" si="47"/>
        <v/>
      </c>
    </row>
    <row r="1515" spans="1:9" ht="13.8">
      <c r="A1515" s="20">
        <f t="shared" ca="1" si="46"/>
        <v>43467</v>
      </c>
      <c r="B1515" s="21" t="str">
        <f ca="1"/>
        <v>2019-01-02</v>
      </c>
      <c r="C1515" s="22">
        <f ca="1"/>
        <v>99.550003000000004</v>
      </c>
      <c r="D1515" s="22">
        <f ca="1"/>
        <v>101.75</v>
      </c>
      <c r="E1515" s="22">
        <f ca="1"/>
        <v>98.940002000000007</v>
      </c>
      <c r="F1515" s="22">
        <f ca="1"/>
        <v>101.120003</v>
      </c>
      <c r="G1515" s="22">
        <f ca="1"/>
        <v>96.874695000000003</v>
      </c>
      <c r="H1515" s="69">
        <f ca="1"/>
        <v>35329300</v>
      </c>
      <c r="I1515" s="23" t="str">
        <f t="shared" ca="1" si="47"/>
        <v/>
      </c>
    </row>
    <row r="1516" spans="1:9" ht="13.8">
      <c r="A1516" s="20">
        <f t="shared" ca="1" si="46"/>
        <v>43468</v>
      </c>
      <c r="B1516" s="21" t="str">
        <f ca="1"/>
        <v>2019-01-03</v>
      </c>
      <c r="C1516" s="22">
        <f ca="1"/>
        <v>100.099998</v>
      </c>
      <c r="D1516" s="22">
        <f ca="1"/>
        <v>100.19000200000001</v>
      </c>
      <c r="E1516" s="22">
        <f ca="1"/>
        <v>97.199996999999996</v>
      </c>
      <c r="F1516" s="22">
        <f ca="1"/>
        <v>97.400002000000001</v>
      </c>
      <c r="G1516" s="22">
        <f ca="1"/>
        <v>93.310883000000004</v>
      </c>
      <c r="H1516" s="69">
        <f ca="1"/>
        <v>42579100</v>
      </c>
      <c r="I1516" s="23" t="str">
        <f t="shared" ca="1" si="47"/>
        <v/>
      </c>
    </row>
    <row r="1517" spans="1:9" ht="13.8">
      <c r="A1517" s="20">
        <f t="shared" ca="1" si="46"/>
        <v>43469</v>
      </c>
      <c r="B1517" s="21" t="str">
        <f ca="1"/>
        <v>2019-01-04</v>
      </c>
      <c r="C1517" s="22">
        <f ca="1"/>
        <v>99.720000999999996</v>
      </c>
      <c r="D1517" s="22">
        <f ca="1"/>
        <v>102.510002</v>
      </c>
      <c r="E1517" s="22">
        <f ca="1"/>
        <v>98.93</v>
      </c>
      <c r="F1517" s="22">
        <f ca="1"/>
        <v>101.93</v>
      </c>
      <c r="G1517" s="22">
        <f ca="1"/>
        <v>97.650695999999996</v>
      </c>
      <c r="H1517" s="69">
        <f ca="1"/>
        <v>44060600</v>
      </c>
      <c r="I1517" s="23" t="str">
        <f t="shared" ca="1" si="47"/>
        <v/>
      </c>
    </row>
    <row r="1518" spans="1:9" ht="13.8">
      <c r="A1518" s="20">
        <f t="shared" ca="1" si="46"/>
        <v>43472</v>
      </c>
      <c r="B1518" s="21" t="str">
        <f ca="1"/>
        <v>2019-01-07</v>
      </c>
      <c r="C1518" s="22">
        <f ca="1"/>
        <v>101.639999</v>
      </c>
      <c r="D1518" s="22">
        <f ca="1"/>
        <v>103.269997</v>
      </c>
      <c r="E1518" s="22">
        <f ca="1"/>
        <v>100.980003</v>
      </c>
      <c r="F1518" s="22">
        <f ca="1"/>
        <v>102.05999799999999</v>
      </c>
      <c r="G1518" s="22">
        <f ca="1"/>
        <v>97.775215000000003</v>
      </c>
      <c r="H1518" s="69">
        <f ca="1"/>
        <v>35656100</v>
      </c>
      <c r="I1518" s="23" t="str">
        <f t="shared" ca="1" si="47"/>
        <v/>
      </c>
    </row>
    <row r="1519" spans="1:9" ht="13.8">
      <c r="A1519" s="20">
        <f t="shared" ca="1" si="46"/>
        <v>43473</v>
      </c>
      <c r="B1519" s="21" t="str">
        <f ca="1"/>
        <v>2019-01-08</v>
      </c>
      <c r="C1519" s="22">
        <f ca="1"/>
        <v>103.040001</v>
      </c>
      <c r="D1519" s="22">
        <f ca="1"/>
        <v>103.970001</v>
      </c>
      <c r="E1519" s="22">
        <f ca="1"/>
        <v>101.709999</v>
      </c>
      <c r="F1519" s="22">
        <f ca="1"/>
        <v>102.800003</v>
      </c>
      <c r="G1519" s="22">
        <f ca="1"/>
        <v>98.484161</v>
      </c>
      <c r="H1519" s="69">
        <f ca="1"/>
        <v>31514400</v>
      </c>
      <c r="I1519" s="23" t="str">
        <f t="shared" ca="1" si="47"/>
        <v/>
      </c>
    </row>
    <row r="1520" spans="1:9" ht="13.8">
      <c r="A1520" s="20">
        <f t="shared" ca="1" si="46"/>
        <v>43474</v>
      </c>
      <c r="B1520" s="21" t="str">
        <f ca="1"/>
        <v>2019-01-09</v>
      </c>
      <c r="C1520" s="22">
        <f ca="1"/>
        <v>103.860001</v>
      </c>
      <c r="D1520" s="22">
        <f ca="1"/>
        <v>104.879997</v>
      </c>
      <c r="E1520" s="22">
        <f ca="1"/>
        <v>103.239998</v>
      </c>
      <c r="F1520" s="22">
        <f ca="1"/>
        <v>104.269997</v>
      </c>
      <c r="G1520" s="22">
        <f ca="1"/>
        <v>99.892441000000005</v>
      </c>
      <c r="H1520" s="69">
        <f ca="1"/>
        <v>32280800</v>
      </c>
      <c r="I1520" s="23" t="str">
        <f t="shared" ca="1" si="47"/>
        <v/>
      </c>
    </row>
    <row r="1521" spans="1:9" ht="13.8">
      <c r="A1521" s="20">
        <f t="shared" ca="1" si="46"/>
        <v>43475</v>
      </c>
      <c r="B1521" s="21" t="str">
        <f ca="1"/>
        <v>2019-01-10</v>
      </c>
      <c r="C1521" s="22">
        <f ca="1"/>
        <v>103.220001</v>
      </c>
      <c r="D1521" s="22">
        <f ca="1"/>
        <v>103.75</v>
      </c>
      <c r="E1521" s="22">
        <f ca="1"/>
        <v>102.379997</v>
      </c>
      <c r="F1521" s="22">
        <f ca="1"/>
        <v>103.599998</v>
      </c>
      <c r="G1521" s="22">
        <f ca="1"/>
        <v>99.250579999999999</v>
      </c>
      <c r="H1521" s="69">
        <f ca="1"/>
        <v>30067600</v>
      </c>
      <c r="I1521" s="23" t="str">
        <f t="shared" ca="1" si="47"/>
        <v/>
      </c>
    </row>
    <row r="1522" spans="1:9" ht="13.8">
      <c r="A1522" s="20">
        <f t="shared" ca="1" si="46"/>
        <v>43476</v>
      </c>
      <c r="B1522" s="21" t="str">
        <f ca="1"/>
        <v>2019-01-11</v>
      </c>
      <c r="C1522" s="22">
        <f ca="1"/>
        <v>103.19000200000001</v>
      </c>
      <c r="D1522" s="22">
        <f ca="1"/>
        <v>103.44000200000001</v>
      </c>
      <c r="E1522" s="22">
        <f ca="1"/>
        <v>101.639999</v>
      </c>
      <c r="F1522" s="22">
        <f ca="1"/>
        <v>102.800003</v>
      </c>
      <c r="G1522" s="22">
        <f ca="1"/>
        <v>98.484161</v>
      </c>
      <c r="H1522" s="69">
        <f ca="1"/>
        <v>28314200</v>
      </c>
      <c r="I1522" s="23" t="str">
        <f t="shared" ca="1" si="47"/>
        <v/>
      </c>
    </row>
    <row r="1523" spans="1:9" ht="13.8">
      <c r="A1523" s="20">
        <f t="shared" ca="1" si="46"/>
        <v>43479</v>
      </c>
      <c r="B1523" s="21" t="str">
        <f ca="1"/>
        <v>2019-01-14</v>
      </c>
      <c r="C1523" s="22">
        <f ca="1"/>
        <v>101.900002</v>
      </c>
      <c r="D1523" s="22">
        <f ca="1"/>
        <v>102.870003</v>
      </c>
      <c r="E1523" s="22">
        <f ca="1"/>
        <v>101.260002</v>
      </c>
      <c r="F1523" s="22">
        <f ca="1"/>
        <v>102.050003</v>
      </c>
      <c r="G1523" s="22">
        <f ca="1"/>
        <v>97.765656000000007</v>
      </c>
      <c r="H1523" s="69">
        <f ca="1"/>
        <v>28437100</v>
      </c>
      <c r="I1523" s="23" t="str">
        <f t="shared" ca="1" si="47"/>
        <v/>
      </c>
    </row>
    <row r="1524" spans="1:9" ht="13.8">
      <c r="A1524" s="20">
        <f t="shared" ca="1" si="46"/>
        <v>43480</v>
      </c>
      <c r="B1524" s="21" t="str">
        <f ca="1"/>
        <v>2019-01-15</v>
      </c>
      <c r="C1524" s="22">
        <f ca="1"/>
        <v>102.510002</v>
      </c>
      <c r="D1524" s="22">
        <f ca="1"/>
        <v>105.050003</v>
      </c>
      <c r="E1524" s="22">
        <f ca="1"/>
        <v>101.879997</v>
      </c>
      <c r="F1524" s="22">
        <f ca="1"/>
        <v>105.010002</v>
      </c>
      <c r="G1524" s="22">
        <f ca="1"/>
        <v>100.601395</v>
      </c>
      <c r="H1524" s="69">
        <f ca="1"/>
        <v>31587600</v>
      </c>
      <c r="I1524" s="23" t="str">
        <f t="shared" ca="1" si="47"/>
        <v/>
      </c>
    </row>
    <row r="1525" spans="1:9" ht="13.8">
      <c r="A1525" s="20">
        <f t="shared" ca="1" si="46"/>
        <v>43481</v>
      </c>
      <c r="B1525" s="21" t="str">
        <f ca="1"/>
        <v>2019-01-16</v>
      </c>
      <c r="C1525" s="22">
        <f ca="1"/>
        <v>105.260002</v>
      </c>
      <c r="D1525" s="22">
        <f ca="1"/>
        <v>106.260002</v>
      </c>
      <c r="E1525" s="22">
        <f ca="1"/>
        <v>104.959999</v>
      </c>
      <c r="F1525" s="22">
        <f ca="1"/>
        <v>105.379997</v>
      </c>
      <c r="G1525" s="22">
        <f ca="1"/>
        <v>100.955856</v>
      </c>
      <c r="H1525" s="69">
        <f ca="1"/>
        <v>29853900</v>
      </c>
      <c r="I1525" s="23" t="str">
        <f t="shared" ca="1" si="47"/>
        <v/>
      </c>
    </row>
    <row r="1526" spans="1:9" ht="13.8">
      <c r="A1526" s="20">
        <f t="shared" ca="1" si="46"/>
        <v>43482</v>
      </c>
      <c r="B1526" s="21" t="str">
        <f ca="1"/>
        <v>2019-01-17</v>
      </c>
      <c r="C1526" s="22">
        <f ca="1"/>
        <v>105</v>
      </c>
      <c r="D1526" s="22">
        <f ca="1"/>
        <v>106.629997</v>
      </c>
      <c r="E1526" s="22">
        <f ca="1"/>
        <v>104.760002</v>
      </c>
      <c r="F1526" s="22">
        <f ca="1"/>
        <v>106.120003</v>
      </c>
      <c r="G1526" s="22">
        <f ca="1"/>
        <v>101.66477999999999</v>
      </c>
      <c r="H1526" s="69">
        <f ca="1"/>
        <v>28393000</v>
      </c>
      <c r="I1526" s="23" t="str">
        <f t="shared" ca="1" si="47"/>
        <v/>
      </c>
    </row>
    <row r="1527" spans="1:9" ht="13.8">
      <c r="A1527" s="20">
        <f t="shared" ca="1" si="46"/>
        <v>43483</v>
      </c>
      <c r="B1527" s="21" t="str">
        <f ca="1"/>
        <v>2019-01-18</v>
      </c>
      <c r="C1527" s="22">
        <f ca="1"/>
        <v>107.459999</v>
      </c>
      <c r="D1527" s="22">
        <f ca="1"/>
        <v>107.900002</v>
      </c>
      <c r="E1527" s="22">
        <f ca="1"/>
        <v>105.910004</v>
      </c>
      <c r="F1527" s="22">
        <f ca="1"/>
        <v>107.709999</v>
      </c>
      <c r="G1527" s="22">
        <f ca="1"/>
        <v>103.188019</v>
      </c>
      <c r="H1527" s="69">
        <f ca="1"/>
        <v>37427600</v>
      </c>
      <c r="I1527" s="23" t="str">
        <f t="shared" ca="1" si="47"/>
        <v/>
      </c>
    </row>
    <row r="1528" spans="1:9" ht="13.8">
      <c r="A1528" s="20">
        <f t="shared" ca="1" si="46"/>
        <v>43487</v>
      </c>
      <c r="B1528" s="21" t="str">
        <f ca="1"/>
        <v>2019-01-22</v>
      </c>
      <c r="C1528" s="22">
        <f ca="1"/>
        <v>106.75</v>
      </c>
      <c r="D1528" s="22">
        <f ca="1"/>
        <v>107.099998</v>
      </c>
      <c r="E1528" s="22">
        <f ca="1"/>
        <v>104.860001</v>
      </c>
      <c r="F1528" s="22">
        <f ca="1"/>
        <v>105.68</v>
      </c>
      <c r="G1528" s="22">
        <f ca="1"/>
        <v>101.243256</v>
      </c>
      <c r="H1528" s="69">
        <f ca="1"/>
        <v>32371300</v>
      </c>
      <c r="I1528" s="23" t="str">
        <f t="shared" ca="1" si="47"/>
        <v/>
      </c>
    </row>
    <row r="1529" spans="1:9" ht="13.8">
      <c r="A1529" s="20">
        <f t="shared" ca="1" si="46"/>
        <v>43488</v>
      </c>
      <c r="B1529" s="21" t="str">
        <f ca="1"/>
        <v>2019-01-23</v>
      </c>
      <c r="C1529" s="22">
        <f ca="1"/>
        <v>106.120003</v>
      </c>
      <c r="D1529" s="22">
        <f ca="1"/>
        <v>107.040001</v>
      </c>
      <c r="E1529" s="22">
        <f ca="1"/>
        <v>105.339996</v>
      </c>
      <c r="F1529" s="22">
        <f ca="1"/>
        <v>106.709999</v>
      </c>
      <c r="G1529" s="22">
        <f ca="1"/>
        <v>102.230003</v>
      </c>
      <c r="H1529" s="69">
        <f ca="1"/>
        <v>25874300</v>
      </c>
      <c r="I1529" s="23" t="str">
        <f t="shared" ca="1" si="47"/>
        <v/>
      </c>
    </row>
    <row r="1530" spans="1:9" ht="13.8">
      <c r="A1530" s="20">
        <f t="shared" ca="1" si="46"/>
        <v>43489</v>
      </c>
      <c r="B1530" s="21" t="str">
        <f ca="1"/>
        <v>2019-01-24</v>
      </c>
      <c r="C1530" s="22">
        <f ca="1"/>
        <v>106.860001</v>
      </c>
      <c r="D1530" s="22">
        <f ca="1"/>
        <v>107</v>
      </c>
      <c r="E1530" s="22">
        <f ca="1"/>
        <v>105.339996</v>
      </c>
      <c r="F1530" s="22">
        <f ca="1"/>
        <v>106.199997</v>
      </c>
      <c r="G1530" s="22">
        <f ca="1"/>
        <v>101.741417</v>
      </c>
      <c r="H1530" s="69">
        <f ca="1"/>
        <v>23164800</v>
      </c>
      <c r="I1530" s="23" t="str">
        <f t="shared" ca="1" si="47"/>
        <v/>
      </c>
    </row>
    <row r="1531" spans="1:9" ht="13.8">
      <c r="A1531" s="20">
        <f t="shared" ca="1" si="46"/>
        <v>43490</v>
      </c>
      <c r="B1531" s="21" t="str">
        <f ca="1"/>
        <v>2019-01-25</v>
      </c>
      <c r="C1531" s="22">
        <f ca="1"/>
        <v>107.239998</v>
      </c>
      <c r="D1531" s="22">
        <f ca="1"/>
        <v>107.879997</v>
      </c>
      <c r="E1531" s="22">
        <f ca="1"/>
        <v>106.199997</v>
      </c>
      <c r="F1531" s="22">
        <f ca="1"/>
        <v>107.16999800000001</v>
      </c>
      <c r="G1531" s="22">
        <f ca="1"/>
        <v>102.670708</v>
      </c>
      <c r="H1531" s="69">
        <f ca="1"/>
        <v>31225600</v>
      </c>
      <c r="I1531" s="23" t="str">
        <f t="shared" ca="1" si="47"/>
        <v/>
      </c>
    </row>
    <row r="1532" spans="1:9" ht="13.8">
      <c r="A1532" s="20">
        <f t="shared" ca="1" si="46"/>
        <v>43493</v>
      </c>
      <c r="B1532" s="21" t="str">
        <f ca="1"/>
        <v>2019-01-28</v>
      </c>
      <c r="C1532" s="22">
        <f ca="1"/>
        <v>106.260002</v>
      </c>
      <c r="D1532" s="22">
        <f ca="1"/>
        <v>106.480003</v>
      </c>
      <c r="E1532" s="22">
        <f ca="1"/>
        <v>104.660004</v>
      </c>
      <c r="F1532" s="22">
        <f ca="1"/>
        <v>105.08000199999999</v>
      </c>
      <c r="G1532" s="22">
        <f ca="1"/>
        <v>100.668457</v>
      </c>
      <c r="H1532" s="69">
        <f ca="1"/>
        <v>29476700</v>
      </c>
      <c r="I1532" s="23" t="str">
        <f t="shared" ca="1" si="47"/>
        <v/>
      </c>
    </row>
    <row r="1533" spans="1:9" ht="13.8">
      <c r="A1533" s="20">
        <f t="shared" ca="1" si="46"/>
        <v>43494</v>
      </c>
      <c r="B1533" s="21" t="str">
        <f ca="1"/>
        <v>2019-01-29</v>
      </c>
      <c r="C1533" s="22">
        <f ca="1"/>
        <v>104.879997</v>
      </c>
      <c r="D1533" s="22">
        <f ca="1"/>
        <v>104.970001</v>
      </c>
      <c r="E1533" s="22">
        <f ca="1"/>
        <v>102.16999800000001</v>
      </c>
      <c r="F1533" s="22">
        <f ca="1"/>
        <v>102.94000200000001</v>
      </c>
      <c r="G1533" s="22">
        <f ca="1"/>
        <v>98.618301000000002</v>
      </c>
      <c r="H1533" s="69">
        <f ca="1"/>
        <v>31490500</v>
      </c>
      <c r="I1533" s="23" t="str">
        <f t="shared" ca="1" si="47"/>
        <v/>
      </c>
    </row>
    <row r="1534" spans="1:9" ht="13.8">
      <c r="A1534" s="20">
        <f t="shared" ca="1" si="46"/>
        <v>43495</v>
      </c>
      <c r="B1534" s="21" t="str">
        <f ca="1"/>
        <v>2019-01-30</v>
      </c>
      <c r="C1534" s="22">
        <f ca="1"/>
        <v>104.620003</v>
      </c>
      <c r="D1534" s="22">
        <f ca="1"/>
        <v>106.379997</v>
      </c>
      <c r="E1534" s="22">
        <f ca="1"/>
        <v>104.33000199999999</v>
      </c>
      <c r="F1534" s="22">
        <f ca="1"/>
        <v>106.379997</v>
      </c>
      <c r="G1534" s="22">
        <f ca="1"/>
        <v>101.91385699999999</v>
      </c>
      <c r="H1534" s="69">
        <f ca="1"/>
        <v>49471900</v>
      </c>
      <c r="I1534" s="23" t="str">
        <f t="shared" ca="1" si="47"/>
        <v/>
      </c>
    </row>
    <row r="1535" spans="1:9" ht="13.8">
      <c r="A1535" s="20">
        <f t="shared" ca="1" si="46"/>
        <v>43496</v>
      </c>
      <c r="B1535" s="21" t="str">
        <f ca="1"/>
        <v>2019-01-31</v>
      </c>
      <c r="C1535" s="22">
        <f ca="1"/>
        <v>103.800003</v>
      </c>
      <c r="D1535" s="22">
        <f ca="1"/>
        <v>105.220001</v>
      </c>
      <c r="E1535" s="22">
        <f ca="1"/>
        <v>103.18</v>
      </c>
      <c r="F1535" s="22">
        <f ca="1"/>
        <v>104.43</v>
      </c>
      <c r="G1535" s="22">
        <f ca="1"/>
        <v>100.045738</v>
      </c>
      <c r="H1535" s="69">
        <f ca="1"/>
        <v>55636400</v>
      </c>
      <c r="I1535" s="23" t="str">
        <f t="shared" ca="1" si="47"/>
        <v/>
      </c>
    </row>
    <row r="1536" spans="1:9" ht="13.8">
      <c r="A1536" s="20">
        <f t="shared" ca="1" si="46"/>
        <v>43497</v>
      </c>
      <c r="B1536" s="21" t="str">
        <f ca="1"/>
        <v>2019-02-01</v>
      </c>
      <c r="C1536" s="22">
        <f ca="1"/>
        <v>103.779999</v>
      </c>
      <c r="D1536" s="22">
        <f ca="1"/>
        <v>104.099998</v>
      </c>
      <c r="E1536" s="22">
        <f ca="1"/>
        <v>102.349998</v>
      </c>
      <c r="F1536" s="22">
        <f ca="1"/>
        <v>102.779999</v>
      </c>
      <c r="G1536" s="22">
        <f ca="1"/>
        <v>98.464995999999999</v>
      </c>
      <c r="H1536" s="69">
        <f ca="1"/>
        <v>35535700</v>
      </c>
      <c r="I1536" s="23" t="str">
        <f t="shared" ca="1" si="47"/>
        <v/>
      </c>
    </row>
    <row r="1537" spans="1:9" ht="13.8">
      <c r="A1537" s="20">
        <f t="shared" ca="1" si="46"/>
        <v>43500</v>
      </c>
      <c r="B1537" s="21" t="str">
        <f ca="1"/>
        <v>2019-02-04</v>
      </c>
      <c r="C1537" s="22">
        <f ca="1"/>
        <v>102.870003</v>
      </c>
      <c r="D1537" s="22">
        <f ca="1"/>
        <v>105.800003</v>
      </c>
      <c r="E1537" s="22">
        <f ca="1"/>
        <v>102.769997</v>
      </c>
      <c r="F1537" s="22">
        <f ca="1"/>
        <v>105.739998</v>
      </c>
      <c r="G1537" s="22">
        <f ca="1"/>
        <v>101.30072800000001</v>
      </c>
      <c r="H1537" s="69">
        <f ca="1"/>
        <v>31315100</v>
      </c>
      <c r="I1537" s="23" t="str">
        <f t="shared" ca="1" si="47"/>
        <v/>
      </c>
    </row>
    <row r="1538" spans="1:9" ht="13.8">
      <c r="A1538" s="20">
        <f t="shared" ca="1" si="46"/>
        <v>43501</v>
      </c>
      <c r="B1538" s="21" t="str">
        <f ca="1"/>
        <v>2019-02-05</v>
      </c>
      <c r="C1538" s="22">
        <f ca="1"/>
        <v>106.05999799999999</v>
      </c>
      <c r="D1538" s="22">
        <f ca="1"/>
        <v>107.269997</v>
      </c>
      <c r="E1538" s="22">
        <f ca="1"/>
        <v>105.959999</v>
      </c>
      <c r="F1538" s="22">
        <f ca="1"/>
        <v>107.220001</v>
      </c>
      <c r="G1538" s="22">
        <f ca="1"/>
        <v>102.71862</v>
      </c>
      <c r="H1538" s="69">
        <f ca="1"/>
        <v>27325400</v>
      </c>
      <c r="I1538" s="23" t="str">
        <f t="shared" ca="1" si="47"/>
        <v/>
      </c>
    </row>
    <row r="1539" spans="1:9" ht="13.8">
      <c r="A1539" s="20">
        <f t="shared" ca="1" si="46"/>
        <v>43502</v>
      </c>
      <c r="B1539" s="21" t="str">
        <f ca="1"/>
        <v>2019-02-06</v>
      </c>
      <c r="C1539" s="22">
        <f ca="1"/>
        <v>107</v>
      </c>
      <c r="D1539" s="22">
        <f ca="1"/>
        <v>107</v>
      </c>
      <c r="E1539" s="22">
        <f ca="1"/>
        <v>105.529999</v>
      </c>
      <c r="F1539" s="22">
        <f ca="1"/>
        <v>106.029999</v>
      </c>
      <c r="G1539" s="22">
        <f ca="1"/>
        <v>101.57854500000001</v>
      </c>
      <c r="H1539" s="69">
        <f ca="1"/>
        <v>20609800</v>
      </c>
      <c r="I1539" s="23" t="str">
        <f t="shared" ca="1" si="47"/>
        <v/>
      </c>
    </row>
    <row r="1540" spans="1:9" ht="13.8">
      <c r="A1540" s="20">
        <f t="shared" ca="1" si="46"/>
        <v>43503</v>
      </c>
      <c r="B1540" s="21" t="str">
        <f ca="1"/>
        <v>2019-02-07</v>
      </c>
      <c r="C1540" s="22">
        <f ca="1"/>
        <v>105.19000200000001</v>
      </c>
      <c r="D1540" s="22">
        <f ca="1"/>
        <v>105.589996</v>
      </c>
      <c r="E1540" s="22">
        <f ca="1"/>
        <v>104.290001</v>
      </c>
      <c r="F1540" s="22">
        <f ca="1"/>
        <v>105.269997</v>
      </c>
      <c r="G1540" s="22">
        <f ca="1"/>
        <v>100.850449</v>
      </c>
      <c r="H1540" s="69">
        <f ca="1"/>
        <v>29760700</v>
      </c>
      <c r="I1540" s="23" t="str">
        <f t="shared" ca="1" si="47"/>
        <v/>
      </c>
    </row>
    <row r="1541" spans="1:9" ht="13.8">
      <c r="A1541" s="20">
        <f t="shared" ca="1" si="46"/>
        <v>43504</v>
      </c>
      <c r="B1541" s="21" t="str">
        <f ca="1"/>
        <v>2019-02-08</v>
      </c>
      <c r="C1541" s="22">
        <f ca="1"/>
        <v>104.389999</v>
      </c>
      <c r="D1541" s="22">
        <f ca="1"/>
        <v>105.779999</v>
      </c>
      <c r="E1541" s="22">
        <f ca="1"/>
        <v>104.260002</v>
      </c>
      <c r="F1541" s="22">
        <f ca="1"/>
        <v>105.66999800000001</v>
      </c>
      <c r="G1541" s="22">
        <f ca="1"/>
        <v>101.233673</v>
      </c>
      <c r="H1541" s="69">
        <f ca="1"/>
        <v>21461100</v>
      </c>
      <c r="I1541" s="23" t="str">
        <f t="shared" ca="1" si="47"/>
        <v/>
      </c>
    </row>
    <row r="1542" spans="1:9" ht="13.8">
      <c r="A1542" s="20">
        <f t="shared" ref="A1542:A1605" ca="1" si="48">IFERROR(DATEVALUE($B1542),"--")</f>
        <v>43507</v>
      </c>
      <c r="B1542" s="21" t="str">
        <f ca="1"/>
        <v>2019-02-11</v>
      </c>
      <c r="C1542" s="22">
        <f ca="1"/>
        <v>106.199997</v>
      </c>
      <c r="D1542" s="22">
        <f ca="1"/>
        <v>106.58000199999999</v>
      </c>
      <c r="E1542" s="22">
        <f ca="1"/>
        <v>104.970001</v>
      </c>
      <c r="F1542" s="22">
        <f ca="1"/>
        <v>105.25</v>
      </c>
      <c r="G1542" s="22">
        <f ca="1"/>
        <v>100.831299</v>
      </c>
      <c r="H1542" s="69">
        <f ca="1"/>
        <v>18914100</v>
      </c>
      <c r="I1542" s="23" t="str">
        <f t="shared" ref="I1542:I1605" ca="1" si="49">IFERROR(IF(Ticker&lt;&gt;$Q$2,"",INDEX($P:$P,MATCH($A1542,$O:$O,0))),"")</f>
        <v/>
      </c>
    </row>
    <row r="1543" spans="1:9" ht="13.8">
      <c r="A1543" s="20">
        <f t="shared" ca="1" si="48"/>
        <v>43508</v>
      </c>
      <c r="B1543" s="21" t="str">
        <f ca="1"/>
        <v>2019-02-12</v>
      </c>
      <c r="C1543" s="22">
        <f ca="1"/>
        <v>106.139999</v>
      </c>
      <c r="D1543" s="22">
        <f ca="1"/>
        <v>107.139999</v>
      </c>
      <c r="E1543" s="22">
        <f ca="1"/>
        <v>105.480003</v>
      </c>
      <c r="F1543" s="22">
        <f ca="1"/>
        <v>106.889999</v>
      </c>
      <c r="G1543" s="22">
        <f ca="1"/>
        <v>102.402473</v>
      </c>
      <c r="H1543" s="69">
        <f ca="1"/>
        <v>25056600</v>
      </c>
      <c r="I1543" s="23" t="str">
        <f t="shared" ca="1" si="49"/>
        <v/>
      </c>
    </row>
    <row r="1544" spans="1:9" ht="13.8">
      <c r="A1544" s="20">
        <f t="shared" ca="1" si="48"/>
        <v>43509</v>
      </c>
      <c r="B1544" s="21" t="str">
        <f ca="1"/>
        <v>2019-02-13</v>
      </c>
      <c r="C1544" s="22">
        <f ca="1"/>
        <v>107.5</v>
      </c>
      <c r="D1544" s="22">
        <f ca="1"/>
        <v>107.779999</v>
      </c>
      <c r="E1544" s="22">
        <f ca="1"/>
        <v>106.709999</v>
      </c>
      <c r="F1544" s="22">
        <f ca="1"/>
        <v>106.80999799999999</v>
      </c>
      <c r="G1544" s="22">
        <f ca="1"/>
        <v>102.325813</v>
      </c>
      <c r="H1544" s="69">
        <f ca="1"/>
        <v>18394900</v>
      </c>
      <c r="I1544" s="23" t="str">
        <f t="shared" ca="1" si="49"/>
        <v/>
      </c>
    </row>
    <row r="1545" spans="1:9" ht="13.8">
      <c r="A1545" s="20">
        <f t="shared" ca="1" si="48"/>
        <v>43510</v>
      </c>
      <c r="B1545" s="21" t="str">
        <f ca="1"/>
        <v>2019-02-14</v>
      </c>
      <c r="C1545" s="22">
        <f ca="1"/>
        <v>106.30999799999999</v>
      </c>
      <c r="D1545" s="22">
        <f ca="1"/>
        <v>107.290001</v>
      </c>
      <c r="E1545" s="22">
        <f ca="1"/>
        <v>105.660004</v>
      </c>
      <c r="F1545" s="22">
        <f ca="1"/>
        <v>106.900002</v>
      </c>
      <c r="G1545" s="22">
        <f ca="1"/>
        <v>102.412041</v>
      </c>
      <c r="H1545" s="69">
        <f ca="1"/>
        <v>21784700</v>
      </c>
      <c r="I1545" s="23" t="str">
        <f t="shared" ca="1" si="49"/>
        <v/>
      </c>
    </row>
    <row r="1546" spans="1:9" ht="13.8">
      <c r="A1546" s="20">
        <f t="shared" ca="1" si="48"/>
        <v>43511</v>
      </c>
      <c r="B1546" s="21" t="str">
        <f ca="1"/>
        <v>2019-02-15</v>
      </c>
      <c r="C1546" s="22">
        <f ca="1"/>
        <v>107.910004</v>
      </c>
      <c r="D1546" s="22">
        <f ca="1"/>
        <v>108.300003</v>
      </c>
      <c r="E1546" s="22">
        <f ca="1"/>
        <v>107.360001</v>
      </c>
      <c r="F1546" s="22">
        <f ca="1"/>
        <v>108.220001</v>
      </c>
      <c r="G1546" s="22">
        <f ca="1"/>
        <v>103.67662799999999</v>
      </c>
      <c r="H1546" s="69">
        <f ca="1"/>
        <v>26606900</v>
      </c>
      <c r="I1546" s="23" t="str">
        <f t="shared" ca="1" si="49"/>
        <v/>
      </c>
    </row>
    <row r="1547" spans="1:9" ht="13.8">
      <c r="A1547" s="20">
        <f t="shared" ca="1" si="48"/>
        <v>43515</v>
      </c>
      <c r="B1547" s="21" t="str">
        <f ca="1"/>
        <v>2019-02-19</v>
      </c>
      <c r="C1547" s="22">
        <f ca="1"/>
        <v>107.790001</v>
      </c>
      <c r="D1547" s="22">
        <f ca="1"/>
        <v>108.660004</v>
      </c>
      <c r="E1547" s="22">
        <f ca="1"/>
        <v>107.779999</v>
      </c>
      <c r="F1547" s="22">
        <f ca="1"/>
        <v>108.16999800000001</v>
      </c>
      <c r="G1547" s="22">
        <f ca="1"/>
        <v>103.628716</v>
      </c>
      <c r="H1547" s="69">
        <f ca="1"/>
        <v>18038500</v>
      </c>
      <c r="I1547" s="23" t="str">
        <f t="shared" ca="1" si="49"/>
        <v/>
      </c>
    </row>
    <row r="1548" spans="1:9" ht="13.8">
      <c r="A1548" s="20">
        <f t="shared" ca="1" si="48"/>
        <v>43516</v>
      </c>
      <c r="B1548" s="21" t="str">
        <f ca="1"/>
        <v>2019-02-20</v>
      </c>
      <c r="C1548" s="22">
        <f ca="1"/>
        <v>107.860001</v>
      </c>
      <c r="D1548" s="22">
        <f ca="1"/>
        <v>107.94000200000001</v>
      </c>
      <c r="E1548" s="22">
        <f ca="1"/>
        <v>106.290001</v>
      </c>
      <c r="F1548" s="22">
        <f ca="1"/>
        <v>107.150002</v>
      </c>
      <c r="G1548" s="22">
        <f ca="1"/>
        <v>103.089935</v>
      </c>
      <c r="H1548" s="69">
        <f ca="1"/>
        <v>21607700</v>
      </c>
      <c r="I1548" s="23">
        <f t="shared" ca="1" si="49"/>
        <v>0.46</v>
      </c>
    </row>
    <row r="1549" spans="1:9" ht="13.8">
      <c r="A1549" s="20">
        <f t="shared" ca="1" si="48"/>
        <v>43517</v>
      </c>
      <c r="B1549" s="21" t="str">
        <f ca="1"/>
        <v>2019-02-21</v>
      </c>
      <c r="C1549" s="22">
        <f ca="1"/>
        <v>106.900002</v>
      </c>
      <c r="D1549" s="22">
        <f ca="1"/>
        <v>109.480003</v>
      </c>
      <c r="E1549" s="22">
        <f ca="1"/>
        <v>106.870003</v>
      </c>
      <c r="F1549" s="22">
        <f ca="1"/>
        <v>109.410004</v>
      </c>
      <c r="G1549" s="22">
        <f ca="1"/>
        <v>105.26430499999999</v>
      </c>
      <c r="H1549" s="69">
        <f ca="1"/>
        <v>29063200</v>
      </c>
      <c r="I1549" s="23" t="str">
        <f t="shared" ca="1" si="49"/>
        <v/>
      </c>
    </row>
    <row r="1550" spans="1:9" ht="13.8">
      <c r="A1550" s="20">
        <f t="shared" ca="1" si="48"/>
        <v>43518</v>
      </c>
      <c r="B1550" s="21" t="str">
        <f ca="1"/>
        <v>2019-02-22</v>
      </c>
      <c r="C1550" s="22">
        <f ca="1"/>
        <v>110.050003</v>
      </c>
      <c r="D1550" s="22">
        <f ca="1"/>
        <v>111.199997</v>
      </c>
      <c r="E1550" s="22">
        <f ca="1"/>
        <v>109.82</v>
      </c>
      <c r="F1550" s="22">
        <f ca="1"/>
        <v>110.970001</v>
      </c>
      <c r="G1550" s="22">
        <f ca="1"/>
        <v>106.765198</v>
      </c>
      <c r="H1550" s="69">
        <f ca="1"/>
        <v>27763200</v>
      </c>
      <c r="I1550" s="23" t="str">
        <f t="shared" ca="1" si="49"/>
        <v/>
      </c>
    </row>
    <row r="1551" spans="1:9" ht="13.8">
      <c r="A1551" s="20">
        <f t="shared" ca="1" si="48"/>
        <v>43521</v>
      </c>
      <c r="B1551" s="21" t="str">
        <f ca="1"/>
        <v>2019-02-25</v>
      </c>
      <c r="C1551" s="22">
        <f ca="1"/>
        <v>111.760002</v>
      </c>
      <c r="D1551" s="22">
        <f ca="1"/>
        <v>112.18</v>
      </c>
      <c r="E1551" s="22">
        <f ca="1"/>
        <v>111.260002</v>
      </c>
      <c r="F1551" s="22">
        <f ca="1"/>
        <v>111.589996</v>
      </c>
      <c r="G1551" s="22">
        <f ca="1"/>
        <v>107.36170199999999</v>
      </c>
      <c r="H1551" s="69">
        <f ca="1"/>
        <v>23750600</v>
      </c>
      <c r="I1551" s="23" t="str">
        <f t="shared" ca="1" si="49"/>
        <v/>
      </c>
    </row>
    <row r="1552" spans="1:9" ht="13.8">
      <c r="A1552" s="20">
        <f t="shared" ca="1" si="48"/>
        <v>43522</v>
      </c>
      <c r="B1552" s="21" t="str">
        <f ca="1"/>
        <v>2019-02-26</v>
      </c>
      <c r="C1552" s="22">
        <f ca="1"/>
        <v>111.260002</v>
      </c>
      <c r="D1552" s="22">
        <f ca="1"/>
        <v>113.239998</v>
      </c>
      <c r="E1552" s="22">
        <f ca="1"/>
        <v>111.16999800000001</v>
      </c>
      <c r="F1552" s="22">
        <f ca="1"/>
        <v>112.360001</v>
      </c>
      <c r="G1552" s="22">
        <f ca="1"/>
        <v>108.10251599999999</v>
      </c>
      <c r="H1552" s="69">
        <f ca="1"/>
        <v>21536700</v>
      </c>
      <c r="I1552" s="23" t="str">
        <f t="shared" ca="1" si="49"/>
        <v/>
      </c>
    </row>
    <row r="1553" spans="1:9" ht="13.8">
      <c r="A1553" s="20">
        <f t="shared" ca="1" si="48"/>
        <v>43523</v>
      </c>
      <c r="B1553" s="21" t="str">
        <f ca="1"/>
        <v>2019-02-27</v>
      </c>
      <c r="C1553" s="22">
        <f ca="1"/>
        <v>111.69000200000001</v>
      </c>
      <c r="D1553" s="22">
        <f ca="1"/>
        <v>112.360001</v>
      </c>
      <c r="E1553" s="22">
        <f ca="1"/>
        <v>110.879997</v>
      </c>
      <c r="F1553" s="22">
        <f ca="1"/>
        <v>112.16999800000001</v>
      </c>
      <c r="G1553" s="22">
        <f ca="1"/>
        <v>107.91971599999999</v>
      </c>
      <c r="H1553" s="69">
        <f ca="1"/>
        <v>21487100</v>
      </c>
      <c r="I1553" s="23" t="str">
        <f t="shared" ca="1" si="49"/>
        <v/>
      </c>
    </row>
    <row r="1554" spans="1:9" ht="13.8">
      <c r="A1554" s="20">
        <f t="shared" ca="1" si="48"/>
        <v>43524</v>
      </c>
      <c r="B1554" s="21" t="str">
        <f ca="1"/>
        <v>2019-02-28</v>
      </c>
      <c r="C1554" s="22">
        <f ca="1"/>
        <v>112.040001</v>
      </c>
      <c r="D1554" s="22">
        <f ca="1"/>
        <v>112.879997</v>
      </c>
      <c r="E1554" s="22">
        <f ca="1"/>
        <v>111.730003</v>
      </c>
      <c r="F1554" s="22">
        <f ca="1"/>
        <v>112.029999</v>
      </c>
      <c r="G1554" s="22">
        <f ca="1"/>
        <v>107.785027</v>
      </c>
      <c r="H1554" s="69">
        <f ca="1"/>
        <v>29083900</v>
      </c>
      <c r="I1554" s="23" t="str">
        <f t="shared" ca="1" si="49"/>
        <v/>
      </c>
    </row>
    <row r="1555" spans="1:9" ht="13.8">
      <c r="A1555" s="20">
        <f t="shared" ca="1" si="48"/>
        <v>43525</v>
      </c>
      <c r="B1555" s="21" t="str">
        <f ca="1"/>
        <v>2019-03-01</v>
      </c>
      <c r="C1555" s="22">
        <f ca="1"/>
        <v>112.889999</v>
      </c>
      <c r="D1555" s="22">
        <f ca="1"/>
        <v>113.019997</v>
      </c>
      <c r="E1555" s="22">
        <f ca="1"/>
        <v>111.66999800000001</v>
      </c>
      <c r="F1555" s="22">
        <f ca="1"/>
        <v>112.529999</v>
      </c>
      <c r="G1555" s="22">
        <f ca="1"/>
        <v>108.266068</v>
      </c>
      <c r="H1555" s="69">
        <f ca="1"/>
        <v>23501200</v>
      </c>
      <c r="I1555" s="23" t="str">
        <f t="shared" ca="1" si="49"/>
        <v/>
      </c>
    </row>
    <row r="1556" spans="1:9" ht="13.8">
      <c r="A1556" s="20">
        <f t="shared" ca="1" si="48"/>
        <v>43528</v>
      </c>
      <c r="B1556" s="21" t="str">
        <f ca="1"/>
        <v>2019-03-04</v>
      </c>
      <c r="C1556" s="22">
        <f ca="1"/>
        <v>113.019997</v>
      </c>
      <c r="D1556" s="22">
        <f ca="1"/>
        <v>113.25</v>
      </c>
      <c r="E1556" s="22">
        <f ca="1"/>
        <v>110.800003</v>
      </c>
      <c r="F1556" s="22">
        <f ca="1"/>
        <v>112.260002</v>
      </c>
      <c r="G1556" s="22">
        <f ca="1"/>
        <v>108.00630200000001</v>
      </c>
      <c r="H1556" s="69">
        <f ca="1"/>
        <v>26608000</v>
      </c>
      <c r="I1556" s="23" t="str">
        <f t="shared" ca="1" si="49"/>
        <v/>
      </c>
    </row>
    <row r="1557" spans="1:9" ht="13.8">
      <c r="A1557" s="20">
        <f t="shared" ca="1" si="48"/>
        <v>43529</v>
      </c>
      <c r="B1557" s="21" t="str">
        <f ca="1"/>
        <v>2019-03-05</v>
      </c>
      <c r="C1557" s="22">
        <f ca="1"/>
        <v>112.25</v>
      </c>
      <c r="D1557" s="22">
        <f ca="1"/>
        <v>112.389999</v>
      </c>
      <c r="E1557" s="22">
        <f ca="1"/>
        <v>111.230003</v>
      </c>
      <c r="F1557" s="22">
        <f ca="1"/>
        <v>111.699997</v>
      </c>
      <c r="G1557" s="22">
        <f ca="1"/>
        <v>107.467522</v>
      </c>
      <c r="H1557" s="69">
        <f ca="1"/>
        <v>19538300</v>
      </c>
      <c r="I1557" s="23" t="str">
        <f t="shared" ca="1" si="49"/>
        <v/>
      </c>
    </row>
    <row r="1558" spans="1:9" ht="13.8">
      <c r="A1558" s="20">
        <f t="shared" ca="1" si="48"/>
        <v>43530</v>
      </c>
      <c r="B1558" s="21" t="str">
        <f ca="1"/>
        <v>2019-03-06</v>
      </c>
      <c r="C1558" s="22">
        <f ca="1"/>
        <v>111.870003</v>
      </c>
      <c r="D1558" s="22">
        <f ca="1"/>
        <v>112.660004</v>
      </c>
      <c r="E1558" s="22">
        <f ca="1"/>
        <v>111.43</v>
      </c>
      <c r="F1558" s="22">
        <f ca="1"/>
        <v>111.75</v>
      </c>
      <c r="G1558" s="22">
        <f ca="1"/>
        <v>107.51563299999999</v>
      </c>
      <c r="H1558" s="69">
        <f ca="1"/>
        <v>17687000</v>
      </c>
      <c r="I1558" s="23" t="str">
        <f t="shared" ca="1" si="49"/>
        <v/>
      </c>
    </row>
    <row r="1559" spans="1:9" ht="13.8">
      <c r="A1559" s="20">
        <f t="shared" ca="1" si="48"/>
        <v>43531</v>
      </c>
      <c r="B1559" s="21" t="str">
        <f ca="1"/>
        <v>2019-03-07</v>
      </c>
      <c r="C1559" s="22">
        <f ca="1"/>
        <v>111.400002</v>
      </c>
      <c r="D1559" s="22">
        <f ca="1"/>
        <v>111.550003</v>
      </c>
      <c r="E1559" s="22">
        <f ca="1"/>
        <v>109.870003</v>
      </c>
      <c r="F1559" s="22">
        <f ca="1"/>
        <v>110.389999</v>
      </c>
      <c r="G1559" s="22">
        <f ca="1"/>
        <v>106.207176</v>
      </c>
      <c r="H1559" s="69">
        <f ca="1"/>
        <v>25339000</v>
      </c>
      <c r="I1559" s="23" t="str">
        <f t="shared" ca="1" si="49"/>
        <v/>
      </c>
    </row>
    <row r="1560" spans="1:9" ht="13.8">
      <c r="A1560" s="20">
        <f t="shared" ca="1" si="48"/>
        <v>43532</v>
      </c>
      <c r="B1560" s="21" t="str">
        <f ca="1"/>
        <v>2019-03-08</v>
      </c>
      <c r="C1560" s="22">
        <f ca="1"/>
        <v>109.160004</v>
      </c>
      <c r="D1560" s="22">
        <f ca="1"/>
        <v>110.709999</v>
      </c>
      <c r="E1560" s="22">
        <f ca="1"/>
        <v>108.800003</v>
      </c>
      <c r="F1560" s="22">
        <f ca="1"/>
        <v>110.510002</v>
      </c>
      <c r="G1560" s="22">
        <f ca="1"/>
        <v>106.322632</v>
      </c>
      <c r="H1560" s="69">
        <f ca="1"/>
        <v>22818400</v>
      </c>
      <c r="I1560" s="23" t="str">
        <f t="shared" ca="1" si="49"/>
        <v/>
      </c>
    </row>
    <row r="1561" spans="1:9" ht="13.8">
      <c r="A1561" s="20">
        <f t="shared" ca="1" si="48"/>
        <v>43535</v>
      </c>
      <c r="B1561" s="21" t="str">
        <f ca="1"/>
        <v>2019-03-11</v>
      </c>
      <c r="C1561" s="22">
        <f ca="1"/>
        <v>110.989998</v>
      </c>
      <c r="D1561" s="22">
        <f ca="1"/>
        <v>112.949997</v>
      </c>
      <c r="E1561" s="22">
        <f ca="1"/>
        <v>110.980003</v>
      </c>
      <c r="F1561" s="22">
        <f ca="1"/>
        <v>112.83000199999999</v>
      </c>
      <c r="G1561" s="22">
        <f ca="1"/>
        <v>108.554703</v>
      </c>
      <c r="H1561" s="69">
        <f ca="1"/>
        <v>26491600</v>
      </c>
      <c r="I1561" s="23" t="str">
        <f t="shared" ca="1" si="49"/>
        <v/>
      </c>
    </row>
    <row r="1562" spans="1:9" ht="13.8">
      <c r="A1562" s="20">
        <f t="shared" ca="1" si="48"/>
        <v>43536</v>
      </c>
      <c r="B1562" s="21" t="str">
        <f ca="1"/>
        <v>2019-03-12</v>
      </c>
      <c r="C1562" s="22">
        <f ca="1"/>
        <v>112.82</v>
      </c>
      <c r="D1562" s="22">
        <f ca="1"/>
        <v>113.989998</v>
      </c>
      <c r="E1562" s="22">
        <f ca="1"/>
        <v>112.650002</v>
      </c>
      <c r="F1562" s="22">
        <f ca="1"/>
        <v>113.620003</v>
      </c>
      <c r="G1562" s="22">
        <f ca="1"/>
        <v>109.314774</v>
      </c>
      <c r="H1562" s="69">
        <f ca="1"/>
        <v>26132700</v>
      </c>
      <c r="I1562" s="23" t="str">
        <f t="shared" ca="1" si="49"/>
        <v/>
      </c>
    </row>
    <row r="1563" spans="1:9" ht="13.8">
      <c r="A1563" s="20">
        <f t="shared" ca="1" si="48"/>
        <v>43537</v>
      </c>
      <c r="B1563" s="21" t="str">
        <f ca="1"/>
        <v>2019-03-13</v>
      </c>
      <c r="C1563" s="22">
        <f ca="1"/>
        <v>114.129997</v>
      </c>
      <c r="D1563" s="22">
        <f ca="1"/>
        <v>115</v>
      </c>
      <c r="E1563" s="22">
        <f ca="1"/>
        <v>113.779999</v>
      </c>
      <c r="F1563" s="22">
        <f ca="1"/>
        <v>114.5</v>
      </c>
      <c r="G1563" s="22">
        <f ca="1"/>
        <v>110.16143</v>
      </c>
      <c r="H1563" s="69">
        <f ca="1"/>
        <v>35513800</v>
      </c>
      <c r="I1563" s="23" t="str">
        <f t="shared" ca="1" si="49"/>
        <v/>
      </c>
    </row>
    <row r="1564" spans="1:9" ht="13.8">
      <c r="A1564" s="20">
        <f t="shared" ca="1" si="48"/>
        <v>43538</v>
      </c>
      <c r="B1564" s="21" t="str">
        <f ca="1"/>
        <v>2019-03-14</v>
      </c>
      <c r="C1564" s="22">
        <f ca="1"/>
        <v>114.540001</v>
      </c>
      <c r="D1564" s="22">
        <f ca="1"/>
        <v>115.199997</v>
      </c>
      <c r="E1564" s="22">
        <f ca="1"/>
        <v>114.33000199999999</v>
      </c>
      <c r="F1564" s="22">
        <f ca="1"/>
        <v>114.589996</v>
      </c>
      <c r="G1564" s="22">
        <f ca="1"/>
        <v>110.24801600000001</v>
      </c>
      <c r="H1564" s="69">
        <f ca="1"/>
        <v>30763400</v>
      </c>
      <c r="I1564" s="23" t="str">
        <f t="shared" ca="1" si="49"/>
        <v/>
      </c>
    </row>
    <row r="1565" spans="1:9" ht="13.8">
      <c r="A1565" s="20">
        <f t="shared" ca="1" si="48"/>
        <v>43539</v>
      </c>
      <c r="B1565" s="21" t="str">
        <f ca="1"/>
        <v>2019-03-15</v>
      </c>
      <c r="C1565" s="22">
        <f ca="1"/>
        <v>115.339996</v>
      </c>
      <c r="D1565" s="22">
        <f ca="1"/>
        <v>117.25</v>
      </c>
      <c r="E1565" s="22">
        <f ca="1"/>
        <v>114.589996</v>
      </c>
      <c r="F1565" s="22">
        <f ca="1"/>
        <v>115.910004</v>
      </c>
      <c r="G1565" s="22">
        <f ca="1"/>
        <v>111.518005</v>
      </c>
      <c r="H1565" s="69">
        <f ca="1"/>
        <v>54681100</v>
      </c>
      <c r="I1565" s="23" t="str">
        <f t="shared" ca="1" si="49"/>
        <v/>
      </c>
    </row>
    <row r="1566" spans="1:9" ht="13.8">
      <c r="A1566" s="20">
        <f t="shared" ca="1" si="48"/>
        <v>43542</v>
      </c>
      <c r="B1566" s="21" t="str">
        <f ca="1"/>
        <v>2019-03-18</v>
      </c>
      <c r="C1566" s="22">
        <f ca="1"/>
        <v>116.16999800000001</v>
      </c>
      <c r="D1566" s="22">
        <f ca="1"/>
        <v>117.610001</v>
      </c>
      <c r="E1566" s="22">
        <f ca="1"/>
        <v>116.050003</v>
      </c>
      <c r="F1566" s="22">
        <f ca="1"/>
        <v>117.57</v>
      </c>
      <c r="G1566" s="22">
        <f ca="1"/>
        <v>113.115105</v>
      </c>
      <c r="H1566" s="69">
        <f ca="1"/>
        <v>31207600</v>
      </c>
      <c r="I1566" s="23" t="str">
        <f t="shared" ca="1" si="49"/>
        <v/>
      </c>
    </row>
    <row r="1567" spans="1:9" ht="13.8">
      <c r="A1567" s="20">
        <f t="shared" ca="1" si="48"/>
        <v>43543</v>
      </c>
      <c r="B1567" s="21" t="str">
        <f ca="1"/>
        <v>2019-03-19</v>
      </c>
      <c r="C1567" s="22">
        <f ca="1"/>
        <v>118.089996</v>
      </c>
      <c r="D1567" s="22">
        <f ca="1"/>
        <v>118.44000200000001</v>
      </c>
      <c r="E1567" s="22">
        <f ca="1"/>
        <v>116.989998</v>
      </c>
      <c r="F1567" s="22">
        <f ca="1"/>
        <v>117.650002</v>
      </c>
      <c r="G1567" s="22">
        <f ca="1"/>
        <v>113.19206200000001</v>
      </c>
      <c r="H1567" s="69">
        <f ca="1"/>
        <v>37588700</v>
      </c>
      <c r="I1567" s="23" t="str">
        <f t="shared" ca="1" si="49"/>
        <v/>
      </c>
    </row>
    <row r="1568" spans="1:9" ht="13.8">
      <c r="A1568" s="20">
        <f t="shared" ca="1" si="48"/>
        <v>43544</v>
      </c>
      <c r="B1568" s="21" t="str">
        <f ca="1"/>
        <v>2019-03-20</v>
      </c>
      <c r="C1568" s="22">
        <f ca="1"/>
        <v>117.389999</v>
      </c>
      <c r="D1568" s="22">
        <f ca="1"/>
        <v>118.75</v>
      </c>
      <c r="E1568" s="22">
        <f ca="1"/>
        <v>116.709999</v>
      </c>
      <c r="F1568" s="22">
        <f ca="1"/>
        <v>117.519997</v>
      </c>
      <c r="G1568" s="22">
        <f ca="1"/>
        <v>113.06699399999999</v>
      </c>
      <c r="H1568" s="69">
        <f ca="1"/>
        <v>28113300</v>
      </c>
      <c r="I1568" s="23" t="str">
        <f t="shared" ca="1" si="49"/>
        <v/>
      </c>
    </row>
    <row r="1569" spans="1:9" ht="13.8">
      <c r="A1569" s="20">
        <f t="shared" ca="1" si="48"/>
        <v>43545</v>
      </c>
      <c r="B1569" s="21" t="str">
        <f ca="1"/>
        <v>2019-03-21</v>
      </c>
      <c r="C1569" s="22">
        <f ca="1"/>
        <v>117.139999</v>
      </c>
      <c r="D1569" s="22">
        <f ca="1"/>
        <v>120.82</v>
      </c>
      <c r="E1569" s="22">
        <f ca="1"/>
        <v>117.089996</v>
      </c>
      <c r="F1569" s="22">
        <f ca="1"/>
        <v>120.220001</v>
      </c>
      <c r="G1569" s="22">
        <f ca="1"/>
        <v>115.664703</v>
      </c>
      <c r="H1569" s="69">
        <f ca="1"/>
        <v>29854400</v>
      </c>
      <c r="I1569" s="23" t="str">
        <f t="shared" ca="1" si="49"/>
        <v/>
      </c>
    </row>
    <row r="1570" spans="1:9" ht="13.8">
      <c r="A1570" s="20">
        <f t="shared" ca="1" si="48"/>
        <v>43546</v>
      </c>
      <c r="B1570" s="21" t="str">
        <f ca="1"/>
        <v>2019-03-22</v>
      </c>
      <c r="C1570" s="22">
        <f ca="1"/>
        <v>119.5</v>
      </c>
      <c r="D1570" s="22">
        <f ca="1"/>
        <v>119.589996</v>
      </c>
      <c r="E1570" s="22">
        <f ca="1"/>
        <v>117.040001</v>
      </c>
      <c r="F1570" s="22">
        <f ca="1"/>
        <v>117.050003</v>
      </c>
      <c r="G1570" s="22">
        <f ca="1"/>
        <v>112.614807</v>
      </c>
      <c r="H1570" s="69">
        <f ca="1"/>
        <v>33624500</v>
      </c>
      <c r="I1570" s="23" t="str">
        <f t="shared" ca="1" si="49"/>
        <v/>
      </c>
    </row>
    <row r="1571" spans="1:9" ht="13.8">
      <c r="A1571" s="20">
        <f t="shared" ca="1" si="48"/>
        <v>43549</v>
      </c>
      <c r="B1571" s="21" t="str">
        <f ca="1"/>
        <v>2019-03-25</v>
      </c>
      <c r="C1571" s="22">
        <f ca="1"/>
        <v>116.55999799999999</v>
      </c>
      <c r="D1571" s="22">
        <f ca="1"/>
        <v>118.010002</v>
      </c>
      <c r="E1571" s="22">
        <f ca="1"/>
        <v>116.32</v>
      </c>
      <c r="F1571" s="22">
        <f ca="1"/>
        <v>117.660004</v>
      </c>
      <c r="G1571" s="22">
        <f ca="1"/>
        <v>113.20169799999999</v>
      </c>
      <c r="H1571" s="69">
        <f ca="1"/>
        <v>27067100</v>
      </c>
      <c r="I1571" s="23" t="str">
        <f t="shared" ca="1" si="49"/>
        <v/>
      </c>
    </row>
    <row r="1572" spans="1:9" ht="13.8">
      <c r="A1572" s="20">
        <f t="shared" ca="1" si="48"/>
        <v>43550</v>
      </c>
      <c r="B1572" s="21" t="str">
        <f ca="1"/>
        <v>2019-03-26</v>
      </c>
      <c r="C1572" s="22">
        <f ca="1"/>
        <v>118.620003</v>
      </c>
      <c r="D1572" s="22">
        <f ca="1"/>
        <v>118.709999</v>
      </c>
      <c r="E1572" s="22">
        <f ca="1"/>
        <v>116.849998</v>
      </c>
      <c r="F1572" s="22">
        <f ca="1"/>
        <v>117.910004</v>
      </c>
      <c r="G1572" s="22">
        <f ca="1"/>
        <v>113.44223</v>
      </c>
      <c r="H1572" s="69">
        <f ca="1"/>
        <v>26097700</v>
      </c>
      <c r="I1572" s="23" t="str">
        <f t="shared" ca="1" si="49"/>
        <v/>
      </c>
    </row>
    <row r="1573" spans="1:9" ht="13.8">
      <c r="A1573" s="20">
        <f t="shared" ca="1" si="48"/>
        <v>43551</v>
      </c>
      <c r="B1573" s="21" t="str">
        <f ca="1"/>
        <v>2019-03-27</v>
      </c>
      <c r="C1573" s="22">
        <f ca="1"/>
        <v>117.879997</v>
      </c>
      <c r="D1573" s="22">
        <f ca="1"/>
        <v>118.209999</v>
      </c>
      <c r="E1573" s="22">
        <f ca="1"/>
        <v>115.519997</v>
      </c>
      <c r="F1573" s="22">
        <f ca="1"/>
        <v>116.769997</v>
      </c>
      <c r="G1573" s="22">
        <f ca="1"/>
        <v>112.345428</v>
      </c>
      <c r="H1573" s="69">
        <f ca="1"/>
        <v>22733400</v>
      </c>
      <c r="I1573" s="23" t="str">
        <f t="shared" ca="1" si="49"/>
        <v/>
      </c>
    </row>
    <row r="1574" spans="1:9" ht="13.8">
      <c r="A1574" s="20">
        <f t="shared" ca="1" si="48"/>
        <v>43552</v>
      </c>
      <c r="B1574" s="21" t="str">
        <f ca="1"/>
        <v>2019-03-28</v>
      </c>
      <c r="C1574" s="22">
        <f ca="1"/>
        <v>117.44000200000001</v>
      </c>
      <c r="D1574" s="22">
        <f ca="1"/>
        <v>117.58000199999999</v>
      </c>
      <c r="E1574" s="22">
        <f ca="1"/>
        <v>116.129997</v>
      </c>
      <c r="F1574" s="22">
        <f ca="1"/>
        <v>116.93</v>
      </c>
      <c r="G1574" s="22">
        <f ca="1"/>
        <v>112.499359</v>
      </c>
      <c r="H1574" s="69">
        <f ca="1"/>
        <v>18334800</v>
      </c>
      <c r="I1574" s="23" t="str">
        <f t="shared" ca="1" si="49"/>
        <v/>
      </c>
    </row>
    <row r="1575" spans="1:9" ht="13.8">
      <c r="A1575" s="20">
        <f t="shared" ca="1" si="48"/>
        <v>43553</v>
      </c>
      <c r="B1575" s="21" t="str">
        <f ca="1"/>
        <v>2019-03-29</v>
      </c>
      <c r="C1575" s="22">
        <f ca="1"/>
        <v>118.07</v>
      </c>
      <c r="D1575" s="22">
        <f ca="1"/>
        <v>118.32</v>
      </c>
      <c r="E1575" s="22">
        <f ca="1"/>
        <v>116.959999</v>
      </c>
      <c r="F1575" s="22">
        <f ca="1"/>
        <v>117.94000200000001</v>
      </c>
      <c r="G1575" s="22">
        <f ca="1"/>
        <v>113.471085</v>
      </c>
      <c r="H1575" s="69">
        <f ca="1"/>
        <v>25399800</v>
      </c>
      <c r="I1575" s="23" t="str">
        <f t="shared" ca="1" si="49"/>
        <v/>
      </c>
    </row>
    <row r="1576" spans="1:9" ht="13.8">
      <c r="A1576" s="20">
        <f t="shared" ca="1" si="48"/>
        <v>43556</v>
      </c>
      <c r="B1576" s="21" t="str">
        <f ca="1"/>
        <v>2019-04-01</v>
      </c>
      <c r="C1576" s="22">
        <f ca="1"/>
        <v>118.949997</v>
      </c>
      <c r="D1576" s="22">
        <f ca="1"/>
        <v>119.110001</v>
      </c>
      <c r="E1576" s="22">
        <f ca="1"/>
        <v>118.099998</v>
      </c>
      <c r="F1576" s="22">
        <f ca="1"/>
        <v>119.019997</v>
      </c>
      <c r="G1576" s="22">
        <f ca="1"/>
        <v>114.510139</v>
      </c>
      <c r="H1576" s="69">
        <f ca="1"/>
        <v>22789100</v>
      </c>
      <c r="I1576" s="23" t="str">
        <f t="shared" ca="1" si="49"/>
        <v/>
      </c>
    </row>
    <row r="1577" spans="1:9" ht="13.8">
      <c r="A1577" s="20">
        <f t="shared" ca="1" si="48"/>
        <v>43557</v>
      </c>
      <c r="B1577" s="21" t="str">
        <f ca="1"/>
        <v>2019-04-02</v>
      </c>
      <c r="C1577" s="22">
        <f ca="1"/>
        <v>119.05999799999999</v>
      </c>
      <c r="D1577" s="22">
        <f ca="1"/>
        <v>119.480003</v>
      </c>
      <c r="E1577" s="22">
        <f ca="1"/>
        <v>118.519997</v>
      </c>
      <c r="F1577" s="22">
        <f ca="1"/>
        <v>119.19000200000001</v>
      </c>
      <c r="G1577" s="22">
        <f ca="1"/>
        <v>114.67372899999999</v>
      </c>
      <c r="H1577" s="69">
        <f ca="1"/>
        <v>18142300</v>
      </c>
      <c r="I1577" s="23" t="str">
        <f t="shared" ca="1" si="49"/>
        <v/>
      </c>
    </row>
    <row r="1578" spans="1:9" ht="13.8">
      <c r="A1578" s="20">
        <f t="shared" ca="1" si="48"/>
        <v>43558</v>
      </c>
      <c r="B1578" s="21" t="str">
        <f ca="1"/>
        <v>2019-04-03</v>
      </c>
      <c r="C1578" s="22">
        <f ca="1"/>
        <v>119.860001</v>
      </c>
      <c r="D1578" s="22">
        <f ca="1"/>
        <v>120.43</v>
      </c>
      <c r="E1578" s="22">
        <f ca="1"/>
        <v>119.150002</v>
      </c>
      <c r="F1578" s="22">
        <f ca="1"/>
        <v>119.970001</v>
      </c>
      <c r="G1578" s="22">
        <f ca="1"/>
        <v>115.424171</v>
      </c>
      <c r="H1578" s="69">
        <f ca="1"/>
        <v>22860700</v>
      </c>
      <c r="I1578" s="23" t="str">
        <f t="shared" ca="1" si="49"/>
        <v/>
      </c>
    </row>
    <row r="1579" spans="1:9" ht="13.8">
      <c r="A1579" s="20">
        <f t="shared" ca="1" si="48"/>
        <v>43559</v>
      </c>
      <c r="B1579" s="21" t="str">
        <f ca="1"/>
        <v>2019-04-04</v>
      </c>
      <c r="C1579" s="22">
        <f ca="1"/>
        <v>120.099998</v>
      </c>
      <c r="D1579" s="22">
        <f ca="1"/>
        <v>120.230003</v>
      </c>
      <c r="E1579" s="22">
        <f ca="1"/>
        <v>118.379997</v>
      </c>
      <c r="F1579" s="22">
        <f ca="1"/>
        <v>119.360001</v>
      </c>
      <c r="G1579" s="22">
        <f ca="1"/>
        <v>114.837288</v>
      </c>
      <c r="H1579" s="69">
        <f ca="1"/>
        <v>20112800</v>
      </c>
      <c r="I1579" s="23" t="str">
        <f t="shared" ca="1" si="49"/>
        <v/>
      </c>
    </row>
    <row r="1580" spans="1:9" ht="13.8">
      <c r="A1580" s="20">
        <f t="shared" ca="1" si="48"/>
        <v>43560</v>
      </c>
      <c r="B1580" s="21" t="str">
        <f ca="1"/>
        <v>2019-04-05</v>
      </c>
      <c r="C1580" s="22">
        <f ca="1"/>
        <v>119.389999</v>
      </c>
      <c r="D1580" s="22">
        <f ca="1"/>
        <v>120.230003</v>
      </c>
      <c r="E1580" s="22">
        <f ca="1"/>
        <v>119.370003</v>
      </c>
      <c r="F1580" s="22">
        <f ca="1"/>
        <v>119.889999</v>
      </c>
      <c r="G1580" s="22">
        <f ca="1"/>
        <v>115.34719800000001</v>
      </c>
      <c r="H1580" s="69">
        <f ca="1"/>
        <v>15826200</v>
      </c>
      <c r="I1580" s="23" t="str">
        <f t="shared" ca="1" si="49"/>
        <v/>
      </c>
    </row>
    <row r="1581" spans="1:9" ht="13.8">
      <c r="A1581" s="20">
        <f t="shared" ca="1" si="48"/>
        <v>43563</v>
      </c>
      <c r="B1581" s="21" t="str">
        <f ca="1"/>
        <v>2019-04-08</v>
      </c>
      <c r="C1581" s="22">
        <f ca="1"/>
        <v>119.80999799999999</v>
      </c>
      <c r="D1581" s="22">
        <f ca="1"/>
        <v>120.019997</v>
      </c>
      <c r="E1581" s="22">
        <f ca="1"/>
        <v>118.639999</v>
      </c>
      <c r="F1581" s="22">
        <f ca="1"/>
        <v>119.93</v>
      </c>
      <c r="G1581" s="22">
        <f ca="1"/>
        <v>115.385704</v>
      </c>
      <c r="H1581" s="69">
        <f ca="1"/>
        <v>15116200</v>
      </c>
      <c r="I1581" s="23" t="str">
        <f t="shared" ca="1" si="49"/>
        <v/>
      </c>
    </row>
    <row r="1582" spans="1:9" ht="13.8">
      <c r="A1582" s="20">
        <f t="shared" ca="1" si="48"/>
        <v>43564</v>
      </c>
      <c r="B1582" s="21" t="str">
        <f ca="1"/>
        <v>2019-04-09</v>
      </c>
      <c r="C1582" s="22">
        <f ca="1"/>
        <v>118.629997</v>
      </c>
      <c r="D1582" s="22">
        <f ca="1"/>
        <v>119.540001</v>
      </c>
      <c r="E1582" s="22">
        <f ca="1"/>
        <v>118.58000199999999</v>
      </c>
      <c r="F1582" s="22">
        <f ca="1"/>
        <v>119.279999</v>
      </c>
      <c r="G1582" s="22">
        <f ca="1"/>
        <v>114.760307</v>
      </c>
      <c r="H1582" s="69">
        <f ca="1"/>
        <v>17612000</v>
      </c>
      <c r="I1582" s="23" t="str">
        <f t="shared" ca="1" si="49"/>
        <v/>
      </c>
    </row>
    <row r="1583" spans="1:9" ht="13.8">
      <c r="A1583" s="20">
        <f t="shared" ca="1" si="48"/>
        <v>43565</v>
      </c>
      <c r="B1583" s="21" t="str">
        <f ca="1"/>
        <v>2019-04-10</v>
      </c>
      <c r="C1583" s="22">
        <f ca="1"/>
        <v>119.760002</v>
      </c>
      <c r="D1583" s="22">
        <f ca="1"/>
        <v>120.349998</v>
      </c>
      <c r="E1583" s="22">
        <f ca="1"/>
        <v>119.540001</v>
      </c>
      <c r="F1583" s="22">
        <f ca="1"/>
        <v>120.19000200000001</v>
      </c>
      <c r="G1583" s="22">
        <f ca="1"/>
        <v>115.63582599999999</v>
      </c>
      <c r="H1583" s="69">
        <f ca="1"/>
        <v>16477200</v>
      </c>
      <c r="I1583" s="23" t="str">
        <f t="shared" ca="1" si="49"/>
        <v/>
      </c>
    </row>
    <row r="1584" spans="1:9" ht="13.8">
      <c r="A1584" s="20">
        <f t="shared" ca="1" si="48"/>
        <v>43566</v>
      </c>
      <c r="B1584" s="21" t="str">
        <f ca="1"/>
        <v>2019-04-11</v>
      </c>
      <c r="C1584" s="22">
        <f ca="1"/>
        <v>120.540001</v>
      </c>
      <c r="D1584" s="22">
        <f ca="1"/>
        <v>120.849998</v>
      </c>
      <c r="E1584" s="22">
        <f ca="1"/>
        <v>119.91999800000001</v>
      </c>
      <c r="F1584" s="22">
        <f ca="1"/>
        <v>120.33000199999999</v>
      </c>
      <c r="G1584" s="22">
        <f ca="1"/>
        <v>115.770546</v>
      </c>
      <c r="H1584" s="69">
        <f ca="1"/>
        <v>14209100</v>
      </c>
      <c r="I1584" s="23" t="str">
        <f t="shared" ca="1" si="49"/>
        <v/>
      </c>
    </row>
    <row r="1585" spans="1:9" ht="13.8">
      <c r="A1585" s="20">
        <f t="shared" ca="1" si="48"/>
        <v>43567</v>
      </c>
      <c r="B1585" s="21" t="str">
        <f ca="1"/>
        <v>2019-04-12</v>
      </c>
      <c r="C1585" s="22">
        <f ca="1"/>
        <v>120.639999</v>
      </c>
      <c r="D1585" s="22">
        <f ca="1"/>
        <v>120.980003</v>
      </c>
      <c r="E1585" s="22">
        <f ca="1"/>
        <v>120.370003</v>
      </c>
      <c r="F1585" s="22">
        <f ca="1"/>
        <v>120.949997</v>
      </c>
      <c r="G1585" s="22">
        <f ca="1"/>
        <v>116.36702699999999</v>
      </c>
      <c r="H1585" s="69">
        <f ca="1"/>
        <v>19745100</v>
      </c>
      <c r="I1585" s="23" t="str">
        <f t="shared" ca="1" si="49"/>
        <v/>
      </c>
    </row>
    <row r="1586" spans="1:9" ht="13.8">
      <c r="A1586" s="20">
        <f t="shared" ca="1" si="48"/>
        <v>43570</v>
      </c>
      <c r="B1586" s="21" t="str">
        <f ca="1"/>
        <v>2019-04-15</v>
      </c>
      <c r="C1586" s="22">
        <f ca="1"/>
        <v>120.94000200000001</v>
      </c>
      <c r="D1586" s="22">
        <f ca="1"/>
        <v>121.58000199999999</v>
      </c>
      <c r="E1586" s="22">
        <f ca="1"/>
        <v>120.57</v>
      </c>
      <c r="F1586" s="22">
        <f ca="1"/>
        <v>121.050003</v>
      </c>
      <c r="G1586" s="22">
        <f ca="1"/>
        <v>116.463234</v>
      </c>
      <c r="H1586" s="69">
        <f ca="1"/>
        <v>15792600</v>
      </c>
      <c r="I1586" s="23" t="str">
        <f t="shared" ca="1" si="49"/>
        <v/>
      </c>
    </row>
    <row r="1587" spans="1:9" ht="13.8">
      <c r="A1587" s="20">
        <f t="shared" ca="1" si="48"/>
        <v>43571</v>
      </c>
      <c r="B1587" s="21" t="str">
        <f ca="1"/>
        <v>2019-04-16</v>
      </c>
      <c r="C1587" s="22">
        <f ca="1"/>
        <v>121.639999</v>
      </c>
      <c r="D1587" s="22">
        <f ca="1"/>
        <v>121.650002</v>
      </c>
      <c r="E1587" s="22">
        <f ca="1"/>
        <v>120.099998</v>
      </c>
      <c r="F1587" s="22">
        <f ca="1"/>
        <v>120.769997</v>
      </c>
      <c r="G1587" s="22">
        <f ca="1"/>
        <v>116.193848</v>
      </c>
      <c r="H1587" s="69">
        <f ca="1"/>
        <v>14071800</v>
      </c>
      <c r="I1587" s="23" t="str">
        <f t="shared" ca="1" si="49"/>
        <v/>
      </c>
    </row>
    <row r="1588" spans="1:9" ht="13.8">
      <c r="A1588" s="20">
        <f t="shared" ca="1" si="48"/>
        <v>43572</v>
      </c>
      <c r="B1588" s="21" t="str">
        <f ca="1"/>
        <v>2019-04-17</v>
      </c>
      <c r="C1588" s="22">
        <f ca="1"/>
        <v>121.239998</v>
      </c>
      <c r="D1588" s="22">
        <f ca="1"/>
        <v>121.849998</v>
      </c>
      <c r="E1588" s="22">
        <f ca="1"/>
        <v>120.540001</v>
      </c>
      <c r="F1588" s="22">
        <f ca="1"/>
        <v>121.769997</v>
      </c>
      <c r="G1588" s="22">
        <f ca="1"/>
        <v>117.155968</v>
      </c>
      <c r="H1588" s="69">
        <f ca="1"/>
        <v>19300900</v>
      </c>
      <c r="I1588" s="23" t="str">
        <f t="shared" ca="1" si="49"/>
        <v/>
      </c>
    </row>
    <row r="1589" spans="1:9" ht="13.8">
      <c r="A1589" s="20">
        <f t="shared" ca="1" si="48"/>
        <v>43573</v>
      </c>
      <c r="B1589" s="21" t="str">
        <f ca="1"/>
        <v>2019-04-18</v>
      </c>
      <c r="C1589" s="22">
        <f ca="1"/>
        <v>122.19000200000001</v>
      </c>
      <c r="D1589" s="22">
        <f ca="1"/>
        <v>123.519997</v>
      </c>
      <c r="E1589" s="22">
        <f ca="1"/>
        <v>121.300003</v>
      </c>
      <c r="F1589" s="22">
        <f ca="1"/>
        <v>123.370003</v>
      </c>
      <c r="G1589" s="22">
        <f ca="1"/>
        <v>118.695328</v>
      </c>
      <c r="H1589" s="69">
        <f ca="1"/>
        <v>27991000</v>
      </c>
      <c r="I1589" s="23" t="str">
        <f t="shared" ca="1" si="49"/>
        <v/>
      </c>
    </row>
    <row r="1590" spans="1:9" ht="13.8">
      <c r="A1590" s="20">
        <f t="shared" ca="1" si="48"/>
        <v>43577</v>
      </c>
      <c r="B1590" s="21" t="str">
        <f ca="1"/>
        <v>2019-04-22</v>
      </c>
      <c r="C1590" s="22">
        <f ca="1"/>
        <v>122.620003</v>
      </c>
      <c r="D1590" s="22">
        <f ca="1"/>
        <v>124</v>
      </c>
      <c r="E1590" s="22">
        <f ca="1"/>
        <v>122.57</v>
      </c>
      <c r="F1590" s="22">
        <f ca="1"/>
        <v>123.760002</v>
      </c>
      <c r="G1590" s="22">
        <f ca="1"/>
        <v>119.070549</v>
      </c>
      <c r="H1590" s="69">
        <f ca="1"/>
        <v>15648700</v>
      </c>
      <c r="I1590" s="23" t="str">
        <f t="shared" ca="1" si="49"/>
        <v/>
      </c>
    </row>
    <row r="1591" spans="1:9" ht="13.8">
      <c r="A1591" s="20">
        <f t="shared" ca="1" si="48"/>
        <v>43578</v>
      </c>
      <c r="B1591" s="21" t="str">
        <f ca="1"/>
        <v>2019-04-23</v>
      </c>
      <c r="C1591" s="22">
        <f ca="1"/>
        <v>124.099998</v>
      </c>
      <c r="D1591" s="22">
        <f ca="1"/>
        <v>125.58000199999999</v>
      </c>
      <c r="E1591" s="22">
        <f ca="1"/>
        <v>123.83000199999999</v>
      </c>
      <c r="F1591" s="22">
        <f ca="1"/>
        <v>125.44000200000001</v>
      </c>
      <c r="G1591" s="22">
        <f ca="1"/>
        <v>120.686913</v>
      </c>
      <c r="H1591" s="69">
        <f ca="1"/>
        <v>24025500</v>
      </c>
      <c r="I1591" s="23" t="str">
        <f t="shared" ca="1" si="49"/>
        <v/>
      </c>
    </row>
    <row r="1592" spans="1:9" ht="13.8">
      <c r="A1592" s="20">
        <f t="shared" ca="1" si="48"/>
        <v>43579</v>
      </c>
      <c r="B1592" s="21" t="str">
        <f ca="1"/>
        <v>2019-04-24</v>
      </c>
      <c r="C1592" s="22">
        <f ca="1"/>
        <v>125.790001</v>
      </c>
      <c r="D1592" s="22">
        <f ca="1"/>
        <v>125.849998</v>
      </c>
      <c r="E1592" s="22">
        <f ca="1"/>
        <v>124.519997</v>
      </c>
      <c r="F1592" s="22">
        <f ca="1"/>
        <v>125.010002</v>
      </c>
      <c r="G1592" s="22">
        <f ca="1"/>
        <v>120.27319300000001</v>
      </c>
      <c r="H1592" s="69">
        <f ca="1"/>
        <v>31257000</v>
      </c>
      <c r="I1592" s="23" t="str">
        <f t="shared" ca="1" si="49"/>
        <v/>
      </c>
    </row>
    <row r="1593" spans="1:9" ht="13.8">
      <c r="A1593" s="20">
        <f t="shared" ca="1" si="48"/>
        <v>43580</v>
      </c>
      <c r="B1593" s="21" t="str">
        <f ca="1"/>
        <v>2019-04-25</v>
      </c>
      <c r="C1593" s="22">
        <f ca="1"/>
        <v>130.05999800000001</v>
      </c>
      <c r="D1593" s="22">
        <f ca="1"/>
        <v>131.36999499999999</v>
      </c>
      <c r="E1593" s="22">
        <f ca="1"/>
        <v>128.83000200000001</v>
      </c>
      <c r="F1593" s="22">
        <f ca="1"/>
        <v>129.14999399999999</v>
      </c>
      <c r="G1593" s="22">
        <f ca="1"/>
        <v>124.256325</v>
      </c>
      <c r="H1593" s="69">
        <f ca="1"/>
        <v>38033900</v>
      </c>
      <c r="I1593" s="23" t="str">
        <f t="shared" ca="1" si="49"/>
        <v/>
      </c>
    </row>
    <row r="1594" spans="1:9" ht="13.8">
      <c r="A1594" s="20">
        <f t="shared" ca="1" si="48"/>
        <v>43581</v>
      </c>
      <c r="B1594" s="21" t="str">
        <f ca="1"/>
        <v>2019-04-26</v>
      </c>
      <c r="C1594" s="22">
        <f ca="1"/>
        <v>129.699997</v>
      </c>
      <c r="D1594" s="22">
        <f ca="1"/>
        <v>130.520004</v>
      </c>
      <c r="E1594" s="22">
        <f ca="1"/>
        <v>129.020004</v>
      </c>
      <c r="F1594" s="22">
        <f ca="1"/>
        <v>129.88999899999999</v>
      </c>
      <c r="G1594" s="22">
        <f ca="1"/>
        <v>124.96826900000001</v>
      </c>
      <c r="H1594" s="69">
        <f ca="1"/>
        <v>23654900</v>
      </c>
      <c r="I1594" s="23" t="str">
        <f t="shared" ca="1" si="49"/>
        <v/>
      </c>
    </row>
    <row r="1595" spans="1:9" ht="13.8">
      <c r="A1595" s="20">
        <f t="shared" ca="1" si="48"/>
        <v>43584</v>
      </c>
      <c r="B1595" s="21" t="str">
        <f ca="1"/>
        <v>2019-04-29</v>
      </c>
      <c r="C1595" s="22">
        <f ca="1"/>
        <v>129.89999399999999</v>
      </c>
      <c r="D1595" s="22">
        <f ca="1"/>
        <v>130.179993</v>
      </c>
      <c r="E1595" s="22">
        <f ca="1"/>
        <v>129.35000600000001</v>
      </c>
      <c r="F1595" s="22">
        <f ca="1"/>
        <v>129.770004</v>
      </c>
      <c r="G1595" s="22">
        <f ca="1"/>
        <v>124.852844</v>
      </c>
      <c r="H1595" s="69">
        <f ca="1"/>
        <v>16324200</v>
      </c>
      <c r="I1595" s="23" t="str">
        <f t="shared" ca="1" si="49"/>
        <v/>
      </c>
    </row>
    <row r="1596" spans="1:9" ht="13.8">
      <c r="A1596" s="20">
        <f t="shared" ca="1" si="48"/>
        <v>43585</v>
      </c>
      <c r="B1596" s="21" t="str">
        <f ca="1"/>
        <v>2019-04-30</v>
      </c>
      <c r="C1596" s="22">
        <f ca="1"/>
        <v>129.80999800000001</v>
      </c>
      <c r="D1596" s="22">
        <f ca="1"/>
        <v>130.699997</v>
      </c>
      <c r="E1596" s="22">
        <f ca="1"/>
        <v>129.38999899999999</v>
      </c>
      <c r="F1596" s="22">
        <f ca="1"/>
        <v>130.60000600000001</v>
      </c>
      <c r="G1596" s="22">
        <f ca="1"/>
        <v>125.65139000000001</v>
      </c>
      <c r="H1596" s="69">
        <f ca="1"/>
        <v>24166500</v>
      </c>
      <c r="I1596" s="23" t="str">
        <f t="shared" ca="1" si="49"/>
        <v/>
      </c>
    </row>
    <row r="1597" spans="1:9" ht="13.8">
      <c r="A1597" s="20">
        <f t="shared" ca="1" si="48"/>
        <v>43586</v>
      </c>
      <c r="B1597" s="21" t="str">
        <f ca="1"/>
        <v>2019-05-01</v>
      </c>
      <c r="C1597" s="22">
        <f ca="1"/>
        <v>130.529999</v>
      </c>
      <c r="D1597" s="22">
        <f ca="1"/>
        <v>130.64999399999999</v>
      </c>
      <c r="E1597" s="22">
        <f ca="1"/>
        <v>127.699997</v>
      </c>
      <c r="F1597" s="22">
        <f ca="1"/>
        <v>127.879997</v>
      </c>
      <c r="G1597" s="22">
        <f ca="1"/>
        <v>123.034431</v>
      </c>
      <c r="H1597" s="69">
        <f ca="1"/>
        <v>26821700</v>
      </c>
      <c r="I1597" s="23" t="str">
        <f t="shared" ca="1" si="49"/>
        <v/>
      </c>
    </row>
    <row r="1598" spans="1:9" ht="13.8">
      <c r="A1598" s="20">
        <f t="shared" ca="1" si="48"/>
        <v>43587</v>
      </c>
      <c r="B1598" s="21" t="str">
        <f ca="1"/>
        <v>2019-05-02</v>
      </c>
      <c r="C1598" s="22">
        <f ca="1"/>
        <v>127.980003</v>
      </c>
      <c r="D1598" s="22">
        <f ca="1"/>
        <v>128</v>
      </c>
      <c r="E1598" s="22">
        <f ca="1"/>
        <v>125.519997</v>
      </c>
      <c r="F1598" s="22">
        <f ca="1"/>
        <v>126.209999</v>
      </c>
      <c r="G1598" s="22">
        <f ca="1"/>
        <v>121.427727</v>
      </c>
      <c r="H1598" s="69">
        <f ca="1"/>
        <v>27350200</v>
      </c>
      <c r="I1598" s="23" t="str">
        <f t="shared" ca="1" si="49"/>
        <v/>
      </c>
    </row>
    <row r="1599" spans="1:9" ht="13.8">
      <c r="A1599" s="20">
        <f t="shared" ca="1" si="48"/>
        <v>43588</v>
      </c>
      <c r="B1599" s="21" t="str">
        <f ca="1"/>
        <v>2019-05-03</v>
      </c>
      <c r="C1599" s="22">
        <f ca="1"/>
        <v>127.360001</v>
      </c>
      <c r="D1599" s="22">
        <f ca="1"/>
        <v>129.429993</v>
      </c>
      <c r="E1599" s="22">
        <f ca="1"/>
        <v>127.25</v>
      </c>
      <c r="F1599" s="22">
        <f ca="1"/>
        <v>128.89999399999999</v>
      </c>
      <c r="G1599" s="22">
        <f ca="1"/>
        <v>124.01578499999999</v>
      </c>
      <c r="H1599" s="69">
        <f ca="1"/>
        <v>24911100</v>
      </c>
      <c r="I1599" s="23" t="str">
        <f t="shared" ca="1" si="49"/>
        <v/>
      </c>
    </row>
    <row r="1600" spans="1:9" ht="13.8">
      <c r="A1600" s="20">
        <f t="shared" ca="1" si="48"/>
        <v>43591</v>
      </c>
      <c r="B1600" s="21" t="str">
        <f ca="1"/>
        <v>2019-05-06</v>
      </c>
      <c r="C1600" s="22">
        <f ca="1"/>
        <v>126.389999</v>
      </c>
      <c r="D1600" s="22">
        <f ca="1"/>
        <v>128.55999800000001</v>
      </c>
      <c r="E1600" s="22">
        <f ca="1"/>
        <v>126.110001</v>
      </c>
      <c r="F1600" s="22">
        <f ca="1"/>
        <v>128.14999399999999</v>
      </c>
      <c r="G1600" s="22">
        <f ca="1"/>
        <v>123.29420500000001</v>
      </c>
      <c r="H1600" s="69">
        <f ca="1"/>
        <v>24239800</v>
      </c>
      <c r="I1600" s="23" t="str">
        <f t="shared" ca="1" si="49"/>
        <v/>
      </c>
    </row>
    <row r="1601" spans="1:9" ht="13.8">
      <c r="A1601" s="20">
        <f t="shared" ca="1" si="48"/>
        <v>43592</v>
      </c>
      <c r="B1601" s="21" t="str">
        <f ca="1"/>
        <v>2019-05-07</v>
      </c>
      <c r="C1601" s="22">
        <f ca="1"/>
        <v>126.459999</v>
      </c>
      <c r="D1601" s="22">
        <f ca="1"/>
        <v>127.18</v>
      </c>
      <c r="E1601" s="22">
        <f ca="1"/>
        <v>124.220001</v>
      </c>
      <c r="F1601" s="22">
        <f ca="1"/>
        <v>125.519997</v>
      </c>
      <c r="G1601" s="22">
        <f ca="1"/>
        <v>120.76387</v>
      </c>
      <c r="H1601" s="69">
        <f ca="1"/>
        <v>36017700</v>
      </c>
      <c r="I1601" s="23" t="str">
        <f t="shared" ca="1" si="49"/>
        <v/>
      </c>
    </row>
    <row r="1602" spans="1:9" ht="13.8">
      <c r="A1602" s="20">
        <f t="shared" ca="1" si="48"/>
        <v>43593</v>
      </c>
      <c r="B1602" s="21" t="str">
        <f ca="1"/>
        <v>2019-05-08</v>
      </c>
      <c r="C1602" s="22">
        <f ca="1"/>
        <v>125.44000200000001</v>
      </c>
      <c r="D1602" s="22">
        <f ca="1"/>
        <v>126.370003</v>
      </c>
      <c r="E1602" s="22">
        <f ca="1"/>
        <v>124.75</v>
      </c>
      <c r="F1602" s="22">
        <f ca="1"/>
        <v>125.510002</v>
      </c>
      <c r="G1602" s="22">
        <f ca="1"/>
        <v>120.75425</v>
      </c>
      <c r="H1602" s="69">
        <f ca="1"/>
        <v>28419000</v>
      </c>
      <c r="I1602" s="23" t="str">
        <f t="shared" ca="1" si="49"/>
        <v/>
      </c>
    </row>
    <row r="1603" spans="1:9" ht="13.8">
      <c r="A1603" s="20">
        <f t="shared" ca="1" si="48"/>
        <v>43594</v>
      </c>
      <c r="B1603" s="21" t="str">
        <f ca="1"/>
        <v>2019-05-09</v>
      </c>
      <c r="C1603" s="22">
        <f ca="1"/>
        <v>124.290001</v>
      </c>
      <c r="D1603" s="22">
        <f ca="1"/>
        <v>125.790001</v>
      </c>
      <c r="E1603" s="22">
        <f ca="1"/>
        <v>123.57</v>
      </c>
      <c r="F1603" s="22">
        <f ca="1"/>
        <v>125.5</v>
      </c>
      <c r="G1603" s="22">
        <f ca="1"/>
        <v>120.744629</v>
      </c>
      <c r="H1603" s="69">
        <f ca="1"/>
        <v>27235800</v>
      </c>
      <c r="I1603" s="23" t="str">
        <f t="shared" ca="1" si="49"/>
        <v/>
      </c>
    </row>
    <row r="1604" spans="1:9" ht="13.8">
      <c r="A1604" s="20">
        <f t="shared" ca="1" si="48"/>
        <v>43595</v>
      </c>
      <c r="B1604" s="21" t="str">
        <f ca="1"/>
        <v>2019-05-10</v>
      </c>
      <c r="C1604" s="22">
        <f ca="1"/>
        <v>124.910004</v>
      </c>
      <c r="D1604" s="22">
        <f ca="1"/>
        <v>127.93</v>
      </c>
      <c r="E1604" s="22">
        <f ca="1"/>
        <v>123.82</v>
      </c>
      <c r="F1604" s="22">
        <f ca="1"/>
        <v>127.129997</v>
      </c>
      <c r="G1604" s="22">
        <f ca="1"/>
        <v>122.312859</v>
      </c>
      <c r="H1604" s="69">
        <f ca="1"/>
        <v>30915100</v>
      </c>
      <c r="I1604" s="23" t="str">
        <f t="shared" ca="1" si="49"/>
        <v/>
      </c>
    </row>
    <row r="1605" spans="1:9" ht="13.8">
      <c r="A1605" s="20">
        <f t="shared" ca="1" si="48"/>
        <v>43598</v>
      </c>
      <c r="B1605" s="21" t="str">
        <f ca="1"/>
        <v>2019-05-13</v>
      </c>
      <c r="C1605" s="22">
        <f ca="1"/>
        <v>124.110001</v>
      </c>
      <c r="D1605" s="22">
        <f ca="1"/>
        <v>125.550003</v>
      </c>
      <c r="E1605" s="22">
        <f ca="1"/>
        <v>123.040001</v>
      </c>
      <c r="F1605" s="22">
        <f ca="1"/>
        <v>123.349998</v>
      </c>
      <c r="G1605" s="22">
        <f ca="1"/>
        <v>118.676086</v>
      </c>
      <c r="H1605" s="69">
        <f ca="1"/>
        <v>33944900</v>
      </c>
      <c r="I1605" s="23" t="str">
        <f t="shared" ca="1" si="49"/>
        <v/>
      </c>
    </row>
    <row r="1606" spans="1:9" ht="13.8">
      <c r="A1606" s="20">
        <f t="shared" ref="A1606:A1669" ca="1" si="50">IFERROR(DATEVALUE($B1606),"--")</f>
        <v>43599</v>
      </c>
      <c r="B1606" s="21" t="str">
        <f ca="1"/>
        <v>2019-05-14</v>
      </c>
      <c r="C1606" s="22">
        <f ca="1"/>
        <v>123.870003</v>
      </c>
      <c r="D1606" s="22">
        <f ca="1"/>
        <v>125.879997</v>
      </c>
      <c r="E1606" s="22">
        <f ca="1"/>
        <v>123.699997</v>
      </c>
      <c r="F1606" s="22">
        <f ca="1"/>
        <v>124.730003</v>
      </c>
      <c r="G1606" s="22">
        <f ca="1"/>
        <v>120.003815</v>
      </c>
      <c r="H1606" s="69">
        <f ca="1"/>
        <v>25266300</v>
      </c>
      <c r="I1606" s="23" t="str">
        <f t="shared" ref="I1606:I1669" ca="1" si="51">IFERROR(IF(Ticker&lt;&gt;$Q$2,"",INDEX($P:$P,MATCH($A1606,$O:$O,0))),"")</f>
        <v/>
      </c>
    </row>
    <row r="1607" spans="1:9" ht="13.8">
      <c r="A1607" s="20">
        <f t="shared" ca="1" si="50"/>
        <v>43600</v>
      </c>
      <c r="B1607" s="21" t="str">
        <f ca="1"/>
        <v>2019-05-15</v>
      </c>
      <c r="C1607" s="22">
        <f ca="1"/>
        <v>124.260002</v>
      </c>
      <c r="D1607" s="22">
        <f ca="1"/>
        <v>126.709999</v>
      </c>
      <c r="E1607" s="22">
        <f ca="1"/>
        <v>123.699997</v>
      </c>
      <c r="F1607" s="22">
        <f ca="1"/>
        <v>126.019997</v>
      </c>
      <c r="G1607" s="22">
        <f ca="1"/>
        <v>121.693718</v>
      </c>
      <c r="H1607" s="69">
        <f ca="1"/>
        <v>24722700</v>
      </c>
      <c r="I1607" s="23">
        <f t="shared" ca="1" si="51"/>
        <v>0.46</v>
      </c>
    </row>
    <row r="1608" spans="1:9" ht="13.8">
      <c r="A1608" s="20">
        <f t="shared" ca="1" si="50"/>
        <v>43601</v>
      </c>
      <c r="B1608" s="21" t="str">
        <f ca="1"/>
        <v>2019-05-16</v>
      </c>
      <c r="C1608" s="22">
        <f ca="1"/>
        <v>126.75</v>
      </c>
      <c r="D1608" s="22">
        <f ca="1"/>
        <v>129.38000500000001</v>
      </c>
      <c r="E1608" s="22">
        <f ca="1"/>
        <v>126.459999</v>
      </c>
      <c r="F1608" s="22">
        <f ca="1"/>
        <v>128.929993</v>
      </c>
      <c r="G1608" s="22">
        <f ca="1"/>
        <v>124.503838</v>
      </c>
      <c r="H1608" s="69">
        <f ca="1"/>
        <v>30112200</v>
      </c>
      <c r="I1608" s="23" t="str">
        <f t="shared" ca="1" si="51"/>
        <v/>
      </c>
    </row>
    <row r="1609" spans="1:9" ht="13.8">
      <c r="A1609" s="20">
        <f t="shared" ca="1" si="50"/>
        <v>43602</v>
      </c>
      <c r="B1609" s="21" t="str">
        <f ca="1"/>
        <v>2019-05-17</v>
      </c>
      <c r="C1609" s="22">
        <f ca="1"/>
        <v>128.30999800000001</v>
      </c>
      <c r="D1609" s="22">
        <f ca="1"/>
        <v>130.46000699999999</v>
      </c>
      <c r="E1609" s="22">
        <f ca="1"/>
        <v>127.91999800000001</v>
      </c>
      <c r="F1609" s="22">
        <f ca="1"/>
        <v>128.070007</v>
      </c>
      <c r="G1609" s="22">
        <f ca="1"/>
        <v>123.673355</v>
      </c>
      <c r="H1609" s="69">
        <f ca="1"/>
        <v>25770500</v>
      </c>
      <c r="I1609" s="23" t="str">
        <f t="shared" ca="1" si="51"/>
        <v/>
      </c>
    </row>
    <row r="1610" spans="1:9" ht="13.8">
      <c r="A1610" s="20">
        <f t="shared" ca="1" si="50"/>
        <v>43605</v>
      </c>
      <c r="B1610" s="21" t="str">
        <f ca="1"/>
        <v>2019-05-20</v>
      </c>
      <c r="C1610" s="22">
        <f ca="1"/>
        <v>126.519997</v>
      </c>
      <c r="D1610" s="22">
        <f ca="1"/>
        <v>127.589996</v>
      </c>
      <c r="E1610" s="22">
        <f ca="1"/>
        <v>125.760002</v>
      </c>
      <c r="F1610" s="22">
        <f ca="1"/>
        <v>126.220001</v>
      </c>
      <c r="G1610" s="22">
        <f ca="1"/>
        <v>121.88685599999999</v>
      </c>
      <c r="H1610" s="69">
        <f ca="1"/>
        <v>23706900</v>
      </c>
      <c r="I1610" s="23" t="str">
        <f t="shared" ca="1" si="51"/>
        <v/>
      </c>
    </row>
    <row r="1611" spans="1:9" ht="13.8">
      <c r="A1611" s="20">
        <f t="shared" ca="1" si="50"/>
        <v>43606</v>
      </c>
      <c r="B1611" s="21" t="str">
        <f ca="1"/>
        <v>2019-05-21</v>
      </c>
      <c r="C1611" s="22">
        <f ca="1"/>
        <v>127.43</v>
      </c>
      <c r="D1611" s="22">
        <f ca="1"/>
        <v>127.529999</v>
      </c>
      <c r="E1611" s="22">
        <f ca="1"/>
        <v>126.58000199999999</v>
      </c>
      <c r="F1611" s="22">
        <f ca="1"/>
        <v>126.900002</v>
      </c>
      <c r="G1611" s="22">
        <f ca="1"/>
        <v>122.543526</v>
      </c>
      <c r="H1611" s="69">
        <f ca="1"/>
        <v>15293300</v>
      </c>
      <c r="I1611" s="23" t="str">
        <f t="shared" ca="1" si="51"/>
        <v/>
      </c>
    </row>
    <row r="1612" spans="1:9" ht="13.8">
      <c r="A1612" s="20">
        <f t="shared" ca="1" si="50"/>
        <v>43607</v>
      </c>
      <c r="B1612" s="21" t="str">
        <f ca="1"/>
        <v>2019-05-22</v>
      </c>
      <c r="C1612" s="22">
        <f ca="1"/>
        <v>126.620003</v>
      </c>
      <c r="D1612" s="22">
        <f ca="1"/>
        <v>128.240005</v>
      </c>
      <c r="E1612" s="22">
        <f ca="1"/>
        <v>126.519997</v>
      </c>
      <c r="F1612" s="22">
        <f ca="1"/>
        <v>127.66999800000001</v>
      </c>
      <c r="G1612" s="22">
        <f ca="1"/>
        <v>123.287071</v>
      </c>
      <c r="H1612" s="69">
        <f ca="1"/>
        <v>15396500</v>
      </c>
      <c r="I1612" s="23" t="str">
        <f t="shared" ca="1" si="51"/>
        <v/>
      </c>
    </row>
    <row r="1613" spans="1:9" ht="13.8">
      <c r="A1613" s="20">
        <f t="shared" ca="1" si="50"/>
        <v>43608</v>
      </c>
      <c r="B1613" s="21" t="str">
        <f ca="1"/>
        <v>2019-05-23</v>
      </c>
      <c r="C1613" s="22">
        <f ca="1"/>
        <v>126.199997</v>
      </c>
      <c r="D1613" s="22">
        <f ca="1"/>
        <v>126.290001</v>
      </c>
      <c r="E1613" s="22">
        <f ca="1"/>
        <v>124.739998</v>
      </c>
      <c r="F1613" s="22">
        <f ca="1"/>
        <v>126.18</v>
      </c>
      <c r="G1613" s="22">
        <f ca="1"/>
        <v>121.848236</v>
      </c>
      <c r="H1613" s="69">
        <f ca="1"/>
        <v>23603800</v>
      </c>
      <c r="I1613" s="23" t="str">
        <f t="shared" ca="1" si="51"/>
        <v/>
      </c>
    </row>
    <row r="1614" spans="1:9" ht="13.8">
      <c r="A1614" s="20">
        <f t="shared" ca="1" si="50"/>
        <v>43609</v>
      </c>
      <c r="B1614" s="21" t="str">
        <f ca="1"/>
        <v>2019-05-24</v>
      </c>
      <c r="C1614" s="22">
        <f ca="1"/>
        <v>126.910004</v>
      </c>
      <c r="D1614" s="22">
        <f ca="1"/>
        <v>127.41999800000001</v>
      </c>
      <c r="E1614" s="22">
        <f ca="1"/>
        <v>125.970001</v>
      </c>
      <c r="F1614" s="22">
        <f ca="1"/>
        <v>126.239998</v>
      </c>
      <c r="G1614" s="22">
        <f ca="1"/>
        <v>121.906166</v>
      </c>
      <c r="H1614" s="69">
        <f ca="1"/>
        <v>14123400</v>
      </c>
      <c r="I1614" s="23" t="str">
        <f t="shared" ca="1" si="51"/>
        <v/>
      </c>
    </row>
    <row r="1615" spans="1:9" ht="13.8">
      <c r="A1615" s="20">
        <f t="shared" ca="1" si="50"/>
        <v>43613</v>
      </c>
      <c r="B1615" s="21" t="str">
        <f ca="1"/>
        <v>2019-05-28</v>
      </c>
      <c r="C1615" s="22">
        <f ca="1"/>
        <v>126.980003</v>
      </c>
      <c r="D1615" s="22">
        <f ca="1"/>
        <v>128</v>
      </c>
      <c r="E1615" s="22">
        <f ca="1"/>
        <v>126.050003</v>
      </c>
      <c r="F1615" s="22">
        <f ca="1"/>
        <v>126.160004</v>
      </c>
      <c r="G1615" s="22">
        <f ca="1"/>
        <v>121.828934</v>
      </c>
      <c r="H1615" s="69">
        <f ca="1"/>
        <v>23128400</v>
      </c>
      <c r="I1615" s="23" t="str">
        <f t="shared" ca="1" si="51"/>
        <v/>
      </c>
    </row>
    <row r="1616" spans="1:9" ht="13.8">
      <c r="A1616" s="20">
        <f t="shared" ca="1" si="50"/>
        <v>43614</v>
      </c>
      <c r="B1616" s="21" t="str">
        <f ca="1"/>
        <v>2019-05-29</v>
      </c>
      <c r="C1616" s="22">
        <f ca="1"/>
        <v>125.379997</v>
      </c>
      <c r="D1616" s="22">
        <f ca="1"/>
        <v>125.389999</v>
      </c>
      <c r="E1616" s="22">
        <f ca="1"/>
        <v>124.040001</v>
      </c>
      <c r="F1616" s="22">
        <f ca="1"/>
        <v>124.94000200000001</v>
      </c>
      <c r="G1616" s="22">
        <f ca="1"/>
        <v>120.650803</v>
      </c>
      <c r="H1616" s="69">
        <f ca="1"/>
        <v>22763100</v>
      </c>
      <c r="I1616" s="23" t="str">
        <f t="shared" ca="1" si="51"/>
        <v/>
      </c>
    </row>
    <row r="1617" spans="1:9" ht="13.8">
      <c r="A1617" s="20">
        <f t="shared" ca="1" si="50"/>
        <v>43615</v>
      </c>
      <c r="B1617" s="21" t="str">
        <f ca="1"/>
        <v>2019-05-30</v>
      </c>
      <c r="C1617" s="22">
        <f ca="1"/>
        <v>125.260002</v>
      </c>
      <c r="D1617" s="22">
        <f ca="1"/>
        <v>125.760002</v>
      </c>
      <c r="E1617" s="22">
        <f ca="1"/>
        <v>124.779999</v>
      </c>
      <c r="F1617" s="22">
        <f ca="1"/>
        <v>125.730003</v>
      </c>
      <c r="G1617" s="22">
        <f ca="1"/>
        <v>121.413681</v>
      </c>
      <c r="H1617" s="69">
        <f ca="1"/>
        <v>16829600</v>
      </c>
      <c r="I1617" s="23" t="str">
        <f t="shared" ca="1" si="51"/>
        <v/>
      </c>
    </row>
    <row r="1618" spans="1:9" ht="13.8">
      <c r="A1618" s="20">
        <f t="shared" ca="1" si="50"/>
        <v>43616</v>
      </c>
      <c r="B1618" s="21" t="str">
        <f ca="1"/>
        <v>2019-05-31</v>
      </c>
      <c r="C1618" s="22">
        <f ca="1"/>
        <v>124.230003</v>
      </c>
      <c r="D1618" s="22">
        <f ca="1"/>
        <v>124.620003</v>
      </c>
      <c r="E1618" s="22">
        <f ca="1"/>
        <v>123.32</v>
      </c>
      <c r="F1618" s="22">
        <f ca="1"/>
        <v>123.68</v>
      </c>
      <c r="G1618" s="22">
        <f ca="1"/>
        <v>119.43405199999999</v>
      </c>
      <c r="H1618" s="69">
        <f ca="1"/>
        <v>26646800</v>
      </c>
      <c r="I1618" s="23" t="str">
        <f t="shared" ca="1" si="51"/>
        <v/>
      </c>
    </row>
    <row r="1619" spans="1:9" ht="13.8">
      <c r="A1619" s="20">
        <f t="shared" ca="1" si="50"/>
        <v>43619</v>
      </c>
      <c r="B1619" s="21" t="str">
        <f ca="1"/>
        <v>2019-06-03</v>
      </c>
      <c r="C1619" s="22">
        <f ca="1"/>
        <v>123.849998</v>
      </c>
      <c r="D1619" s="22">
        <f ca="1"/>
        <v>124.370003</v>
      </c>
      <c r="E1619" s="22">
        <f ca="1"/>
        <v>119.010002</v>
      </c>
      <c r="F1619" s="22">
        <f ca="1"/>
        <v>119.839996</v>
      </c>
      <c r="G1619" s="22">
        <f ca="1"/>
        <v>115.725883</v>
      </c>
      <c r="H1619" s="69">
        <f ca="1"/>
        <v>37983600</v>
      </c>
      <c r="I1619" s="23" t="str">
        <f t="shared" ca="1" si="51"/>
        <v/>
      </c>
    </row>
    <row r="1620" spans="1:9" ht="13.8">
      <c r="A1620" s="20">
        <f t="shared" ca="1" si="50"/>
        <v>43620</v>
      </c>
      <c r="B1620" s="21" t="str">
        <f ca="1"/>
        <v>2019-06-04</v>
      </c>
      <c r="C1620" s="22">
        <f ca="1"/>
        <v>121.279999</v>
      </c>
      <c r="D1620" s="22">
        <f ca="1"/>
        <v>123.279999</v>
      </c>
      <c r="E1620" s="22">
        <f ca="1"/>
        <v>120.650002</v>
      </c>
      <c r="F1620" s="22">
        <f ca="1"/>
        <v>123.160004</v>
      </c>
      <c r="G1620" s="22">
        <f ca="1"/>
        <v>118.931923</v>
      </c>
      <c r="H1620" s="69">
        <f ca="1"/>
        <v>29382600</v>
      </c>
      <c r="I1620" s="23" t="str">
        <f t="shared" ca="1" si="51"/>
        <v/>
      </c>
    </row>
    <row r="1621" spans="1:9" ht="13.8">
      <c r="A1621" s="20">
        <f t="shared" ca="1" si="50"/>
        <v>43621</v>
      </c>
      <c r="B1621" s="21" t="str">
        <f ca="1"/>
        <v>2019-06-05</v>
      </c>
      <c r="C1621" s="22">
        <f ca="1"/>
        <v>124.949997</v>
      </c>
      <c r="D1621" s="22">
        <f ca="1"/>
        <v>125.870003</v>
      </c>
      <c r="E1621" s="22">
        <f ca="1"/>
        <v>124.209999</v>
      </c>
      <c r="F1621" s="22">
        <f ca="1"/>
        <v>125.83000199999999</v>
      </c>
      <c r="G1621" s="22">
        <f ca="1"/>
        <v>121.510254</v>
      </c>
      <c r="H1621" s="69">
        <f ca="1"/>
        <v>24926100</v>
      </c>
      <c r="I1621" s="23" t="str">
        <f t="shared" ca="1" si="51"/>
        <v/>
      </c>
    </row>
    <row r="1622" spans="1:9" ht="13.8">
      <c r="A1622" s="20">
        <f t="shared" ca="1" si="50"/>
        <v>43622</v>
      </c>
      <c r="B1622" s="21" t="str">
        <f ca="1"/>
        <v>2019-06-06</v>
      </c>
      <c r="C1622" s="22">
        <f ca="1"/>
        <v>126.44000200000001</v>
      </c>
      <c r="D1622" s="22">
        <f ca="1"/>
        <v>127.970001</v>
      </c>
      <c r="E1622" s="22">
        <f ca="1"/>
        <v>125.599998</v>
      </c>
      <c r="F1622" s="22">
        <f ca="1"/>
        <v>127.82</v>
      </c>
      <c r="G1622" s="22">
        <f ca="1"/>
        <v>123.431923</v>
      </c>
      <c r="H1622" s="69">
        <f ca="1"/>
        <v>21459000</v>
      </c>
      <c r="I1622" s="23" t="str">
        <f t="shared" ca="1" si="51"/>
        <v/>
      </c>
    </row>
    <row r="1623" spans="1:9" ht="13.8">
      <c r="A1623" s="20">
        <f t="shared" ca="1" si="50"/>
        <v>43623</v>
      </c>
      <c r="B1623" s="21" t="str">
        <f ca="1"/>
        <v>2019-06-07</v>
      </c>
      <c r="C1623" s="22">
        <f ca="1"/>
        <v>129.19000199999999</v>
      </c>
      <c r="D1623" s="22">
        <f ca="1"/>
        <v>132.25</v>
      </c>
      <c r="E1623" s="22">
        <f ca="1"/>
        <v>128.259995</v>
      </c>
      <c r="F1623" s="22">
        <f ca="1"/>
        <v>131.39999399999999</v>
      </c>
      <c r="G1623" s="22">
        <f ca="1"/>
        <v>126.889008</v>
      </c>
      <c r="H1623" s="69">
        <f ca="1"/>
        <v>33885600</v>
      </c>
      <c r="I1623" s="23" t="str">
        <f t="shared" ca="1" si="51"/>
        <v/>
      </c>
    </row>
    <row r="1624" spans="1:9" ht="13.8">
      <c r="A1624" s="20">
        <f t="shared" ca="1" si="50"/>
        <v>43626</v>
      </c>
      <c r="B1624" s="21" t="str">
        <f ca="1"/>
        <v>2019-06-10</v>
      </c>
      <c r="C1624" s="22">
        <f ca="1"/>
        <v>132.39999399999999</v>
      </c>
      <c r="D1624" s="22">
        <f ca="1"/>
        <v>134.08000200000001</v>
      </c>
      <c r="E1624" s="22">
        <f ca="1"/>
        <v>132</v>
      </c>
      <c r="F1624" s="22">
        <f ca="1"/>
        <v>132.60000600000001</v>
      </c>
      <c r="G1624" s="22">
        <f ca="1"/>
        <v>128.04785200000001</v>
      </c>
      <c r="H1624" s="69">
        <f ca="1"/>
        <v>26477100</v>
      </c>
      <c r="I1624" s="23" t="str">
        <f t="shared" ca="1" si="51"/>
        <v/>
      </c>
    </row>
    <row r="1625" spans="1:9" ht="13.8">
      <c r="A1625" s="20">
        <f t="shared" ca="1" si="50"/>
        <v>43627</v>
      </c>
      <c r="B1625" s="21" t="str">
        <f ca="1"/>
        <v>2019-06-11</v>
      </c>
      <c r="C1625" s="22">
        <f ca="1"/>
        <v>133.88000500000001</v>
      </c>
      <c r="D1625" s="22">
        <f ca="1"/>
        <v>134.240005</v>
      </c>
      <c r="E1625" s="22">
        <f ca="1"/>
        <v>131.279999</v>
      </c>
      <c r="F1625" s="22">
        <f ca="1"/>
        <v>132.10000600000001</v>
      </c>
      <c r="G1625" s="22">
        <f ca="1"/>
        <v>127.564987</v>
      </c>
      <c r="H1625" s="69">
        <f ca="1"/>
        <v>23913700</v>
      </c>
      <c r="I1625" s="23" t="str">
        <f t="shared" ca="1" si="51"/>
        <v/>
      </c>
    </row>
    <row r="1626" spans="1:9" ht="13.8">
      <c r="A1626" s="20">
        <f t="shared" ca="1" si="50"/>
        <v>43628</v>
      </c>
      <c r="B1626" s="21" t="str">
        <f ca="1"/>
        <v>2019-06-12</v>
      </c>
      <c r="C1626" s="22">
        <f ca="1"/>
        <v>131.39999399999999</v>
      </c>
      <c r="D1626" s="22">
        <f ca="1"/>
        <v>131.970001</v>
      </c>
      <c r="E1626" s="22">
        <f ca="1"/>
        <v>130.71000699999999</v>
      </c>
      <c r="F1626" s="22">
        <f ca="1"/>
        <v>131.490005</v>
      </c>
      <c r="G1626" s="22">
        <f ca="1"/>
        <v>126.97596</v>
      </c>
      <c r="H1626" s="69">
        <f ca="1"/>
        <v>17092500</v>
      </c>
      <c r="I1626" s="23" t="str">
        <f t="shared" ca="1" si="51"/>
        <v/>
      </c>
    </row>
    <row r="1627" spans="1:9" ht="13.8">
      <c r="A1627" s="20">
        <f t="shared" ca="1" si="50"/>
        <v>43629</v>
      </c>
      <c r="B1627" s="21" t="str">
        <f ca="1"/>
        <v>2019-06-13</v>
      </c>
      <c r="C1627" s="22">
        <f ca="1"/>
        <v>131.979996</v>
      </c>
      <c r="D1627" s="22">
        <f ca="1"/>
        <v>133</v>
      </c>
      <c r="E1627" s="22">
        <f ca="1"/>
        <v>131.55999800000001</v>
      </c>
      <c r="F1627" s="22">
        <f ca="1"/>
        <v>132.320007</v>
      </c>
      <c r="G1627" s="22">
        <f ca="1"/>
        <v>127.777428</v>
      </c>
      <c r="H1627" s="69">
        <f ca="1"/>
        <v>17200800</v>
      </c>
      <c r="I1627" s="23" t="str">
        <f t="shared" ca="1" si="51"/>
        <v/>
      </c>
    </row>
    <row r="1628" spans="1:9" ht="13.8">
      <c r="A1628" s="20">
        <f t="shared" ca="1" si="50"/>
        <v>43630</v>
      </c>
      <c r="B1628" s="21" t="str">
        <f ca="1"/>
        <v>2019-06-14</v>
      </c>
      <c r="C1628" s="22">
        <f ca="1"/>
        <v>132.259995</v>
      </c>
      <c r="D1628" s="22">
        <f ca="1"/>
        <v>133.78999300000001</v>
      </c>
      <c r="E1628" s="22">
        <f ca="1"/>
        <v>131.63999899999999</v>
      </c>
      <c r="F1628" s="22">
        <f ca="1"/>
        <v>132.449997</v>
      </c>
      <c r="G1628" s="22">
        <f ca="1"/>
        <v>127.902962</v>
      </c>
      <c r="H1628" s="69">
        <f ca="1"/>
        <v>17821700</v>
      </c>
      <c r="I1628" s="23" t="str">
        <f t="shared" ca="1" si="51"/>
        <v/>
      </c>
    </row>
    <row r="1629" spans="1:9" ht="13.8">
      <c r="A1629" s="20">
        <f t="shared" ca="1" si="50"/>
        <v>43633</v>
      </c>
      <c r="B1629" s="21" t="str">
        <f ca="1"/>
        <v>2019-06-17</v>
      </c>
      <c r="C1629" s="22">
        <f ca="1"/>
        <v>132.63000500000001</v>
      </c>
      <c r="D1629" s="22">
        <f ca="1"/>
        <v>133.729996</v>
      </c>
      <c r="E1629" s="22">
        <f ca="1"/>
        <v>132.529999</v>
      </c>
      <c r="F1629" s="22">
        <f ca="1"/>
        <v>132.85000600000001</v>
      </c>
      <c r="G1629" s="22">
        <f ca="1"/>
        <v>128.28926100000001</v>
      </c>
      <c r="H1629" s="69">
        <f ca="1"/>
        <v>14517800</v>
      </c>
      <c r="I1629" s="23" t="str">
        <f t="shared" ca="1" si="51"/>
        <v/>
      </c>
    </row>
    <row r="1630" spans="1:9" ht="13.8">
      <c r="A1630" s="20">
        <f t="shared" ca="1" si="50"/>
        <v>43634</v>
      </c>
      <c r="B1630" s="21" t="str">
        <f ca="1"/>
        <v>2019-06-18</v>
      </c>
      <c r="C1630" s="22">
        <f ca="1"/>
        <v>134.19000199999999</v>
      </c>
      <c r="D1630" s="22">
        <f ca="1"/>
        <v>135.240005</v>
      </c>
      <c r="E1630" s="22">
        <f ca="1"/>
        <v>133.570007</v>
      </c>
      <c r="F1630" s="22">
        <f ca="1"/>
        <v>135.16000399999999</v>
      </c>
      <c r="G1630" s="22">
        <f ca="1"/>
        <v>130.51992799999999</v>
      </c>
      <c r="H1630" s="69">
        <f ca="1"/>
        <v>25934500</v>
      </c>
      <c r="I1630" s="23" t="str">
        <f t="shared" ca="1" si="51"/>
        <v/>
      </c>
    </row>
    <row r="1631" spans="1:9" ht="13.8">
      <c r="A1631" s="20">
        <f t="shared" ca="1" si="50"/>
        <v>43635</v>
      </c>
      <c r="B1631" s="21" t="str">
        <f ca="1"/>
        <v>2019-06-19</v>
      </c>
      <c r="C1631" s="22">
        <f ca="1"/>
        <v>135</v>
      </c>
      <c r="D1631" s="22">
        <f ca="1"/>
        <v>135.929993</v>
      </c>
      <c r="E1631" s="22">
        <f ca="1"/>
        <v>133.80999800000001</v>
      </c>
      <c r="F1631" s="22">
        <f ca="1"/>
        <v>135.69000199999999</v>
      </c>
      <c r="G1631" s="22">
        <f ca="1"/>
        <v>131.031769</v>
      </c>
      <c r="H1631" s="69">
        <f ca="1"/>
        <v>23744400</v>
      </c>
      <c r="I1631" s="23" t="str">
        <f t="shared" ca="1" si="51"/>
        <v/>
      </c>
    </row>
    <row r="1632" spans="1:9" ht="13.8">
      <c r="A1632" s="20">
        <f t="shared" ca="1" si="50"/>
        <v>43636</v>
      </c>
      <c r="B1632" s="21" t="str">
        <f ca="1"/>
        <v>2019-06-20</v>
      </c>
      <c r="C1632" s="22">
        <f ca="1"/>
        <v>137.449997</v>
      </c>
      <c r="D1632" s="22">
        <f ca="1"/>
        <v>137.66000399999999</v>
      </c>
      <c r="E1632" s="22">
        <f ca="1"/>
        <v>135.720001</v>
      </c>
      <c r="F1632" s="22">
        <f ca="1"/>
        <v>136.949997</v>
      </c>
      <c r="G1632" s="22">
        <f ca="1"/>
        <v>132.24848900000001</v>
      </c>
      <c r="H1632" s="69">
        <f ca="1"/>
        <v>33042600</v>
      </c>
      <c r="I1632" s="23" t="str">
        <f t="shared" ca="1" si="51"/>
        <v/>
      </c>
    </row>
    <row r="1633" spans="1:9" ht="13.8">
      <c r="A1633" s="20">
        <f t="shared" ca="1" si="50"/>
        <v>43637</v>
      </c>
      <c r="B1633" s="21" t="str">
        <f ca="1"/>
        <v>2019-06-21</v>
      </c>
      <c r="C1633" s="22">
        <f ca="1"/>
        <v>136.58000200000001</v>
      </c>
      <c r="D1633" s="22">
        <f ca="1"/>
        <v>137.729996</v>
      </c>
      <c r="E1633" s="22">
        <f ca="1"/>
        <v>136.46000699999999</v>
      </c>
      <c r="F1633" s="22">
        <f ca="1"/>
        <v>136.970001</v>
      </c>
      <c r="G1633" s="22">
        <f ca="1"/>
        <v>132.267822</v>
      </c>
      <c r="H1633" s="69">
        <f ca="1"/>
        <v>36727900</v>
      </c>
      <c r="I1633" s="23" t="str">
        <f t="shared" ca="1" si="51"/>
        <v/>
      </c>
    </row>
    <row r="1634" spans="1:9" ht="13.8">
      <c r="A1634" s="20">
        <f t="shared" ca="1" si="50"/>
        <v>43640</v>
      </c>
      <c r="B1634" s="21" t="str">
        <f ca="1"/>
        <v>2019-06-24</v>
      </c>
      <c r="C1634" s="22">
        <f ca="1"/>
        <v>137</v>
      </c>
      <c r="D1634" s="22">
        <f ca="1"/>
        <v>138.39999399999999</v>
      </c>
      <c r="E1634" s="22">
        <f ca="1"/>
        <v>137</v>
      </c>
      <c r="F1634" s="22">
        <f ca="1"/>
        <v>137.779999</v>
      </c>
      <c r="G1634" s="22">
        <f ca="1"/>
        <v>133.05001799999999</v>
      </c>
      <c r="H1634" s="69">
        <f ca="1"/>
        <v>20628800</v>
      </c>
      <c r="I1634" s="23" t="str">
        <f t="shared" ca="1" si="51"/>
        <v/>
      </c>
    </row>
    <row r="1635" spans="1:9" ht="13.8">
      <c r="A1635" s="20">
        <f t="shared" ca="1" si="50"/>
        <v>43641</v>
      </c>
      <c r="B1635" s="21" t="str">
        <f ca="1"/>
        <v>2019-06-25</v>
      </c>
      <c r="C1635" s="22">
        <f ca="1"/>
        <v>137.25</v>
      </c>
      <c r="D1635" s="22">
        <f ca="1"/>
        <v>137.58999600000001</v>
      </c>
      <c r="E1635" s="22">
        <f ca="1"/>
        <v>132.729996</v>
      </c>
      <c r="F1635" s="22">
        <f ca="1"/>
        <v>133.429993</v>
      </c>
      <c r="G1635" s="22">
        <f ca="1"/>
        <v>128.84934999999999</v>
      </c>
      <c r="H1635" s="69">
        <f ca="1"/>
        <v>33327400</v>
      </c>
      <c r="I1635" s="23" t="str">
        <f t="shared" ca="1" si="51"/>
        <v/>
      </c>
    </row>
    <row r="1636" spans="1:9" ht="13.8">
      <c r="A1636" s="20">
        <f t="shared" ca="1" si="50"/>
        <v>43642</v>
      </c>
      <c r="B1636" s="21" t="str">
        <f ca="1"/>
        <v>2019-06-26</v>
      </c>
      <c r="C1636" s="22">
        <f ca="1"/>
        <v>134.35000600000001</v>
      </c>
      <c r="D1636" s="22">
        <f ca="1"/>
        <v>135.740005</v>
      </c>
      <c r="E1636" s="22">
        <f ca="1"/>
        <v>133.60000600000001</v>
      </c>
      <c r="F1636" s="22">
        <f ca="1"/>
        <v>133.929993</v>
      </c>
      <c r="G1636" s="22">
        <f ca="1"/>
        <v>129.33216899999999</v>
      </c>
      <c r="H1636" s="69">
        <f ca="1"/>
        <v>23657700</v>
      </c>
      <c r="I1636" s="23" t="str">
        <f t="shared" ca="1" si="51"/>
        <v/>
      </c>
    </row>
    <row r="1637" spans="1:9" ht="13.8">
      <c r="A1637" s="20">
        <f t="shared" ca="1" si="50"/>
        <v>43643</v>
      </c>
      <c r="B1637" s="21" t="str">
        <f ca="1"/>
        <v>2019-06-27</v>
      </c>
      <c r="C1637" s="22">
        <f ca="1"/>
        <v>134.13999899999999</v>
      </c>
      <c r="D1637" s="22">
        <f ca="1"/>
        <v>134.71000699999999</v>
      </c>
      <c r="E1637" s="22">
        <f ca="1"/>
        <v>133.509995</v>
      </c>
      <c r="F1637" s="22">
        <f ca="1"/>
        <v>134.14999399999999</v>
      </c>
      <c r="G1637" s="22">
        <f ca="1"/>
        <v>129.544601</v>
      </c>
      <c r="H1637" s="69">
        <f ca="1"/>
        <v>16557500</v>
      </c>
      <c r="I1637" s="23" t="str">
        <f t="shared" ca="1" si="51"/>
        <v/>
      </c>
    </row>
    <row r="1638" spans="1:9" ht="13.8">
      <c r="A1638" s="20">
        <f t="shared" ca="1" si="50"/>
        <v>43644</v>
      </c>
      <c r="B1638" s="21" t="str">
        <f ca="1"/>
        <v>2019-06-28</v>
      </c>
      <c r="C1638" s="22">
        <f ca="1"/>
        <v>134.570007</v>
      </c>
      <c r="D1638" s="22">
        <f ca="1"/>
        <v>134.60000600000001</v>
      </c>
      <c r="E1638" s="22">
        <f ca="1"/>
        <v>133.16000399999999</v>
      </c>
      <c r="F1638" s="22">
        <f ca="1"/>
        <v>133.96000699999999</v>
      </c>
      <c r="G1638" s="22">
        <f ca="1"/>
        <v>129.361176</v>
      </c>
      <c r="H1638" s="69">
        <f ca="1"/>
        <v>30043000</v>
      </c>
      <c r="I1638" s="23" t="str">
        <f t="shared" ca="1" si="51"/>
        <v/>
      </c>
    </row>
    <row r="1639" spans="1:9" ht="13.8">
      <c r="A1639" s="20">
        <f t="shared" ca="1" si="50"/>
        <v>43647</v>
      </c>
      <c r="B1639" s="21" t="str">
        <f ca="1"/>
        <v>2019-07-01</v>
      </c>
      <c r="C1639" s="22">
        <f ca="1"/>
        <v>136.63000500000001</v>
      </c>
      <c r="D1639" s="22">
        <f ca="1"/>
        <v>136.699997</v>
      </c>
      <c r="E1639" s="22">
        <f ca="1"/>
        <v>134.970001</v>
      </c>
      <c r="F1639" s="22">
        <f ca="1"/>
        <v>135.679993</v>
      </c>
      <c r="G1639" s="22">
        <f ca="1"/>
        <v>131.02209500000001</v>
      </c>
      <c r="H1639" s="69">
        <f ca="1"/>
        <v>22613500</v>
      </c>
      <c r="I1639" s="23" t="str">
        <f t="shared" ca="1" si="51"/>
        <v/>
      </c>
    </row>
    <row r="1640" spans="1:9" ht="13.8">
      <c r="A1640" s="20">
        <f t="shared" ca="1" si="50"/>
        <v>43648</v>
      </c>
      <c r="B1640" s="21" t="str">
        <f ca="1"/>
        <v>2019-07-02</v>
      </c>
      <c r="C1640" s="22">
        <f ca="1"/>
        <v>136.11999499999999</v>
      </c>
      <c r="D1640" s="22">
        <f ca="1"/>
        <v>136.58999600000001</v>
      </c>
      <c r="E1640" s="22">
        <f ca="1"/>
        <v>135.33999600000001</v>
      </c>
      <c r="F1640" s="22">
        <f ca="1"/>
        <v>136.58000200000001</v>
      </c>
      <c r="G1640" s="22">
        <f ca="1"/>
        <v>131.89122</v>
      </c>
      <c r="H1640" s="69">
        <f ca="1"/>
        <v>15237800</v>
      </c>
      <c r="I1640" s="23" t="str">
        <f t="shared" ca="1" si="51"/>
        <v/>
      </c>
    </row>
    <row r="1641" spans="1:9" ht="13.8">
      <c r="A1641" s="20">
        <f t="shared" ca="1" si="50"/>
        <v>43649</v>
      </c>
      <c r="B1641" s="21" t="str">
        <f ca="1"/>
        <v>2019-07-03</v>
      </c>
      <c r="C1641" s="22">
        <f ca="1"/>
        <v>136.800003</v>
      </c>
      <c r="D1641" s="22">
        <f ca="1"/>
        <v>137.740005</v>
      </c>
      <c r="E1641" s="22">
        <f ca="1"/>
        <v>136.28999300000001</v>
      </c>
      <c r="F1641" s="22">
        <f ca="1"/>
        <v>137.46000699999999</v>
      </c>
      <c r="G1641" s="22">
        <f ca="1"/>
        <v>132.74101300000001</v>
      </c>
      <c r="H1641" s="69">
        <f ca="1"/>
        <v>13629300</v>
      </c>
      <c r="I1641" s="23" t="str">
        <f t="shared" ca="1" si="51"/>
        <v/>
      </c>
    </row>
    <row r="1642" spans="1:9" ht="13.8">
      <c r="A1642" s="20">
        <f t="shared" ca="1" si="50"/>
        <v>43651</v>
      </c>
      <c r="B1642" s="21" t="str">
        <f ca="1"/>
        <v>2019-07-05</v>
      </c>
      <c r="C1642" s="22">
        <f ca="1"/>
        <v>135.94000199999999</v>
      </c>
      <c r="D1642" s="22">
        <f ca="1"/>
        <v>137.33000200000001</v>
      </c>
      <c r="E1642" s="22">
        <f ca="1"/>
        <v>135.720001</v>
      </c>
      <c r="F1642" s="22">
        <f ca="1"/>
        <v>137.05999800000001</v>
      </c>
      <c r="G1642" s="22">
        <f ca="1"/>
        <v>132.354691</v>
      </c>
      <c r="H1642" s="69">
        <f ca="1"/>
        <v>18141100</v>
      </c>
      <c r="I1642" s="23" t="str">
        <f t="shared" ca="1" si="51"/>
        <v/>
      </c>
    </row>
    <row r="1643" spans="1:9" ht="13.8">
      <c r="A1643" s="20">
        <f t="shared" ca="1" si="50"/>
        <v>43654</v>
      </c>
      <c r="B1643" s="21" t="str">
        <f ca="1"/>
        <v>2019-07-08</v>
      </c>
      <c r="C1643" s="22">
        <f ca="1"/>
        <v>136.39999399999999</v>
      </c>
      <c r="D1643" s="22">
        <f ca="1"/>
        <v>137.10000600000001</v>
      </c>
      <c r="E1643" s="22">
        <f ca="1"/>
        <v>135.36999499999999</v>
      </c>
      <c r="F1643" s="22">
        <f ca="1"/>
        <v>136.96000699999999</v>
      </c>
      <c r="G1643" s="22">
        <f ca="1"/>
        <v>132.258163</v>
      </c>
      <c r="H1643" s="69">
        <f ca="1"/>
        <v>16779700</v>
      </c>
      <c r="I1643" s="23" t="str">
        <f t="shared" ca="1" si="51"/>
        <v/>
      </c>
    </row>
    <row r="1644" spans="1:9" ht="13.8">
      <c r="A1644" s="20">
        <f t="shared" ca="1" si="50"/>
        <v>43655</v>
      </c>
      <c r="B1644" s="21" t="str">
        <f ca="1"/>
        <v>2019-07-09</v>
      </c>
      <c r="C1644" s="22">
        <f ca="1"/>
        <v>136</v>
      </c>
      <c r="D1644" s="22">
        <f ca="1"/>
        <v>136.970001</v>
      </c>
      <c r="E1644" s="22">
        <f ca="1"/>
        <v>135.800003</v>
      </c>
      <c r="F1644" s="22">
        <f ca="1"/>
        <v>136.46000699999999</v>
      </c>
      <c r="G1644" s="22">
        <f ca="1"/>
        <v>131.77529899999999</v>
      </c>
      <c r="H1644" s="69">
        <f ca="1"/>
        <v>19953100</v>
      </c>
      <c r="I1644" s="23" t="str">
        <f t="shared" ca="1" si="51"/>
        <v/>
      </c>
    </row>
    <row r="1645" spans="1:9" ht="13.8">
      <c r="A1645" s="20">
        <f t="shared" ca="1" si="50"/>
        <v>43656</v>
      </c>
      <c r="B1645" s="21" t="str">
        <f ca="1"/>
        <v>2019-07-10</v>
      </c>
      <c r="C1645" s="22">
        <f ca="1"/>
        <v>137.13000500000001</v>
      </c>
      <c r="D1645" s="22">
        <f ca="1"/>
        <v>138.58000200000001</v>
      </c>
      <c r="E1645" s="22">
        <f ca="1"/>
        <v>137.020004</v>
      </c>
      <c r="F1645" s="22">
        <f ca="1"/>
        <v>137.85000600000001</v>
      </c>
      <c r="G1645" s="22">
        <f ca="1"/>
        <v>133.117615</v>
      </c>
      <c r="H1645" s="69">
        <f ca="1"/>
        <v>24204400</v>
      </c>
      <c r="I1645" s="23" t="str">
        <f t="shared" ca="1" si="51"/>
        <v/>
      </c>
    </row>
    <row r="1646" spans="1:9" ht="13.8">
      <c r="A1646" s="20">
        <f t="shared" ca="1" si="50"/>
        <v>43657</v>
      </c>
      <c r="B1646" s="21" t="str">
        <f ca="1"/>
        <v>2019-07-11</v>
      </c>
      <c r="C1646" s="22">
        <f ca="1"/>
        <v>138.199997</v>
      </c>
      <c r="D1646" s="22">
        <f ca="1"/>
        <v>139.220001</v>
      </c>
      <c r="E1646" s="22">
        <f ca="1"/>
        <v>137.86999499999999</v>
      </c>
      <c r="F1646" s="22">
        <f ca="1"/>
        <v>138.39999399999999</v>
      </c>
      <c r="G1646" s="22">
        <f ca="1"/>
        <v>133.648697</v>
      </c>
      <c r="H1646" s="69">
        <f ca="1"/>
        <v>22327900</v>
      </c>
      <c r="I1646" s="23" t="str">
        <f t="shared" ca="1" si="51"/>
        <v/>
      </c>
    </row>
    <row r="1647" spans="1:9" ht="13.8">
      <c r="A1647" s="20">
        <f t="shared" ca="1" si="50"/>
        <v>43658</v>
      </c>
      <c r="B1647" s="21" t="str">
        <f ca="1"/>
        <v>2019-07-12</v>
      </c>
      <c r="C1647" s="22">
        <f ca="1"/>
        <v>138.85000600000001</v>
      </c>
      <c r="D1647" s="22">
        <f ca="1"/>
        <v>139.13000500000001</v>
      </c>
      <c r="E1647" s="22">
        <f ca="1"/>
        <v>138.009995</v>
      </c>
      <c r="F1647" s="22">
        <f ca="1"/>
        <v>138.89999399999999</v>
      </c>
      <c r="G1647" s="22">
        <f ca="1"/>
        <v>134.13154599999999</v>
      </c>
      <c r="H1647" s="69">
        <f ca="1"/>
        <v>18936800</v>
      </c>
      <c r="I1647" s="23" t="str">
        <f t="shared" ca="1" si="51"/>
        <v/>
      </c>
    </row>
    <row r="1648" spans="1:9" ht="13.8">
      <c r="A1648" s="20">
        <f t="shared" ca="1" si="50"/>
        <v>43661</v>
      </c>
      <c r="B1648" s="21" t="str">
        <f ca="1"/>
        <v>2019-07-15</v>
      </c>
      <c r="C1648" s="22">
        <f ca="1"/>
        <v>139.44000199999999</v>
      </c>
      <c r="D1648" s="22">
        <f ca="1"/>
        <v>139.53999300000001</v>
      </c>
      <c r="E1648" s="22">
        <f ca="1"/>
        <v>138.46000699999999</v>
      </c>
      <c r="F1648" s="22">
        <f ca="1"/>
        <v>138.89999399999999</v>
      </c>
      <c r="G1648" s="22">
        <f ca="1"/>
        <v>134.13154599999999</v>
      </c>
      <c r="H1648" s="69">
        <f ca="1"/>
        <v>16651500</v>
      </c>
      <c r="I1648" s="23" t="str">
        <f t="shared" ca="1" si="51"/>
        <v/>
      </c>
    </row>
    <row r="1649" spans="1:9" ht="13.8">
      <c r="A1649" s="20">
        <f t="shared" ca="1" si="50"/>
        <v>43662</v>
      </c>
      <c r="B1649" s="21" t="str">
        <f ca="1"/>
        <v>2019-07-16</v>
      </c>
      <c r="C1649" s="22">
        <f ca="1"/>
        <v>138.96000699999999</v>
      </c>
      <c r="D1649" s="22">
        <f ca="1"/>
        <v>139.050003</v>
      </c>
      <c r="E1649" s="22">
        <f ca="1"/>
        <v>136.520004</v>
      </c>
      <c r="F1649" s="22">
        <f ca="1"/>
        <v>137.08000200000001</v>
      </c>
      <c r="G1649" s="22">
        <f ca="1"/>
        <v>132.37403900000001</v>
      </c>
      <c r="H1649" s="69">
        <f ca="1"/>
        <v>22726100</v>
      </c>
      <c r="I1649" s="23" t="str">
        <f t="shared" ca="1" si="51"/>
        <v/>
      </c>
    </row>
    <row r="1650" spans="1:9" ht="13.8">
      <c r="A1650" s="20">
        <f t="shared" ca="1" si="50"/>
        <v>43663</v>
      </c>
      <c r="B1650" s="21" t="str">
        <f ca="1"/>
        <v>2019-07-17</v>
      </c>
      <c r="C1650" s="22">
        <f ca="1"/>
        <v>137.699997</v>
      </c>
      <c r="D1650" s="22">
        <f ca="1"/>
        <v>137.929993</v>
      </c>
      <c r="E1650" s="22">
        <f ca="1"/>
        <v>136.220001</v>
      </c>
      <c r="F1650" s="22">
        <f ca="1"/>
        <v>136.270004</v>
      </c>
      <c r="G1650" s="22">
        <f ca="1"/>
        <v>131.59184300000001</v>
      </c>
      <c r="H1650" s="69">
        <f ca="1"/>
        <v>20211000</v>
      </c>
      <c r="I1650" s="23" t="str">
        <f t="shared" ca="1" si="51"/>
        <v/>
      </c>
    </row>
    <row r="1651" spans="1:9" ht="13.8">
      <c r="A1651" s="20">
        <f t="shared" ca="1" si="50"/>
        <v>43664</v>
      </c>
      <c r="B1651" s="21" t="str">
        <f ca="1"/>
        <v>2019-07-18</v>
      </c>
      <c r="C1651" s="22">
        <f ca="1"/>
        <v>135.550003</v>
      </c>
      <c r="D1651" s="22">
        <f ca="1"/>
        <v>136.61999499999999</v>
      </c>
      <c r="E1651" s="22">
        <f ca="1"/>
        <v>134.66999799999999</v>
      </c>
      <c r="F1651" s="22">
        <f ca="1"/>
        <v>136.41999799999999</v>
      </c>
      <c r="G1651" s="22">
        <f ca="1"/>
        <v>131.73666399999999</v>
      </c>
      <c r="H1651" s="69">
        <f ca="1"/>
        <v>30381800</v>
      </c>
      <c r="I1651" s="23" t="str">
        <f t="shared" ca="1" si="51"/>
        <v/>
      </c>
    </row>
    <row r="1652" spans="1:9" ht="13.8">
      <c r="A1652" s="20">
        <f t="shared" ca="1" si="50"/>
        <v>43665</v>
      </c>
      <c r="B1652" s="21" t="str">
        <f ca="1"/>
        <v>2019-07-19</v>
      </c>
      <c r="C1652" s="22">
        <f ca="1"/>
        <v>140.220001</v>
      </c>
      <c r="D1652" s="22">
        <f ca="1"/>
        <v>140.66999799999999</v>
      </c>
      <c r="E1652" s="22">
        <f ca="1"/>
        <v>136.449997</v>
      </c>
      <c r="F1652" s="22">
        <f ca="1"/>
        <v>136.61999499999999</v>
      </c>
      <c r="G1652" s="22">
        <f ca="1"/>
        <v>131.92984000000001</v>
      </c>
      <c r="H1652" s="69">
        <f ca="1"/>
        <v>48992400</v>
      </c>
      <c r="I1652" s="23" t="str">
        <f t="shared" ca="1" si="51"/>
        <v/>
      </c>
    </row>
    <row r="1653" spans="1:9" ht="13.8">
      <c r="A1653" s="20">
        <f t="shared" ca="1" si="50"/>
        <v>43668</v>
      </c>
      <c r="B1653" s="21" t="str">
        <f ca="1"/>
        <v>2019-07-22</v>
      </c>
      <c r="C1653" s="22">
        <f ca="1"/>
        <v>137.41000399999999</v>
      </c>
      <c r="D1653" s="22">
        <f ca="1"/>
        <v>139.19000199999999</v>
      </c>
      <c r="E1653" s="22">
        <f ca="1"/>
        <v>137.33000200000001</v>
      </c>
      <c r="F1653" s="22">
        <f ca="1"/>
        <v>138.429993</v>
      </c>
      <c r="G1653" s="22">
        <f ca="1"/>
        <v>133.67768899999999</v>
      </c>
      <c r="H1653" s="69">
        <f ca="1"/>
        <v>25074900</v>
      </c>
      <c r="I1653" s="23" t="str">
        <f t="shared" ca="1" si="51"/>
        <v/>
      </c>
    </row>
    <row r="1654" spans="1:9" ht="13.8">
      <c r="A1654" s="20">
        <f t="shared" ca="1" si="50"/>
        <v>43669</v>
      </c>
      <c r="B1654" s="21" t="str">
        <f ca="1"/>
        <v>2019-07-23</v>
      </c>
      <c r="C1654" s="22">
        <f ca="1"/>
        <v>139.759995</v>
      </c>
      <c r="D1654" s="22">
        <f ca="1"/>
        <v>139.990005</v>
      </c>
      <c r="E1654" s="22">
        <f ca="1"/>
        <v>138.029999</v>
      </c>
      <c r="F1654" s="22">
        <f ca="1"/>
        <v>139.28999300000001</v>
      </c>
      <c r="G1654" s="22">
        <f ca="1"/>
        <v>134.50817900000001</v>
      </c>
      <c r="H1654" s="69">
        <f ca="1"/>
        <v>18034600</v>
      </c>
      <c r="I1654" s="23" t="str">
        <f t="shared" ca="1" si="51"/>
        <v/>
      </c>
    </row>
    <row r="1655" spans="1:9" ht="13.8">
      <c r="A1655" s="20">
        <f t="shared" ca="1" si="50"/>
        <v>43670</v>
      </c>
      <c r="B1655" s="21" t="str">
        <f ca="1"/>
        <v>2019-07-24</v>
      </c>
      <c r="C1655" s="22">
        <f ca="1"/>
        <v>138.89999399999999</v>
      </c>
      <c r="D1655" s="22">
        <f ca="1"/>
        <v>140.740005</v>
      </c>
      <c r="E1655" s="22">
        <f ca="1"/>
        <v>138.85000600000001</v>
      </c>
      <c r="F1655" s="22">
        <f ca="1"/>
        <v>140.720001</v>
      </c>
      <c r="G1655" s="22">
        <f ca="1"/>
        <v>135.889084</v>
      </c>
      <c r="H1655" s="69">
        <f ca="1"/>
        <v>20738300</v>
      </c>
      <c r="I1655" s="23" t="str">
        <f t="shared" ca="1" si="51"/>
        <v/>
      </c>
    </row>
    <row r="1656" spans="1:9" ht="13.8">
      <c r="A1656" s="20">
        <f t="shared" ca="1" si="50"/>
        <v>43671</v>
      </c>
      <c r="B1656" s="21" t="str">
        <f ca="1"/>
        <v>2019-07-25</v>
      </c>
      <c r="C1656" s="22">
        <f ca="1"/>
        <v>140.429993</v>
      </c>
      <c r="D1656" s="22">
        <f ca="1"/>
        <v>140.61000100000001</v>
      </c>
      <c r="E1656" s="22">
        <f ca="1"/>
        <v>139.320007</v>
      </c>
      <c r="F1656" s="22">
        <f ca="1"/>
        <v>140.19000199999999</v>
      </c>
      <c r="G1656" s="22">
        <f ca="1"/>
        <v>135.37728899999999</v>
      </c>
      <c r="H1656" s="69">
        <f ca="1"/>
        <v>18356900</v>
      </c>
      <c r="I1656" s="23" t="str">
        <f t="shared" ca="1" si="51"/>
        <v/>
      </c>
    </row>
    <row r="1657" spans="1:9" ht="13.8">
      <c r="A1657" s="20">
        <f t="shared" ca="1" si="50"/>
        <v>43672</v>
      </c>
      <c r="B1657" s="21" t="str">
        <f ca="1"/>
        <v>2019-07-26</v>
      </c>
      <c r="C1657" s="22">
        <f ca="1"/>
        <v>140.36999499999999</v>
      </c>
      <c r="D1657" s="22">
        <f ca="1"/>
        <v>141.679993</v>
      </c>
      <c r="E1657" s="22">
        <f ca="1"/>
        <v>140.300003</v>
      </c>
      <c r="F1657" s="22">
        <f ca="1"/>
        <v>141.33999600000001</v>
      </c>
      <c r="G1657" s="22">
        <f ca="1"/>
        <v>136.487762</v>
      </c>
      <c r="H1657" s="69">
        <f ca="1"/>
        <v>19037600</v>
      </c>
      <c r="I1657" s="23" t="str">
        <f t="shared" ca="1" si="51"/>
        <v/>
      </c>
    </row>
    <row r="1658" spans="1:9" ht="13.8">
      <c r="A1658" s="20">
        <f t="shared" ca="1" si="50"/>
        <v>43675</v>
      </c>
      <c r="B1658" s="21" t="str">
        <f ca="1"/>
        <v>2019-07-29</v>
      </c>
      <c r="C1658" s="22">
        <f ca="1"/>
        <v>141.5</v>
      </c>
      <c r="D1658" s="22">
        <f ca="1"/>
        <v>141.509995</v>
      </c>
      <c r="E1658" s="22">
        <f ca="1"/>
        <v>139.36999499999999</v>
      </c>
      <c r="F1658" s="22">
        <f ca="1"/>
        <v>141.029999</v>
      </c>
      <c r="G1658" s="22">
        <f ca="1"/>
        <v>136.18843100000001</v>
      </c>
      <c r="H1658" s="69">
        <f ca="1"/>
        <v>16605900</v>
      </c>
      <c r="I1658" s="23" t="str">
        <f t="shared" ca="1" si="51"/>
        <v/>
      </c>
    </row>
    <row r="1659" spans="1:9" ht="13.8">
      <c r="A1659" s="20">
        <f t="shared" ca="1" si="50"/>
        <v>43676</v>
      </c>
      <c r="B1659" s="21" t="str">
        <f ca="1"/>
        <v>2019-07-30</v>
      </c>
      <c r="C1659" s="22">
        <f ca="1"/>
        <v>140.13999899999999</v>
      </c>
      <c r="D1659" s="22">
        <f ca="1"/>
        <v>141.220001</v>
      </c>
      <c r="E1659" s="22">
        <f ca="1"/>
        <v>139.800003</v>
      </c>
      <c r="F1659" s="22">
        <f ca="1"/>
        <v>140.35000600000001</v>
      </c>
      <c r="G1659" s="22">
        <f ca="1"/>
        <v>135.53178399999999</v>
      </c>
      <c r="H1659" s="69">
        <f ca="1"/>
        <v>16846500</v>
      </c>
      <c r="I1659" s="23" t="str">
        <f t="shared" ca="1" si="51"/>
        <v/>
      </c>
    </row>
    <row r="1660" spans="1:9" ht="13.8">
      <c r="A1660" s="20">
        <f t="shared" ca="1" si="50"/>
        <v>43677</v>
      </c>
      <c r="B1660" s="21" t="str">
        <f ca="1"/>
        <v>2019-07-31</v>
      </c>
      <c r="C1660" s="22">
        <f ca="1"/>
        <v>140.33000200000001</v>
      </c>
      <c r="D1660" s="22">
        <f ca="1"/>
        <v>140.490005</v>
      </c>
      <c r="E1660" s="22">
        <f ca="1"/>
        <v>135.08000200000001</v>
      </c>
      <c r="F1660" s="22">
        <f ca="1"/>
        <v>136.270004</v>
      </c>
      <c r="G1660" s="22">
        <f ca="1"/>
        <v>131.59184300000001</v>
      </c>
      <c r="H1660" s="69">
        <f ca="1"/>
        <v>38598800</v>
      </c>
      <c r="I1660" s="23" t="str">
        <f t="shared" ca="1" si="51"/>
        <v/>
      </c>
    </row>
    <row r="1661" spans="1:9" ht="13.8">
      <c r="A1661" s="20">
        <f t="shared" ca="1" si="50"/>
        <v>43678</v>
      </c>
      <c r="B1661" s="21" t="str">
        <f ca="1"/>
        <v>2019-08-01</v>
      </c>
      <c r="C1661" s="22">
        <f ca="1"/>
        <v>137</v>
      </c>
      <c r="D1661" s="22">
        <f ca="1"/>
        <v>140.94000199999999</v>
      </c>
      <c r="E1661" s="22">
        <f ca="1"/>
        <v>136.929993</v>
      </c>
      <c r="F1661" s="22">
        <f ca="1"/>
        <v>138.05999800000001</v>
      </c>
      <c r="G1661" s="22">
        <f ca="1"/>
        <v>133.32041899999999</v>
      </c>
      <c r="H1661" s="69">
        <f ca="1"/>
        <v>40557500</v>
      </c>
      <c r="I1661" s="23" t="str">
        <f t="shared" ca="1" si="51"/>
        <v/>
      </c>
    </row>
    <row r="1662" spans="1:9" ht="13.8">
      <c r="A1662" s="20">
        <f t="shared" ca="1" si="50"/>
        <v>43679</v>
      </c>
      <c r="B1662" s="21" t="str">
        <f ca="1"/>
        <v>2019-08-02</v>
      </c>
      <c r="C1662" s="22">
        <f ca="1"/>
        <v>138.08999600000001</v>
      </c>
      <c r="D1662" s="22">
        <f ca="1"/>
        <v>138.320007</v>
      </c>
      <c r="E1662" s="22">
        <f ca="1"/>
        <v>135.259995</v>
      </c>
      <c r="F1662" s="22">
        <f ca="1"/>
        <v>136.89999399999999</v>
      </c>
      <c r="G1662" s="22">
        <f ca="1"/>
        <v>132.20017999999999</v>
      </c>
      <c r="H1662" s="69">
        <f ca="1"/>
        <v>30791600</v>
      </c>
      <c r="I1662" s="23" t="str">
        <f t="shared" ca="1" si="51"/>
        <v/>
      </c>
    </row>
    <row r="1663" spans="1:9" ht="13.8">
      <c r="A1663" s="20">
        <f t="shared" ca="1" si="50"/>
        <v>43682</v>
      </c>
      <c r="B1663" s="21" t="str">
        <f ca="1"/>
        <v>2019-08-05</v>
      </c>
      <c r="C1663" s="22">
        <f ca="1"/>
        <v>133.300003</v>
      </c>
      <c r="D1663" s="22">
        <f ca="1"/>
        <v>133.929993</v>
      </c>
      <c r="E1663" s="22">
        <f ca="1"/>
        <v>130.779999</v>
      </c>
      <c r="F1663" s="22">
        <f ca="1"/>
        <v>132.21000699999999</v>
      </c>
      <c r="G1663" s="22">
        <f ca="1"/>
        <v>127.671272</v>
      </c>
      <c r="H1663" s="69">
        <f ca="1"/>
        <v>42749600</v>
      </c>
      <c r="I1663" s="23" t="str">
        <f t="shared" ca="1" si="51"/>
        <v/>
      </c>
    </row>
    <row r="1664" spans="1:9" ht="13.8">
      <c r="A1664" s="20">
        <f t="shared" ca="1" si="50"/>
        <v>43683</v>
      </c>
      <c r="B1664" s="21" t="str">
        <f ca="1"/>
        <v>2019-08-06</v>
      </c>
      <c r="C1664" s="22">
        <f ca="1"/>
        <v>133.800003</v>
      </c>
      <c r="D1664" s="22">
        <f ca="1"/>
        <v>135.679993</v>
      </c>
      <c r="E1664" s="22">
        <f ca="1"/>
        <v>133.21000699999999</v>
      </c>
      <c r="F1664" s="22">
        <f ca="1"/>
        <v>134.69000199999999</v>
      </c>
      <c r="G1664" s="22">
        <f ca="1"/>
        <v>130.06605500000001</v>
      </c>
      <c r="H1664" s="69">
        <f ca="1"/>
        <v>32696700</v>
      </c>
      <c r="I1664" s="23" t="str">
        <f t="shared" ca="1" si="51"/>
        <v/>
      </c>
    </row>
    <row r="1665" spans="1:9" ht="13.8">
      <c r="A1665" s="20">
        <f t="shared" ca="1" si="50"/>
        <v>43684</v>
      </c>
      <c r="B1665" s="21" t="str">
        <f ca="1"/>
        <v>2019-08-07</v>
      </c>
      <c r="C1665" s="22">
        <f ca="1"/>
        <v>133.78999300000001</v>
      </c>
      <c r="D1665" s="22">
        <f ca="1"/>
        <v>135.64999399999999</v>
      </c>
      <c r="E1665" s="22">
        <f ca="1"/>
        <v>131.83000200000001</v>
      </c>
      <c r="F1665" s="22">
        <f ca="1"/>
        <v>135.279999</v>
      </c>
      <c r="G1665" s="22">
        <f ca="1"/>
        <v>130.63584900000001</v>
      </c>
      <c r="H1665" s="69">
        <f ca="1"/>
        <v>33414500</v>
      </c>
      <c r="I1665" s="23" t="str">
        <f t="shared" ca="1" si="51"/>
        <v/>
      </c>
    </row>
    <row r="1666" spans="1:9" ht="13.8">
      <c r="A1666" s="20">
        <f t="shared" ca="1" si="50"/>
        <v>43685</v>
      </c>
      <c r="B1666" s="21" t="str">
        <f ca="1"/>
        <v>2019-08-08</v>
      </c>
      <c r="C1666" s="22">
        <f ca="1"/>
        <v>136.60000600000001</v>
      </c>
      <c r="D1666" s="22">
        <f ca="1"/>
        <v>138.990005</v>
      </c>
      <c r="E1666" s="22">
        <f ca="1"/>
        <v>135.929993</v>
      </c>
      <c r="F1666" s="22">
        <f ca="1"/>
        <v>138.88999899999999</v>
      </c>
      <c r="G1666" s="22">
        <f ca="1"/>
        <v>134.12190200000001</v>
      </c>
      <c r="H1666" s="69">
        <f ca="1"/>
        <v>27496500</v>
      </c>
      <c r="I1666" s="23" t="str">
        <f t="shared" ca="1" si="51"/>
        <v/>
      </c>
    </row>
    <row r="1667" spans="1:9" ht="13.8">
      <c r="A1667" s="20">
        <f t="shared" ca="1" si="50"/>
        <v>43686</v>
      </c>
      <c r="B1667" s="21" t="str">
        <f ca="1"/>
        <v>2019-08-09</v>
      </c>
      <c r="C1667" s="22">
        <f ca="1"/>
        <v>138.61000100000001</v>
      </c>
      <c r="D1667" s="22">
        <f ca="1"/>
        <v>139.38000500000001</v>
      </c>
      <c r="E1667" s="22">
        <f ca="1"/>
        <v>136.46000699999999</v>
      </c>
      <c r="F1667" s="22">
        <f ca="1"/>
        <v>137.71000699999999</v>
      </c>
      <c r="G1667" s="22">
        <f ca="1"/>
        <v>132.982437</v>
      </c>
      <c r="H1667" s="69">
        <f ca="1"/>
        <v>23466700</v>
      </c>
      <c r="I1667" s="23" t="str">
        <f t="shared" ca="1" si="51"/>
        <v/>
      </c>
    </row>
    <row r="1668" spans="1:9" ht="13.8">
      <c r="A1668" s="20">
        <f t="shared" ca="1" si="50"/>
        <v>43689</v>
      </c>
      <c r="B1668" s="21" t="str">
        <f ca="1"/>
        <v>2019-08-12</v>
      </c>
      <c r="C1668" s="22">
        <f ca="1"/>
        <v>137.070007</v>
      </c>
      <c r="D1668" s="22">
        <f ca="1"/>
        <v>137.86000100000001</v>
      </c>
      <c r="E1668" s="22">
        <f ca="1"/>
        <v>135.240005</v>
      </c>
      <c r="F1668" s="22">
        <f ca="1"/>
        <v>135.78999300000001</v>
      </c>
      <c r="G1668" s="22">
        <f ca="1"/>
        <v>131.12832599999999</v>
      </c>
      <c r="H1668" s="69">
        <f ca="1"/>
        <v>20484300</v>
      </c>
      <c r="I1668" s="23" t="str">
        <f t="shared" ca="1" si="51"/>
        <v/>
      </c>
    </row>
    <row r="1669" spans="1:9" ht="13.8">
      <c r="A1669" s="20">
        <f t="shared" ca="1" si="50"/>
        <v>43690</v>
      </c>
      <c r="B1669" s="21" t="str">
        <f ca="1"/>
        <v>2019-08-13</v>
      </c>
      <c r="C1669" s="22">
        <f ca="1"/>
        <v>136.050003</v>
      </c>
      <c r="D1669" s="22">
        <f ca="1"/>
        <v>138.800003</v>
      </c>
      <c r="E1669" s="22">
        <f ca="1"/>
        <v>135</v>
      </c>
      <c r="F1669" s="22">
        <f ca="1"/>
        <v>138.60000600000001</v>
      </c>
      <c r="G1669" s="22">
        <f ca="1"/>
        <v>133.84182699999999</v>
      </c>
      <c r="H1669" s="69">
        <f ca="1"/>
        <v>25154600</v>
      </c>
      <c r="I1669" s="23" t="str">
        <f t="shared" ca="1" si="51"/>
        <v/>
      </c>
    </row>
    <row r="1670" spans="1:9" ht="13.8">
      <c r="A1670" s="20">
        <f t="shared" ref="A1670:A1733" ca="1" si="52">IFERROR(DATEVALUE($B1670),"--")</f>
        <v>43691</v>
      </c>
      <c r="B1670" s="21" t="str">
        <f ca="1"/>
        <v>2019-08-14</v>
      </c>
      <c r="C1670" s="22">
        <f ca="1"/>
        <v>136.36000100000001</v>
      </c>
      <c r="D1670" s="22">
        <f ca="1"/>
        <v>136.91999799999999</v>
      </c>
      <c r="E1670" s="22">
        <f ca="1"/>
        <v>133.66999799999999</v>
      </c>
      <c r="F1670" s="22">
        <f ca="1"/>
        <v>133.979996</v>
      </c>
      <c r="G1670" s="22">
        <f ca="1"/>
        <v>129.81126399999999</v>
      </c>
      <c r="H1670" s="69">
        <f ca="1"/>
        <v>32527300</v>
      </c>
      <c r="I1670" s="23">
        <f t="shared" ref="I1670:I1733" ca="1" si="53">IFERROR(IF(Ticker&lt;&gt;$Q$2,"",INDEX($P:$P,MATCH($A1670,$O:$O,0))),"")</f>
        <v>0.46</v>
      </c>
    </row>
    <row r="1671" spans="1:9" ht="13.8">
      <c r="A1671" s="20">
        <f t="shared" ca="1" si="52"/>
        <v>43692</v>
      </c>
      <c r="B1671" s="21" t="str">
        <f ca="1"/>
        <v>2019-08-15</v>
      </c>
      <c r="C1671" s="22">
        <f ca="1"/>
        <v>134.38999899999999</v>
      </c>
      <c r="D1671" s="22">
        <f ca="1"/>
        <v>134.58000200000001</v>
      </c>
      <c r="E1671" s="22">
        <f ca="1"/>
        <v>132.25</v>
      </c>
      <c r="F1671" s="22">
        <f ca="1"/>
        <v>133.679993</v>
      </c>
      <c r="G1671" s="22">
        <f ca="1"/>
        <v>129.52061499999999</v>
      </c>
      <c r="H1671" s="69">
        <f ca="1"/>
        <v>28074400</v>
      </c>
      <c r="I1671" s="23" t="str">
        <f t="shared" ca="1" si="53"/>
        <v/>
      </c>
    </row>
    <row r="1672" spans="1:9" ht="13.8">
      <c r="A1672" s="20">
        <f t="shared" ca="1" si="52"/>
        <v>43693</v>
      </c>
      <c r="B1672" s="21" t="str">
        <f ca="1"/>
        <v>2019-08-16</v>
      </c>
      <c r="C1672" s="22">
        <f ca="1"/>
        <v>134.88000500000001</v>
      </c>
      <c r="D1672" s="22">
        <f ca="1"/>
        <v>136.46000699999999</v>
      </c>
      <c r="E1672" s="22">
        <f ca="1"/>
        <v>134.720001</v>
      </c>
      <c r="F1672" s="22">
        <f ca="1"/>
        <v>136.13000500000001</v>
      </c>
      <c r="G1672" s="22">
        <f ca="1"/>
        <v>131.89439400000001</v>
      </c>
      <c r="H1672" s="69">
        <f ca="1"/>
        <v>24449100</v>
      </c>
      <c r="I1672" s="23" t="str">
        <f t="shared" ca="1" si="53"/>
        <v/>
      </c>
    </row>
    <row r="1673" spans="1:9" ht="13.8">
      <c r="A1673" s="20">
        <f t="shared" ca="1" si="52"/>
        <v>43696</v>
      </c>
      <c r="B1673" s="21" t="str">
        <f ca="1"/>
        <v>2019-08-19</v>
      </c>
      <c r="C1673" s="22">
        <f ca="1"/>
        <v>137.85000600000001</v>
      </c>
      <c r="D1673" s="22">
        <f ca="1"/>
        <v>138.550003</v>
      </c>
      <c r="E1673" s="22">
        <f ca="1"/>
        <v>136.88999899999999</v>
      </c>
      <c r="F1673" s="22">
        <f ca="1"/>
        <v>138.41000399999999</v>
      </c>
      <c r="G1673" s="22">
        <f ca="1"/>
        <v>134.103455</v>
      </c>
      <c r="H1673" s="69">
        <f ca="1"/>
        <v>24355700</v>
      </c>
      <c r="I1673" s="23" t="str">
        <f t="shared" ca="1" si="53"/>
        <v/>
      </c>
    </row>
    <row r="1674" spans="1:9" ht="13.8">
      <c r="A1674" s="20">
        <f t="shared" ca="1" si="52"/>
        <v>43697</v>
      </c>
      <c r="B1674" s="21" t="str">
        <f ca="1"/>
        <v>2019-08-20</v>
      </c>
      <c r="C1674" s="22">
        <f ca="1"/>
        <v>138.21000699999999</v>
      </c>
      <c r="D1674" s="22">
        <f ca="1"/>
        <v>138.71000699999999</v>
      </c>
      <c r="E1674" s="22">
        <f ca="1"/>
        <v>137.240005</v>
      </c>
      <c r="F1674" s="22">
        <f ca="1"/>
        <v>137.259995</v>
      </c>
      <c r="G1674" s="22">
        <f ca="1"/>
        <v>132.989227</v>
      </c>
      <c r="H1674" s="69">
        <f ca="1"/>
        <v>21170800</v>
      </c>
      <c r="I1674" s="23" t="str">
        <f t="shared" ca="1" si="53"/>
        <v/>
      </c>
    </row>
    <row r="1675" spans="1:9" ht="13.8">
      <c r="A1675" s="20">
        <f t="shared" ca="1" si="52"/>
        <v>43698</v>
      </c>
      <c r="B1675" s="21" t="str">
        <f ca="1"/>
        <v>2019-08-21</v>
      </c>
      <c r="C1675" s="22">
        <f ca="1"/>
        <v>138.550003</v>
      </c>
      <c r="D1675" s="22">
        <f ca="1"/>
        <v>139.490005</v>
      </c>
      <c r="E1675" s="22">
        <f ca="1"/>
        <v>138</v>
      </c>
      <c r="F1675" s="22">
        <f ca="1"/>
        <v>138.78999300000001</v>
      </c>
      <c r="G1675" s="22">
        <f ca="1"/>
        <v>134.471588</v>
      </c>
      <c r="H1675" s="69">
        <f ca="1"/>
        <v>14970300</v>
      </c>
      <c r="I1675" s="23" t="str">
        <f t="shared" ca="1" si="53"/>
        <v/>
      </c>
    </row>
    <row r="1676" spans="1:9" ht="13.8">
      <c r="A1676" s="20">
        <f t="shared" ca="1" si="52"/>
        <v>43699</v>
      </c>
      <c r="B1676" s="21" t="str">
        <f ca="1"/>
        <v>2019-08-22</v>
      </c>
      <c r="C1676" s="22">
        <f ca="1"/>
        <v>138.66000399999999</v>
      </c>
      <c r="D1676" s="22">
        <f ca="1"/>
        <v>139.199997</v>
      </c>
      <c r="E1676" s="22">
        <f ca="1"/>
        <v>136.28999300000001</v>
      </c>
      <c r="F1676" s="22">
        <f ca="1"/>
        <v>137.779999</v>
      </c>
      <c r="G1676" s="22">
        <f ca="1"/>
        <v>133.49305699999999</v>
      </c>
      <c r="H1676" s="69">
        <f ca="1"/>
        <v>18697000</v>
      </c>
      <c r="I1676" s="23" t="str">
        <f t="shared" ca="1" si="53"/>
        <v/>
      </c>
    </row>
    <row r="1677" spans="1:9" ht="13.8">
      <c r="A1677" s="20">
        <f t="shared" ca="1" si="52"/>
        <v>43700</v>
      </c>
      <c r="B1677" s="21" t="str">
        <f ca="1"/>
        <v>2019-08-23</v>
      </c>
      <c r="C1677" s="22">
        <f ca="1"/>
        <v>137.19000199999999</v>
      </c>
      <c r="D1677" s="22">
        <f ca="1"/>
        <v>138.35000600000001</v>
      </c>
      <c r="E1677" s="22">
        <f ca="1"/>
        <v>132.800003</v>
      </c>
      <c r="F1677" s="22">
        <f ca="1"/>
        <v>133.38999899999999</v>
      </c>
      <c r="G1677" s="22">
        <f ca="1"/>
        <v>129.23963900000001</v>
      </c>
      <c r="H1677" s="69">
        <f ca="1"/>
        <v>38508600</v>
      </c>
      <c r="I1677" s="23" t="str">
        <f t="shared" ca="1" si="53"/>
        <v/>
      </c>
    </row>
    <row r="1678" spans="1:9" ht="13.8">
      <c r="A1678" s="20">
        <f t="shared" ca="1" si="52"/>
        <v>43703</v>
      </c>
      <c r="B1678" s="21" t="str">
        <f ca="1"/>
        <v>2019-08-26</v>
      </c>
      <c r="C1678" s="22">
        <f ca="1"/>
        <v>134.990005</v>
      </c>
      <c r="D1678" s="22">
        <f ca="1"/>
        <v>135.55999800000001</v>
      </c>
      <c r="E1678" s="22">
        <f ca="1"/>
        <v>133.89999399999999</v>
      </c>
      <c r="F1678" s="22">
        <f ca="1"/>
        <v>135.449997</v>
      </c>
      <c r="G1678" s="22">
        <f ca="1"/>
        <v>131.23556500000001</v>
      </c>
      <c r="H1678" s="69">
        <f ca="1"/>
        <v>20312600</v>
      </c>
      <c r="I1678" s="23" t="str">
        <f t="shared" ca="1" si="53"/>
        <v/>
      </c>
    </row>
    <row r="1679" spans="1:9" ht="13.8">
      <c r="A1679" s="20">
        <f t="shared" ca="1" si="52"/>
        <v>43704</v>
      </c>
      <c r="B1679" s="21" t="str">
        <f ca="1"/>
        <v>2019-08-27</v>
      </c>
      <c r="C1679" s="22">
        <f ca="1"/>
        <v>136.38999899999999</v>
      </c>
      <c r="D1679" s="22">
        <f ca="1"/>
        <v>136.720001</v>
      </c>
      <c r="E1679" s="22">
        <f ca="1"/>
        <v>134.66000399999999</v>
      </c>
      <c r="F1679" s="22">
        <f ca="1"/>
        <v>135.740005</v>
      </c>
      <c r="G1679" s="22">
        <f ca="1"/>
        <v>131.51655600000001</v>
      </c>
      <c r="H1679" s="69">
        <f ca="1"/>
        <v>23102100</v>
      </c>
      <c r="I1679" s="23" t="str">
        <f t="shared" ca="1" si="53"/>
        <v/>
      </c>
    </row>
    <row r="1680" spans="1:9" ht="13.8">
      <c r="A1680" s="20">
        <f t="shared" ca="1" si="52"/>
        <v>43705</v>
      </c>
      <c r="B1680" s="21" t="str">
        <f ca="1"/>
        <v>2019-08-28</v>
      </c>
      <c r="C1680" s="22">
        <f ca="1"/>
        <v>134.88000500000001</v>
      </c>
      <c r="D1680" s="22">
        <f ca="1"/>
        <v>135.759995</v>
      </c>
      <c r="E1680" s="22">
        <f ca="1"/>
        <v>133.550003</v>
      </c>
      <c r="F1680" s="22">
        <f ca="1"/>
        <v>135.55999800000001</v>
      </c>
      <c r="G1680" s="22">
        <f ca="1"/>
        <v>131.34210200000001</v>
      </c>
      <c r="H1680" s="69">
        <f ca="1"/>
        <v>17393300</v>
      </c>
      <c r="I1680" s="23" t="str">
        <f t="shared" ca="1" si="53"/>
        <v/>
      </c>
    </row>
    <row r="1681" spans="1:9" ht="13.8">
      <c r="A1681" s="20">
        <f t="shared" ca="1" si="52"/>
        <v>43706</v>
      </c>
      <c r="B1681" s="21" t="str">
        <f ca="1"/>
        <v>2019-08-29</v>
      </c>
      <c r="C1681" s="22">
        <f ca="1"/>
        <v>137.25</v>
      </c>
      <c r="D1681" s="22">
        <f ca="1"/>
        <v>138.44000199999999</v>
      </c>
      <c r="E1681" s="22">
        <f ca="1"/>
        <v>136.91000399999999</v>
      </c>
      <c r="F1681" s="22">
        <f ca="1"/>
        <v>138.11999499999999</v>
      </c>
      <c r="G1681" s="22">
        <f ca="1"/>
        <v>133.822464</v>
      </c>
      <c r="H1681" s="69">
        <f ca="1"/>
        <v>20168700</v>
      </c>
      <c r="I1681" s="23" t="str">
        <f t="shared" ca="1" si="53"/>
        <v/>
      </c>
    </row>
    <row r="1682" spans="1:9" ht="13.8">
      <c r="A1682" s="20">
        <f t="shared" ca="1" si="52"/>
        <v>43707</v>
      </c>
      <c r="B1682" s="21" t="str">
        <f ca="1"/>
        <v>2019-08-30</v>
      </c>
      <c r="C1682" s="22">
        <f ca="1"/>
        <v>139.14999399999999</v>
      </c>
      <c r="D1682" s="22">
        <f ca="1"/>
        <v>139.179993</v>
      </c>
      <c r="E1682" s="22">
        <f ca="1"/>
        <v>136.270004</v>
      </c>
      <c r="F1682" s="22">
        <f ca="1"/>
        <v>137.86000100000001</v>
      </c>
      <c r="G1682" s="22">
        <f ca="1"/>
        <v>133.57060200000001</v>
      </c>
      <c r="H1682" s="69">
        <f ca="1"/>
        <v>23940100</v>
      </c>
      <c r="I1682" s="23" t="str">
        <f t="shared" ca="1" si="53"/>
        <v/>
      </c>
    </row>
    <row r="1683" spans="1:9" ht="13.8">
      <c r="A1683" s="20">
        <f t="shared" ca="1" si="52"/>
        <v>43711</v>
      </c>
      <c r="B1683" s="21" t="str">
        <f ca="1"/>
        <v>2019-09-03</v>
      </c>
      <c r="C1683" s="22">
        <f ca="1"/>
        <v>136.61000100000001</v>
      </c>
      <c r="D1683" s="22">
        <f ca="1"/>
        <v>137.199997</v>
      </c>
      <c r="E1683" s="22">
        <f ca="1"/>
        <v>135.699997</v>
      </c>
      <c r="F1683" s="22">
        <f ca="1"/>
        <v>136.03999300000001</v>
      </c>
      <c r="G1683" s="22">
        <f ca="1"/>
        <v>131.807175</v>
      </c>
      <c r="H1683" s="69">
        <f ca="1"/>
        <v>18869300</v>
      </c>
      <c r="I1683" s="23" t="str">
        <f t="shared" ca="1" si="53"/>
        <v/>
      </c>
    </row>
    <row r="1684" spans="1:9" ht="13.8">
      <c r="A1684" s="20">
        <f t="shared" ca="1" si="52"/>
        <v>43712</v>
      </c>
      <c r="B1684" s="21" t="str">
        <f ca="1"/>
        <v>2019-09-04</v>
      </c>
      <c r="C1684" s="22">
        <f ca="1"/>
        <v>137.300003</v>
      </c>
      <c r="D1684" s="22">
        <f ca="1"/>
        <v>137.69000199999999</v>
      </c>
      <c r="E1684" s="22">
        <f ca="1"/>
        <v>136.479996</v>
      </c>
      <c r="F1684" s="22">
        <f ca="1"/>
        <v>137.63000500000001</v>
      </c>
      <c r="G1684" s="22">
        <f ca="1"/>
        <v>133.34773300000001</v>
      </c>
      <c r="H1684" s="69">
        <f ca="1"/>
        <v>17995900</v>
      </c>
      <c r="I1684" s="23" t="str">
        <f t="shared" ca="1" si="53"/>
        <v/>
      </c>
    </row>
    <row r="1685" spans="1:9" ht="13.8">
      <c r="A1685" s="20">
        <f t="shared" ca="1" si="52"/>
        <v>43713</v>
      </c>
      <c r="B1685" s="21" t="str">
        <f ca="1"/>
        <v>2019-09-05</v>
      </c>
      <c r="C1685" s="22">
        <f ca="1"/>
        <v>139.11000100000001</v>
      </c>
      <c r="D1685" s="22">
        <f ca="1"/>
        <v>140.38000500000001</v>
      </c>
      <c r="E1685" s="22">
        <f ca="1"/>
        <v>138.759995</v>
      </c>
      <c r="F1685" s="22">
        <f ca="1"/>
        <v>140.050003</v>
      </c>
      <c r="G1685" s="22">
        <f ca="1"/>
        <v>135.69245900000001</v>
      </c>
      <c r="H1685" s="69">
        <f ca="1"/>
        <v>26101800</v>
      </c>
      <c r="I1685" s="23" t="str">
        <f t="shared" ca="1" si="53"/>
        <v/>
      </c>
    </row>
    <row r="1686" spans="1:9" ht="13.8">
      <c r="A1686" s="20">
        <f t="shared" ca="1" si="52"/>
        <v>43714</v>
      </c>
      <c r="B1686" s="21" t="str">
        <f ca="1"/>
        <v>2019-09-06</v>
      </c>
      <c r="C1686" s="22">
        <f ca="1"/>
        <v>140.029999</v>
      </c>
      <c r="D1686" s="22">
        <f ca="1"/>
        <v>140.179993</v>
      </c>
      <c r="E1686" s="22">
        <f ca="1"/>
        <v>138.199997</v>
      </c>
      <c r="F1686" s="22">
        <f ca="1"/>
        <v>139.10000600000001</v>
      </c>
      <c r="G1686" s="22">
        <f ca="1"/>
        <v>134.771973</v>
      </c>
      <c r="H1686" s="69">
        <f ca="1"/>
        <v>20824500</v>
      </c>
      <c r="I1686" s="23" t="str">
        <f t="shared" ca="1" si="53"/>
        <v/>
      </c>
    </row>
    <row r="1687" spans="1:9" ht="13.8">
      <c r="A1687" s="20">
        <f t="shared" ca="1" si="52"/>
        <v>43717</v>
      </c>
      <c r="B1687" s="21" t="str">
        <f ca="1"/>
        <v>2019-09-09</v>
      </c>
      <c r="C1687" s="22">
        <f ca="1"/>
        <v>139.58999600000001</v>
      </c>
      <c r="D1687" s="22">
        <f ca="1"/>
        <v>139.75</v>
      </c>
      <c r="E1687" s="22">
        <f ca="1"/>
        <v>136.46000699999999</v>
      </c>
      <c r="F1687" s="22">
        <f ca="1"/>
        <v>137.520004</v>
      </c>
      <c r="G1687" s="22">
        <f ca="1"/>
        <v>133.24115</v>
      </c>
      <c r="H1687" s="69">
        <f ca="1"/>
        <v>25773900</v>
      </c>
      <c r="I1687" s="23" t="str">
        <f t="shared" ca="1" si="53"/>
        <v/>
      </c>
    </row>
    <row r="1688" spans="1:9" ht="13.8">
      <c r="A1688" s="20">
        <f t="shared" ca="1" si="52"/>
        <v>43718</v>
      </c>
      <c r="B1688" s="21" t="str">
        <f ca="1"/>
        <v>2019-09-10</v>
      </c>
      <c r="C1688" s="22">
        <f ca="1"/>
        <v>136.800003</v>
      </c>
      <c r="D1688" s="22">
        <f ca="1"/>
        <v>136.88999899999999</v>
      </c>
      <c r="E1688" s="22">
        <f ca="1"/>
        <v>134.509995</v>
      </c>
      <c r="F1688" s="22">
        <f ca="1"/>
        <v>136.08000200000001</v>
      </c>
      <c r="G1688" s="22">
        <f ca="1"/>
        <v>131.845932</v>
      </c>
      <c r="H1688" s="69">
        <f ca="1"/>
        <v>28903400</v>
      </c>
      <c r="I1688" s="23" t="str">
        <f t="shared" ca="1" si="53"/>
        <v/>
      </c>
    </row>
    <row r="1689" spans="1:9" ht="13.8">
      <c r="A1689" s="20">
        <f t="shared" ca="1" si="52"/>
        <v>43719</v>
      </c>
      <c r="B1689" s="21" t="str">
        <f ca="1"/>
        <v>2019-09-11</v>
      </c>
      <c r="C1689" s="22">
        <f ca="1"/>
        <v>135.91000399999999</v>
      </c>
      <c r="D1689" s="22">
        <f ca="1"/>
        <v>136.270004</v>
      </c>
      <c r="E1689" s="22">
        <f ca="1"/>
        <v>135.08999600000001</v>
      </c>
      <c r="F1689" s="22">
        <f ca="1"/>
        <v>136.11999499999999</v>
      </c>
      <c r="G1689" s="22">
        <f ca="1"/>
        <v>131.88468900000001</v>
      </c>
      <c r="H1689" s="69">
        <f ca="1"/>
        <v>24726100</v>
      </c>
      <c r="I1689" s="23" t="str">
        <f t="shared" ca="1" si="53"/>
        <v/>
      </c>
    </row>
    <row r="1690" spans="1:9" ht="13.8">
      <c r="A1690" s="20">
        <f t="shared" ca="1" si="52"/>
        <v>43720</v>
      </c>
      <c r="B1690" s="21" t="str">
        <f ca="1"/>
        <v>2019-09-12</v>
      </c>
      <c r="C1690" s="22">
        <f ca="1"/>
        <v>137.85000600000001</v>
      </c>
      <c r="D1690" s="22">
        <f ca="1"/>
        <v>138.41999799999999</v>
      </c>
      <c r="E1690" s="22">
        <f ca="1"/>
        <v>136.86999499999999</v>
      </c>
      <c r="F1690" s="22">
        <f ca="1"/>
        <v>137.520004</v>
      </c>
      <c r="G1690" s="22">
        <f ca="1"/>
        <v>133.24115</v>
      </c>
      <c r="H1690" s="69">
        <f ca="1"/>
        <v>27010000</v>
      </c>
      <c r="I1690" s="23" t="str">
        <f t="shared" ca="1" si="53"/>
        <v/>
      </c>
    </row>
    <row r="1691" spans="1:9" ht="13.8">
      <c r="A1691" s="20">
        <f t="shared" ca="1" si="52"/>
        <v>43721</v>
      </c>
      <c r="B1691" s="21" t="str">
        <f ca="1"/>
        <v>2019-09-13</v>
      </c>
      <c r="C1691" s="22">
        <f ca="1"/>
        <v>137.779999</v>
      </c>
      <c r="D1691" s="22">
        <f ca="1"/>
        <v>138.05999800000001</v>
      </c>
      <c r="E1691" s="22">
        <f ca="1"/>
        <v>136.570007</v>
      </c>
      <c r="F1691" s="22">
        <f ca="1"/>
        <v>137.320007</v>
      </c>
      <c r="G1691" s="22">
        <f ca="1"/>
        <v>133.04737900000001</v>
      </c>
      <c r="H1691" s="69">
        <f ca="1"/>
        <v>23363100</v>
      </c>
      <c r="I1691" s="23" t="str">
        <f t="shared" ca="1" si="53"/>
        <v/>
      </c>
    </row>
    <row r="1692" spans="1:9" ht="13.8">
      <c r="A1692" s="20">
        <f t="shared" ca="1" si="52"/>
        <v>43724</v>
      </c>
      <c r="B1692" s="21" t="str">
        <f ca="1"/>
        <v>2019-09-16</v>
      </c>
      <c r="C1692" s="22">
        <f ca="1"/>
        <v>135.83000200000001</v>
      </c>
      <c r="D1692" s="22">
        <f ca="1"/>
        <v>136.699997</v>
      </c>
      <c r="E1692" s="22">
        <f ca="1"/>
        <v>135.66000399999999</v>
      </c>
      <c r="F1692" s="22">
        <f ca="1"/>
        <v>136.33000200000001</v>
      </c>
      <c r="G1692" s="22">
        <f ca="1"/>
        <v>132.088165</v>
      </c>
      <c r="H1692" s="69">
        <f ca="1"/>
        <v>16731400</v>
      </c>
      <c r="I1692" s="23" t="str">
        <f t="shared" ca="1" si="53"/>
        <v/>
      </c>
    </row>
    <row r="1693" spans="1:9" ht="13.8">
      <c r="A1693" s="20">
        <f t="shared" ca="1" si="52"/>
        <v>43725</v>
      </c>
      <c r="B1693" s="21" t="str">
        <f ca="1"/>
        <v>2019-09-17</v>
      </c>
      <c r="C1693" s="22">
        <f ca="1"/>
        <v>136.96000699999999</v>
      </c>
      <c r="D1693" s="22">
        <f ca="1"/>
        <v>137.520004</v>
      </c>
      <c r="E1693" s="22">
        <f ca="1"/>
        <v>136.429993</v>
      </c>
      <c r="F1693" s="22">
        <f ca="1"/>
        <v>137.38999899999999</v>
      </c>
      <c r="G1693" s="22">
        <f ca="1"/>
        <v>133.11520400000001</v>
      </c>
      <c r="H1693" s="69">
        <f ca="1"/>
        <v>17814200</v>
      </c>
      <c r="I1693" s="23" t="str">
        <f t="shared" ca="1" si="53"/>
        <v/>
      </c>
    </row>
    <row r="1694" spans="1:9" ht="13.8">
      <c r="A1694" s="20">
        <f t="shared" ca="1" si="52"/>
        <v>43726</v>
      </c>
      <c r="B1694" s="21" t="str">
        <f ca="1"/>
        <v>2019-09-18</v>
      </c>
      <c r="C1694" s="22">
        <f ca="1"/>
        <v>137.36000100000001</v>
      </c>
      <c r="D1694" s="22">
        <f ca="1"/>
        <v>138.66999799999999</v>
      </c>
      <c r="E1694" s="22">
        <f ca="1"/>
        <v>136.529999</v>
      </c>
      <c r="F1694" s="22">
        <f ca="1"/>
        <v>138.520004</v>
      </c>
      <c r="G1694" s="22">
        <f ca="1"/>
        <v>134.21002200000001</v>
      </c>
      <c r="H1694" s="69">
        <f ca="1"/>
        <v>23982100</v>
      </c>
      <c r="I1694" s="23" t="str">
        <f t="shared" ca="1" si="53"/>
        <v/>
      </c>
    </row>
    <row r="1695" spans="1:9" ht="13.8">
      <c r="A1695" s="20">
        <f t="shared" ca="1" si="52"/>
        <v>43727</v>
      </c>
      <c r="B1695" s="21" t="str">
        <f ca="1"/>
        <v>2019-09-19</v>
      </c>
      <c r="C1695" s="22">
        <f ca="1"/>
        <v>140.300003</v>
      </c>
      <c r="D1695" s="22">
        <f ca="1"/>
        <v>142.36999499999999</v>
      </c>
      <c r="E1695" s="22">
        <f ca="1"/>
        <v>140.070007</v>
      </c>
      <c r="F1695" s="22">
        <f ca="1"/>
        <v>141.070007</v>
      </c>
      <c r="G1695" s="22">
        <f ca="1"/>
        <v>136.68069499999999</v>
      </c>
      <c r="H1695" s="69">
        <f ca="1"/>
        <v>35772100</v>
      </c>
      <c r="I1695" s="23" t="str">
        <f t="shared" ca="1" si="53"/>
        <v/>
      </c>
    </row>
    <row r="1696" spans="1:9" ht="13.8">
      <c r="A1696" s="20">
        <f t="shared" ca="1" si="52"/>
        <v>43728</v>
      </c>
      <c r="B1696" s="21" t="str">
        <f ca="1"/>
        <v>2019-09-20</v>
      </c>
      <c r="C1696" s="22">
        <f ca="1"/>
        <v>141.009995</v>
      </c>
      <c r="D1696" s="22">
        <f ca="1"/>
        <v>141.64999399999999</v>
      </c>
      <c r="E1696" s="22">
        <f ca="1"/>
        <v>138.25</v>
      </c>
      <c r="F1696" s="22">
        <f ca="1"/>
        <v>139.44000199999999</v>
      </c>
      <c r="G1696" s="22">
        <f ca="1"/>
        <v>135.10140999999999</v>
      </c>
      <c r="H1696" s="69">
        <f ca="1"/>
        <v>39167300</v>
      </c>
      <c r="I1696" s="23" t="str">
        <f t="shared" ca="1" si="53"/>
        <v/>
      </c>
    </row>
    <row r="1697" spans="1:9" ht="13.8">
      <c r="A1697" s="20">
        <f t="shared" ca="1" si="52"/>
        <v>43731</v>
      </c>
      <c r="B1697" s="21" t="str">
        <f ca="1"/>
        <v>2019-09-23</v>
      </c>
      <c r="C1697" s="22">
        <f ca="1"/>
        <v>139.229996</v>
      </c>
      <c r="D1697" s="22">
        <f ca="1"/>
        <v>139.63000500000001</v>
      </c>
      <c r="E1697" s="22">
        <f ca="1"/>
        <v>138.44000199999999</v>
      </c>
      <c r="F1697" s="22">
        <f ca="1"/>
        <v>139.13999899999999</v>
      </c>
      <c r="G1697" s="22">
        <f ca="1"/>
        <v>134.81071499999999</v>
      </c>
      <c r="H1697" s="69">
        <f ca="1"/>
        <v>17139300</v>
      </c>
      <c r="I1697" s="23" t="str">
        <f t="shared" ca="1" si="53"/>
        <v/>
      </c>
    </row>
    <row r="1698" spans="1:9" ht="13.8">
      <c r="A1698" s="20">
        <f t="shared" ca="1" si="52"/>
        <v>43732</v>
      </c>
      <c r="B1698" s="21" t="str">
        <f ca="1"/>
        <v>2019-09-24</v>
      </c>
      <c r="C1698" s="22">
        <f ca="1"/>
        <v>140.36000100000001</v>
      </c>
      <c r="D1698" s="22">
        <f ca="1"/>
        <v>140.69000199999999</v>
      </c>
      <c r="E1698" s="22">
        <f ca="1"/>
        <v>136.88000500000001</v>
      </c>
      <c r="F1698" s="22">
        <f ca="1"/>
        <v>137.38000500000001</v>
      </c>
      <c r="G1698" s="22">
        <f ca="1"/>
        <v>133.10552999999999</v>
      </c>
      <c r="H1698" s="69">
        <f ca="1"/>
        <v>29773200</v>
      </c>
      <c r="I1698" s="23" t="str">
        <f t="shared" ca="1" si="53"/>
        <v/>
      </c>
    </row>
    <row r="1699" spans="1:9" ht="13.8">
      <c r="A1699" s="20">
        <f t="shared" ca="1" si="52"/>
        <v>43733</v>
      </c>
      <c r="B1699" s="21" t="str">
        <f ca="1"/>
        <v>2019-09-25</v>
      </c>
      <c r="C1699" s="22">
        <f ca="1"/>
        <v>137.5</v>
      </c>
      <c r="D1699" s="22">
        <f ca="1"/>
        <v>139.96000699999999</v>
      </c>
      <c r="E1699" s="22">
        <f ca="1"/>
        <v>136.029999</v>
      </c>
      <c r="F1699" s="22">
        <f ca="1"/>
        <v>139.36000100000001</v>
      </c>
      <c r="G1699" s="22">
        <f ca="1"/>
        <v>135.02389500000001</v>
      </c>
      <c r="H1699" s="69">
        <f ca="1"/>
        <v>21382000</v>
      </c>
      <c r="I1699" s="23" t="str">
        <f t="shared" ca="1" si="53"/>
        <v/>
      </c>
    </row>
    <row r="1700" spans="1:9" ht="13.8">
      <c r="A1700" s="20">
        <f t="shared" ca="1" si="52"/>
        <v>43734</v>
      </c>
      <c r="B1700" s="21" t="str">
        <f ca="1"/>
        <v>2019-09-26</v>
      </c>
      <c r="C1700" s="22">
        <f ca="1"/>
        <v>139.44000199999999</v>
      </c>
      <c r="D1700" s="22">
        <f ca="1"/>
        <v>140.179993</v>
      </c>
      <c r="E1700" s="22">
        <f ca="1"/>
        <v>138.44000199999999</v>
      </c>
      <c r="F1700" s="22">
        <f ca="1"/>
        <v>139.53999300000001</v>
      </c>
      <c r="G1700" s="22">
        <f ca="1"/>
        <v>135.19828799999999</v>
      </c>
      <c r="H1700" s="69">
        <f ca="1"/>
        <v>17456600</v>
      </c>
      <c r="I1700" s="23" t="str">
        <f t="shared" ca="1" si="53"/>
        <v/>
      </c>
    </row>
    <row r="1701" spans="1:9" ht="13.8">
      <c r="A1701" s="20">
        <f t="shared" ca="1" si="52"/>
        <v>43735</v>
      </c>
      <c r="B1701" s="21" t="str">
        <f ca="1"/>
        <v>2019-09-27</v>
      </c>
      <c r="C1701" s="22">
        <f ca="1"/>
        <v>140.14999399999999</v>
      </c>
      <c r="D1701" s="22">
        <f ca="1"/>
        <v>140.36000100000001</v>
      </c>
      <c r="E1701" s="22">
        <f ca="1"/>
        <v>136.64999399999999</v>
      </c>
      <c r="F1701" s="22">
        <f ca="1"/>
        <v>137.729996</v>
      </c>
      <c r="G1701" s="22">
        <f ca="1"/>
        <v>133.44459499999999</v>
      </c>
      <c r="H1701" s="69">
        <f ca="1"/>
        <v>22477700</v>
      </c>
      <c r="I1701" s="23" t="str">
        <f t="shared" ca="1" si="53"/>
        <v/>
      </c>
    </row>
    <row r="1702" spans="1:9" ht="13.8">
      <c r="A1702" s="20">
        <f t="shared" ca="1" si="52"/>
        <v>43738</v>
      </c>
      <c r="B1702" s="21" t="str">
        <f ca="1"/>
        <v>2019-09-30</v>
      </c>
      <c r="C1702" s="22">
        <f ca="1"/>
        <v>138.050003</v>
      </c>
      <c r="D1702" s="22">
        <f ca="1"/>
        <v>139.220001</v>
      </c>
      <c r="E1702" s="22">
        <f ca="1"/>
        <v>137.779999</v>
      </c>
      <c r="F1702" s="22">
        <f ca="1"/>
        <v>139.029999</v>
      </c>
      <c r="G1702" s="22">
        <f ca="1"/>
        <v>134.70417800000001</v>
      </c>
      <c r="H1702" s="69">
        <f ca="1"/>
        <v>17280900</v>
      </c>
      <c r="I1702" s="23" t="str">
        <f t="shared" ca="1" si="53"/>
        <v/>
      </c>
    </row>
    <row r="1703" spans="1:9" ht="13.8">
      <c r="A1703" s="20">
        <f t="shared" ca="1" si="52"/>
        <v>43739</v>
      </c>
      <c r="B1703" s="21" t="str">
        <f ca="1"/>
        <v>2019-10-01</v>
      </c>
      <c r="C1703" s="22">
        <f ca="1"/>
        <v>139.66000399999999</v>
      </c>
      <c r="D1703" s="22">
        <f ca="1"/>
        <v>140.25</v>
      </c>
      <c r="E1703" s="22">
        <f ca="1"/>
        <v>137</v>
      </c>
      <c r="F1703" s="22">
        <f ca="1"/>
        <v>137.070007</v>
      </c>
      <c r="G1703" s="22">
        <f ca="1"/>
        <v>132.80514500000001</v>
      </c>
      <c r="H1703" s="69">
        <f ca="1"/>
        <v>21466600</v>
      </c>
      <c r="I1703" s="23" t="str">
        <f t="shared" ca="1" si="53"/>
        <v/>
      </c>
    </row>
    <row r="1704" spans="1:9" ht="13.8">
      <c r="A1704" s="20">
        <f t="shared" ca="1" si="52"/>
        <v>43740</v>
      </c>
      <c r="B1704" s="21" t="str">
        <f ca="1"/>
        <v>2019-10-02</v>
      </c>
      <c r="C1704" s="22">
        <f ca="1"/>
        <v>136.25</v>
      </c>
      <c r="D1704" s="22">
        <f ca="1"/>
        <v>136.36999499999999</v>
      </c>
      <c r="E1704" s="22">
        <f ca="1"/>
        <v>133.58000200000001</v>
      </c>
      <c r="F1704" s="22">
        <f ca="1"/>
        <v>134.64999399999999</v>
      </c>
      <c r="G1704" s="22">
        <f ca="1"/>
        <v>130.46044900000001</v>
      </c>
      <c r="H1704" s="69">
        <f ca="1"/>
        <v>30521700</v>
      </c>
      <c r="I1704" s="23" t="str">
        <f t="shared" ca="1" si="53"/>
        <v/>
      </c>
    </row>
    <row r="1705" spans="1:9" ht="13.8">
      <c r="A1705" s="20">
        <f t="shared" ca="1" si="52"/>
        <v>43741</v>
      </c>
      <c r="B1705" s="21" t="str">
        <f ca="1"/>
        <v>2019-10-03</v>
      </c>
      <c r="C1705" s="22">
        <f ca="1"/>
        <v>134.949997</v>
      </c>
      <c r="D1705" s="22">
        <f ca="1"/>
        <v>136.75</v>
      </c>
      <c r="E1705" s="22">
        <f ca="1"/>
        <v>133.220001</v>
      </c>
      <c r="F1705" s="22">
        <f ca="1"/>
        <v>136.279999</v>
      </c>
      <c r="G1705" s="22">
        <f ca="1"/>
        <v>132.03973400000001</v>
      </c>
      <c r="H1705" s="69">
        <f ca="1"/>
        <v>24132900</v>
      </c>
      <c r="I1705" s="23" t="str">
        <f t="shared" ca="1" si="53"/>
        <v/>
      </c>
    </row>
    <row r="1706" spans="1:9" ht="13.8">
      <c r="A1706" s="20">
        <f t="shared" ca="1" si="52"/>
        <v>43742</v>
      </c>
      <c r="B1706" s="21" t="str">
        <f ca="1"/>
        <v>2019-10-04</v>
      </c>
      <c r="C1706" s="22">
        <f ca="1"/>
        <v>136.75</v>
      </c>
      <c r="D1706" s="22">
        <f ca="1"/>
        <v>138.25</v>
      </c>
      <c r="E1706" s="22">
        <f ca="1"/>
        <v>136.41999799999999</v>
      </c>
      <c r="F1706" s="22">
        <f ca="1"/>
        <v>138.11999499999999</v>
      </c>
      <c r="G1706" s="22">
        <f ca="1"/>
        <v>133.822464</v>
      </c>
      <c r="H1706" s="69">
        <f ca="1"/>
        <v>22897700</v>
      </c>
      <c r="I1706" s="23" t="str">
        <f t="shared" ca="1" si="53"/>
        <v/>
      </c>
    </row>
    <row r="1707" spans="1:9" ht="13.8">
      <c r="A1707" s="20">
        <f t="shared" ca="1" si="52"/>
        <v>43745</v>
      </c>
      <c r="B1707" s="21" t="str">
        <f ca="1"/>
        <v>2019-10-07</v>
      </c>
      <c r="C1707" s="22">
        <f ca="1"/>
        <v>137.13999899999999</v>
      </c>
      <c r="D1707" s="22">
        <f ca="1"/>
        <v>138.179993</v>
      </c>
      <c r="E1707" s="22">
        <f ca="1"/>
        <v>137.020004</v>
      </c>
      <c r="F1707" s="22">
        <f ca="1"/>
        <v>137.11999499999999</v>
      </c>
      <c r="G1707" s="22">
        <f ca="1"/>
        <v>132.85360700000001</v>
      </c>
      <c r="H1707" s="69">
        <f ca="1"/>
        <v>15303700</v>
      </c>
      <c r="I1707" s="23" t="str">
        <f t="shared" ca="1" si="53"/>
        <v/>
      </c>
    </row>
    <row r="1708" spans="1:9" ht="13.8">
      <c r="A1708" s="20">
        <f t="shared" ca="1" si="52"/>
        <v>43746</v>
      </c>
      <c r="B1708" s="21" t="str">
        <f ca="1"/>
        <v>2019-10-08</v>
      </c>
      <c r="C1708" s="22">
        <f ca="1"/>
        <v>137.08000200000001</v>
      </c>
      <c r="D1708" s="22">
        <f ca="1"/>
        <v>137.759995</v>
      </c>
      <c r="E1708" s="22">
        <f ca="1"/>
        <v>135.61999499999999</v>
      </c>
      <c r="F1708" s="22">
        <f ca="1"/>
        <v>135.66999799999999</v>
      </c>
      <c r="G1708" s="22">
        <f ca="1"/>
        <v>131.4487</v>
      </c>
      <c r="H1708" s="69">
        <f ca="1"/>
        <v>25550500</v>
      </c>
      <c r="I1708" s="23" t="str">
        <f t="shared" ca="1" si="53"/>
        <v/>
      </c>
    </row>
    <row r="1709" spans="1:9" ht="13.8">
      <c r="A1709" s="20">
        <f t="shared" ca="1" si="52"/>
        <v>43747</v>
      </c>
      <c r="B1709" s="21" t="str">
        <f ca="1"/>
        <v>2019-10-09</v>
      </c>
      <c r="C1709" s="22">
        <f ca="1"/>
        <v>137.46000699999999</v>
      </c>
      <c r="D1709" s="22">
        <f ca="1"/>
        <v>138.699997</v>
      </c>
      <c r="E1709" s="22">
        <f ca="1"/>
        <v>136.970001</v>
      </c>
      <c r="F1709" s="22">
        <f ca="1"/>
        <v>138.240005</v>
      </c>
      <c r="G1709" s="22">
        <f ca="1"/>
        <v>133.93873600000001</v>
      </c>
      <c r="H1709" s="69">
        <f ca="1"/>
        <v>19749900</v>
      </c>
      <c r="I1709" s="23" t="str">
        <f t="shared" ca="1" si="53"/>
        <v/>
      </c>
    </row>
    <row r="1710" spans="1:9" ht="13.8">
      <c r="A1710" s="20">
        <f t="shared" ca="1" si="52"/>
        <v>43748</v>
      </c>
      <c r="B1710" s="21" t="str">
        <f ca="1"/>
        <v>2019-10-10</v>
      </c>
      <c r="C1710" s="22">
        <f ca="1"/>
        <v>138.490005</v>
      </c>
      <c r="D1710" s="22">
        <f ca="1"/>
        <v>139.66999799999999</v>
      </c>
      <c r="E1710" s="22">
        <f ca="1"/>
        <v>138.25</v>
      </c>
      <c r="F1710" s="22">
        <f ca="1"/>
        <v>139.10000600000001</v>
      </c>
      <c r="G1710" s="22">
        <f ca="1"/>
        <v>134.771973</v>
      </c>
      <c r="H1710" s="69">
        <f ca="1"/>
        <v>17654600</v>
      </c>
      <c r="I1710" s="23" t="str">
        <f t="shared" ca="1" si="53"/>
        <v/>
      </c>
    </row>
    <row r="1711" spans="1:9" ht="13.8">
      <c r="A1711" s="20">
        <f t="shared" ca="1" si="52"/>
        <v>43749</v>
      </c>
      <c r="B1711" s="21" t="str">
        <f ca="1"/>
        <v>2019-10-11</v>
      </c>
      <c r="C1711" s="22">
        <f ca="1"/>
        <v>140.11999499999999</v>
      </c>
      <c r="D1711" s="22">
        <f ca="1"/>
        <v>141.029999</v>
      </c>
      <c r="E1711" s="22">
        <f ca="1"/>
        <v>139.5</v>
      </c>
      <c r="F1711" s="22">
        <f ca="1"/>
        <v>139.679993</v>
      </c>
      <c r="G1711" s="22">
        <f ca="1"/>
        <v>135.33393899999999</v>
      </c>
      <c r="H1711" s="69">
        <f ca="1"/>
        <v>25446000</v>
      </c>
      <c r="I1711" s="23" t="str">
        <f t="shared" ca="1" si="53"/>
        <v/>
      </c>
    </row>
    <row r="1712" spans="1:9" ht="13.8">
      <c r="A1712" s="20">
        <f t="shared" ca="1" si="52"/>
        <v>43752</v>
      </c>
      <c r="B1712" s="21" t="str">
        <f ca="1"/>
        <v>2019-10-14</v>
      </c>
      <c r="C1712" s="22">
        <f ca="1"/>
        <v>139.69000199999999</v>
      </c>
      <c r="D1712" s="22">
        <f ca="1"/>
        <v>140.28999300000001</v>
      </c>
      <c r="E1712" s="22">
        <f ca="1"/>
        <v>139.520004</v>
      </c>
      <c r="F1712" s="22">
        <f ca="1"/>
        <v>139.550003</v>
      </c>
      <c r="G1712" s="22">
        <f ca="1"/>
        <v>135.207977</v>
      </c>
      <c r="H1712" s="69">
        <f ca="1"/>
        <v>13304300</v>
      </c>
      <c r="I1712" s="23" t="str">
        <f t="shared" ca="1" si="53"/>
        <v/>
      </c>
    </row>
    <row r="1713" spans="1:9" ht="13.8">
      <c r="A1713" s="20">
        <f t="shared" ca="1" si="52"/>
        <v>43753</v>
      </c>
      <c r="B1713" s="21" t="str">
        <f ca="1"/>
        <v>2019-10-15</v>
      </c>
      <c r="C1713" s="22">
        <f ca="1"/>
        <v>140.05999800000001</v>
      </c>
      <c r="D1713" s="22">
        <f ca="1"/>
        <v>141.78999300000001</v>
      </c>
      <c r="E1713" s="22">
        <f ca="1"/>
        <v>139.80999800000001</v>
      </c>
      <c r="F1713" s="22">
        <f ca="1"/>
        <v>141.570007</v>
      </c>
      <c r="G1713" s="22">
        <f ca="1"/>
        <v>137.16511499999999</v>
      </c>
      <c r="H1713" s="69">
        <f ca="1"/>
        <v>19695700</v>
      </c>
      <c r="I1713" s="23" t="str">
        <f t="shared" ca="1" si="53"/>
        <v/>
      </c>
    </row>
    <row r="1714" spans="1:9" ht="13.8">
      <c r="A1714" s="20">
        <f t="shared" ca="1" si="52"/>
        <v>43754</v>
      </c>
      <c r="B1714" s="21" t="str">
        <f ca="1"/>
        <v>2019-10-16</v>
      </c>
      <c r="C1714" s="22">
        <f ca="1"/>
        <v>140.78999300000001</v>
      </c>
      <c r="D1714" s="22">
        <f ca="1"/>
        <v>140.990005</v>
      </c>
      <c r="E1714" s="22">
        <f ca="1"/>
        <v>139.529999</v>
      </c>
      <c r="F1714" s="22">
        <f ca="1"/>
        <v>140.41000399999999</v>
      </c>
      <c r="G1714" s="22">
        <f ca="1"/>
        <v>136.041214</v>
      </c>
      <c r="H1714" s="69">
        <f ca="1"/>
        <v>20751600</v>
      </c>
      <c r="I1714" s="23" t="str">
        <f t="shared" ca="1" si="53"/>
        <v/>
      </c>
    </row>
    <row r="1715" spans="1:9" ht="13.8">
      <c r="A1715" s="20">
        <f t="shared" ca="1" si="52"/>
        <v>43755</v>
      </c>
      <c r="B1715" s="21" t="str">
        <f ca="1"/>
        <v>2019-10-17</v>
      </c>
      <c r="C1715" s="22">
        <f ca="1"/>
        <v>140.949997</v>
      </c>
      <c r="D1715" s="22">
        <f ca="1"/>
        <v>141.41999799999999</v>
      </c>
      <c r="E1715" s="22">
        <f ca="1"/>
        <v>139.020004</v>
      </c>
      <c r="F1715" s="22">
        <f ca="1"/>
        <v>139.69000199999999</v>
      </c>
      <c r="G1715" s="22">
        <f ca="1"/>
        <v>135.343613</v>
      </c>
      <c r="H1715" s="69">
        <f ca="1"/>
        <v>21460600</v>
      </c>
      <c r="I1715" s="23" t="str">
        <f t="shared" ca="1" si="53"/>
        <v/>
      </c>
    </row>
    <row r="1716" spans="1:9" ht="13.8">
      <c r="A1716" s="20">
        <f t="shared" ca="1" si="52"/>
        <v>43756</v>
      </c>
      <c r="B1716" s="21" t="str">
        <f ca="1"/>
        <v>2019-10-18</v>
      </c>
      <c r="C1716" s="22">
        <f ca="1"/>
        <v>139.759995</v>
      </c>
      <c r="D1716" s="22">
        <f ca="1"/>
        <v>140</v>
      </c>
      <c r="E1716" s="22">
        <f ca="1"/>
        <v>136.55999800000001</v>
      </c>
      <c r="F1716" s="22">
        <f ca="1"/>
        <v>137.41000399999999</v>
      </c>
      <c r="G1716" s="22">
        <f ca="1"/>
        <v>133.134567</v>
      </c>
      <c r="H1716" s="69">
        <f ca="1"/>
        <v>32273500</v>
      </c>
      <c r="I1716" s="23" t="str">
        <f t="shared" ca="1" si="53"/>
        <v/>
      </c>
    </row>
    <row r="1717" spans="1:9" ht="13.8">
      <c r="A1717" s="20">
        <f t="shared" ca="1" si="52"/>
        <v>43759</v>
      </c>
      <c r="B1717" s="21" t="str">
        <f ca="1"/>
        <v>2019-10-21</v>
      </c>
      <c r="C1717" s="22">
        <f ca="1"/>
        <v>138.449997</v>
      </c>
      <c r="D1717" s="22">
        <f ca="1"/>
        <v>138.5</v>
      </c>
      <c r="E1717" s="22">
        <f ca="1"/>
        <v>137.009995</v>
      </c>
      <c r="F1717" s="22">
        <f ca="1"/>
        <v>138.429993</v>
      </c>
      <c r="G1717" s="22">
        <f ca="1"/>
        <v>134.12286399999999</v>
      </c>
      <c r="H1717" s="69">
        <f ca="1"/>
        <v>20078200</v>
      </c>
      <c r="I1717" s="23" t="str">
        <f t="shared" ca="1" si="53"/>
        <v/>
      </c>
    </row>
    <row r="1718" spans="1:9" ht="13.8">
      <c r="A1718" s="20">
        <f t="shared" ca="1" si="52"/>
        <v>43760</v>
      </c>
      <c r="B1718" s="21" t="str">
        <f ca="1"/>
        <v>2019-10-22</v>
      </c>
      <c r="C1718" s="22">
        <f ca="1"/>
        <v>138.970001</v>
      </c>
      <c r="D1718" s="22">
        <f ca="1"/>
        <v>140.009995</v>
      </c>
      <c r="E1718" s="22">
        <f ca="1"/>
        <v>136.259995</v>
      </c>
      <c r="F1718" s="22">
        <f ca="1"/>
        <v>136.36999499999999</v>
      </c>
      <c r="G1718" s="22">
        <f ca="1"/>
        <v>132.126938</v>
      </c>
      <c r="H1718" s="69">
        <f ca="1"/>
        <v>27431000</v>
      </c>
      <c r="I1718" s="23" t="str">
        <f t="shared" ca="1" si="53"/>
        <v/>
      </c>
    </row>
    <row r="1719" spans="1:9" ht="13.8">
      <c r="A1719" s="20">
        <f t="shared" ca="1" si="52"/>
        <v>43761</v>
      </c>
      <c r="B1719" s="21" t="str">
        <f ca="1"/>
        <v>2019-10-23</v>
      </c>
      <c r="C1719" s="22">
        <f ca="1"/>
        <v>136.88000500000001</v>
      </c>
      <c r="D1719" s="22">
        <f ca="1"/>
        <v>137.449997</v>
      </c>
      <c r="E1719" s="22">
        <f ca="1"/>
        <v>135.61000100000001</v>
      </c>
      <c r="F1719" s="22">
        <f ca="1"/>
        <v>137.240005</v>
      </c>
      <c r="G1719" s="22">
        <f ca="1"/>
        <v>132.96987899999999</v>
      </c>
      <c r="H1719" s="69">
        <f ca="1"/>
        <v>29844600</v>
      </c>
      <c r="I1719" s="23" t="str">
        <f t="shared" ca="1" si="53"/>
        <v/>
      </c>
    </row>
    <row r="1720" spans="1:9" ht="13.8">
      <c r="A1720" s="20">
        <f t="shared" ca="1" si="52"/>
        <v>43762</v>
      </c>
      <c r="B1720" s="21" t="str">
        <f ca="1"/>
        <v>2019-10-24</v>
      </c>
      <c r="C1720" s="22">
        <f ca="1"/>
        <v>139.38999899999999</v>
      </c>
      <c r="D1720" s="22">
        <f ca="1"/>
        <v>140.41999799999999</v>
      </c>
      <c r="E1720" s="22">
        <f ca="1"/>
        <v>138.66999799999999</v>
      </c>
      <c r="F1720" s="22">
        <f ca="1"/>
        <v>139.94000199999999</v>
      </c>
      <c r="G1720" s="22">
        <f ca="1"/>
        <v>135.585846</v>
      </c>
      <c r="H1720" s="69">
        <f ca="1"/>
        <v>37029300</v>
      </c>
      <c r="I1720" s="23" t="str">
        <f t="shared" ca="1" si="53"/>
        <v/>
      </c>
    </row>
    <row r="1721" spans="1:9" ht="13.8">
      <c r="A1721" s="20">
        <f t="shared" ca="1" si="52"/>
        <v>43763</v>
      </c>
      <c r="B1721" s="21" t="str">
        <f ca="1"/>
        <v>2019-10-25</v>
      </c>
      <c r="C1721" s="22">
        <f ca="1"/>
        <v>139.33999600000001</v>
      </c>
      <c r="D1721" s="22">
        <f ca="1"/>
        <v>141.13999899999999</v>
      </c>
      <c r="E1721" s="22">
        <f ca="1"/>
        <v>139.199997</v>
      </c>
      <c r="F1721" s="22">
        <f ca="1"/>
        <v>140.729996</v>
      </c>
      <c r="G1721" s="22">
        <f ca="1"/>
        <v>136.35127299999999</v>
      </c>
      <c r="H1721" s="69">
        <f ca="1"/>
        <v>25959700</v>
      </c>
      <c r="I1721" s="23" t="str">
        <f t="shared" ca="1" si="53"/>
        <v/>
      </c>
    </row>
    <row r="1722" spans="1:9" ht="13.8">
      <c r="A1722" s="20">
        <f t="shared" ca="1" si="52"/>
        <v>43766</v>
      </c>
      <c r="B1722" s="21" t="str">
        <f ca="1"/>
        <v>2019-10-28</v>
      </c>
      <c r="C1722" s="22">
        <f ca="1"/>
        <v>144.39999399999999</v>
      </c>
      <c r="D1722" s="22">
        <f ca="1"/>
        <v>145.66999799999999</v>
      </c>
      <c r="E1722" s="22">
        <f ca="1"/>
        <v>143.509995</v>
      </c>
      <c r="F1722" s="22">
        <f ca="1"/>
        <v>144.19000199999999</v>
      </c>
      <c r="G1722" s="22">
        <f ca="1"/>
        <v>139.70362900000001</v>
      </c>
      <c r="H1722" s="69">
        <f ca="1"/>
        <v>35280100</v>
      </c>
      <c r="I1722" s="23" t="str">
        <f t="shared" ca="1" si="53"/>
        <v/>
      </c>
    </row>
    <row r="1723" spans="1:9" ht="13.8">
      <c r="A1723" s="20">
        <f t="shared" ca="1" si="52"/>
        <v>43767</v>
      </c>
      <c r="B1723" s="21" t="str">
        <f ca="1"/>
        <v>2019-10-29</v>
      </c>
      <c r="C1723" s="22">
        <f ca="1"/>
        <v>144.08000200000001</v>
      </c>
      <c r="D1723" s="22">
        <f ca="1"/>
        <v>144.5</v>
      </c>
      <c r="E1723" s="22">
        <f ca="1"/>
        <v>142.64999399999999</v>
      </c>
      <c r="F1723" s="22">
        <f ca="1"/>
        <v>142.83000200000001</v>
      </c>
      <c r="G1723" s="22">
        <f ca="1"/>
        <v>138.38592499999999</v>
      </c>
      <c r="H1723" s="69">
        <f ca="1"/>
        <v>20589500</v>
      </c>
      <c r="I1723" s="23" t="str">
        <f t="shared" ca="1" si="53"/>
        <v/>
      </c>
    </row>
    <row r="1724" spans="1:9" ht="13.8">
      <c r="A1724" s="20">
        <f t="shared" ca="1" si="52"/>
        <v>43768</v>
      </c>
      <c r="B1724" s="21" t="str">
        <f ca="1"/>
        <v>2019-10-30</v>
      </c>
      <c r="C1724" s="22">
        <f ca="1"/>
        <v>143.520004</v>
      </c>
      <c r="D1724" s="22">
        <f ca="1"/>
        <v>145</v>
      </c>
      <c r="E1724" s="22">
        <f ca="1"/>
        <v>142.78999300000001</v>
      </c>
      <c r="F1724" s="22">
        <f ca="1"/>
        <v>144.61000100000001</v>
      </c>
      <c r="G1724" s="22">
        <f ca="1"/>
        <v>140.11054999999999</v>
      </c>
      <c r="H1724" s="69">
        <f ca="1"/>
        <v>18496600</v>
      </c>
      <c r="I1724" s="23" t="str">
        <f t="shared" ca="1" si="53"/>
        <v/>
      </c>
    </row>
    <row r="1725" spans="1:9" ht="13.8">
      <c r="A1725" s="20">
        <f t="shared" ca="1" si="52"/>
        <v>43769</v>
      </c>
      <c r="B1725" s="21" t="str">
        <f ca="1"/>
        <v>2019-10-31</v>
      </c>
      <c r="C1725" s="22">
        <f ca="1"/>
        <v>144.89999399999999</v>
      </c>
      <c r="D1725" s="22">
        <f ca="1"/>
        <v>144.929993</v>
      </c>
      <c r="E1725" s="22">
        <f ca="1"/>
        <v>142.990005</v>
      </c>
      <c r="F1725" s="22">
        <f ca="1"/>
        <v>143.36999499999999</v>
      </c>
      <c r="G1725" s="22">
        <f ca="1"/>
        <v>138.909119</v>
      </c>
      <c r="H1725" s="69">
        <f ca="1"/>
        <v>24605100</v>
      </c>
      <c r="I1725" s="23" t="str">
        <f t="shared" ca="1" si="53"/>
        <v/>
      </c>
    </row>
    <row r="1726" spans="1:9" ht="13.8">
      <c r="A1726" s="20">
        <f t="shared" ca="1" si="52"/>
        <v>43770</v>
      </c>
      <c r="B1726" s="21" t="str">
        <f ca="1"/>
        <v>2019-11-01</v>
      </c>
      <c r="C1726" s="22">
        <f ca="1"/>
        <v>144.259995</v>
      </c>
      <c r="D1726" s="22">
        <f ca="1"/>
        <v>144.41999799999999</v>
      </c>
      <c r="E1726" s="22">
        <f ca="1"/>
        <v>142.970001</v>
      </c>
      <c r="F1726" s="22">
        <f ca="1"/>
        <v>143.720001</v>
      </c>
      <c r="G1726" s="22">
        <f ca="1"/>
        <v>139.248245</v>
      </c>
      <c r="H1726" s="69">
        <f ca="1"/>
        <v>33128400</v>
      </c>
      <c r="I1726" s="23" t="str">
        <f t="shared" ca="1" si="53"/>
        <v/>
      </c>
    </row>
    <row r="1727" spans="1:9" ht="13.8">
      <c r="A1727" s="20">
        <f t="shared" ca="1" si="52"/>
        <v>43773</v>
      </c>
      <c r="B1727" s="21" t="str">
        <f ca="1"/>
        <v>2019-11-04</v>
      </c>
      <c r="C1727" s="22">
        <f ca="1"/>
        <v>144.83000200000001</v>
      </c>
      <c r="D1727" s="22">
        <f ca="1"/>
        <v>145</v>
      </c>
      <c r="E1727" s="22">
        <f ca="1"/>
        <v>144.16000399999999</v>
      </c>
      <c r="F1727" s="22">
        <f ca="1"/>
        <v>144.550003</v>
      </c>
      <c r="G1727" s="22">
        <f ca="1"/>
        <v>140.05242899999999</v>
      </c>
      <c r="H1727" s="69">
        <f ca="1"/>
        <v>16912000</v>
      </c>
      <c r="I1727" s="23" t="str">
        <f t="shared" ca="1" si="53"/>
        <v/>
      </c>
    </row>
    <row r="1728" spans="1:9" ht="13.8">
      <c r="A1728" s="20">
        <f t="shared" ca="1" si="52"/>
        <v>43774</v>
      </c>
      <c r="B1728" s="21" t="str">
        <f ca="1"/>
        <v>2019-11-05</v>
      </c>
      <c r="C1728" s="22">
        <f ca="1"/>
        <v>144.970001</v>
      </c>
      <c r="D1728" s="22">
        <f ca="1"/>
        <v>145.020004</v>
      </c>
      <c r="E1728" s="22">
        <f ca="1"/>
        <v>143.91000399999999</v>
      </c>
      <c r="F1728" s="22">
        <f ca="1"/>
        <v>144.46000699999999</v>
      </c>
      <c r="G1728" s="22">
        <f ca="1"/>
        <v>139.965225</v>
      </c>
      <c r="H1728" s="69">
        <f ca="1"/>
        <v>18250200</v>
      </c>
      <c r="I1728" s="23" t="str">
        <f t="shared" ca="1" si="53"/>
        <v/>
      </c>
    </row>
    <row r="1729" spans="1:9" ht="13.8">
      <c r="A1729" s="20">
        <f t="shared" ca="1" si="52"/>
        <v>43775</v>
      </c>
      <c r="B1729" s="21" t="str">
        <f ca="1"/>
        <v>2019-11-06</v>
      </c>
      <c r="C1729" s="22">
        <f ca="1"/>
        <v>144.36999499999999</v>
      </c>
      <c r="D1729" s="22">
        <f ca="1"/>
        <v>144.520004</v>
      </c>
      <c r="E1729" s="22">
        <f ca="1"/>
        <v>143.199997</v>
      </c>
      <c r="F1729" s="22">
        <f ca="1"/>
        <v>144.05999800000001</v>
      </c>
      <c r="G1729" s="22">
        <f ca="1"/>
        <v>139.577652</v>
      </c>
      <c r="H1729" s="69">
        <f ca="1"/>
        <v>16575800</v>
      </c>
      <c r="I1729" s="23" t="str">
        <f t="shared" ca="1" si="53"/>
        <v/>
      </c>
    </row>
    <row r="1730" spans="1:9" ht="13.8">
      <c r="A1730" s="20">
        <f t="shared" ca="1" si="52"/>
        <v>43776</v>
      </c>
      <c r="B1730" s="21" t="str">
        <f ca="1"/>
        <v>2019-11-07</v>
      </c>
      <c r="C1730" s="22">
        <f ca="1"/>
        <v>143.83999600000001</v>
      </c>
      <c r="D1730" s="22">
        <f ca="1"/>
        <v>144.88000500000001</v>
      </c>
      <c r="E1730" s="22">
        <f ca="1"/>
        <v>143.770004</v>
      </c>
      <c r="F1730" s="22">
        <f ca="1"/>
        <v>144.259995</v>
      </c>
      <c r="G1730" s="22">
        <f ca="1"/>
        <v>139.77143899999999</v>
      </c>
      <c r="H1730" s="69">
        <f ca="1"/>
        <v>17786700</v>
      </c>
      <c r="I1730" s="23" t="str">
        <f t="shared" ca="1" si="53"/>
        <v/>
      </c>
    </row>
    <row r="1731" spans="1:9" ht="13.8">
      <c r="A1731" s="20">
        <f t="shared" ca="1" si="52"/>
        <v>43777</v>
      </c>
      <c r="B1731" s="21" t="str">
        <f ca="1"/>
        <v>2019-11-08</v>
      </c>
      <c r="C1731" s="22">
        <f ca="1"/>
        <v>143.979996</v>
      </c>
      <c r="D1731" s="22">
        <f ca="1"/>
        <v>145.990005</v>
      </c>
      <c r="E1731" s="22">
        <f ca="1"/>
        <v>143.759995</v>
      </c>
      <c r="F1731" s="22">
        <f ca="1"/>
        <v>145.96000699999999</v>
      </c>
      <c r="G1731" s="22">
        <f ca="1"/>
        <v>141.418533</v>
      </c>
      <c r="H1731" s="69">
        <f ca="1"/>
        <v>16732700</v>
      </c>
      <c r="I1731" s="23" t="str">
        <f t="shared" ca="1" si="53"/>
        <v/>
      </c>
    </row>
    <row r="1732" spans="1:9" ht="13.8">
      <c r="A1732" s="20">
        <f t="shared" ca="1" si="52"/>
        <v>43780</v>
      </c>
      <c r="B1732" s="21" t="str">
        <f ca="1"/>
        <v>2019-11-11</v>
      </c>
      <c r="C1732" s="22">
        <f ca="1"/>
        <v>145.33999600000001</v>
      </c>
      <c r="D1732" s="22">
        <f ca="1"/>
        <v>146.41999799999999</v>
      </c>
      <c r="E1732" s="22">
        <f ca="1"/>
        <v>144.729996</v>
      </c>
      <c r="F1732" s="22">
        <f ca="1"/>
        <v>146.11000100000001</v>
      </c>
      <c r="G1732" s="22">
        <f ca="1"/>
        <v>141.56385800000001</v>
      </c>
      <c r="H1732" s="69">
        <f ca="1"/>
        <v>14362600</v>
      </c>
      <c r="I1732" s="23" t="str">
        <f t="shared" ca="1" si="53"/>
        <v/>
      </c>
    </row>
    <row r="1733" spans="1:9" ht="13.8">
      <c r="A1733" s="20">
        <f t="shared" ca="1" si="52"/>
        <v>43781</v>
      </c>
      <c r="B1733" s="21" t="str">
        <f ca="1"/>
        <v>2019-11-12</v>
      </c>
      <c r="C1733" s="22">
        <f ca="1"/>
        <v>146.279999</v>
      </c>
      <c r="D1733" s="22">
        <f ca="1"/>
        <v>147.570007</v>
      </c>
      <c r="E1733" s="22">
        <f ca="1"/>
        <v>146.05999800000001</v>
      </c>
      <c r="F1733" s="22">
        <f ca="1"/>
        <v>147.070007</v>
      </c>
      <c r="G1733" s="22">
        <f ca="1"/>
        <v>142.49400299999999</v>
      </c>
      <c r="H1733" s="69">
        <f ca="1"/>
        <v>18641600</v>
      </c>
      <c r="I1733" s="23" t="str">
        <f t="shared" ca="1" si="53"/>
        <v/>
      </c>
    </row>
    <row r="1734" spans="1:9" ht="13.8">
      <c r="A1734" s="20">
        <f t="shared" ref="A1734:A1797" ca="1" si="54">IFERROR(DATEVALUE($B1734),"--")</f>
        <v>43782</v>
      </c>
      <c r="B1734" s="21" t="str">
        <f ca="1"/>
        <v>2019-11-13</v>
      </c>
      <c r="C1734" s="22">
        <f ca="1"/>
        <v>146.740005</v>
      </c>
      <c r="D1734" s="22">
        <f ca="1"/>
        <v>147.46000699999999</v>
      </c>
      <c r="E1734" s="22">
        <f ca="1"/>
        <v>146.279999</v>
      </c>
      <c r="F1734" s="22">
        <f ca="1"/>
        <v>147.30999800000001</v>
      </c>
      <c r="G1734" s="22">
        <f ca="1"/>
        <v>142.726517</v>
      </c>
      <c r="H1734" s="69">
        <f ca="1"/>
        <v>16919200</v>
      </c>
      <c r="I1734" s="23" t="str">
        <f t="shared" ref="I1734:I1797" ca="1" si="55">IFERROR(IF(Ticker&lt;&gt;$Q$2,"",INDEX($P:$P,MATCH($A1734,$O:$O,0))),"")</f>
        <v/>
      </c>
    </row>
    <row r="1735" spans="1:9" ht="13.8">
      <c r="A1735" s="20">
        <f t="shared" ca="1" si="54"/>
        <v>43783</v>
      </c>
      <c r="B1735" s="21" t="str">
        <f ca="1"/>
        <v>2019-11-14</v>
      </c>
      <c r="C1735" s="22">
        <f ca="1"/>
        <v>147.020004</v>
      </c>
      <c r="D1735" s="22">
        <f ca="1"/>
        <v>148.41000399999999</v>
      </c>
      <c r="E1735" s="22">
        <f ca="1"/>
        <v>147</v>
      </c>
      <c r="F1735" s="22">
        <f ca="1"/>
        <v>148.05999800000001</v>
      </c>
      <c r="G1735" s="22">
        <f ca="1"/>
        <v>143.45320100000001</v>
      </c>
      <c r="H1735" s="69">
        <f ca="1"/>
        <v>19729800</v>
      </c>
      <c r="I1735" s="23" t="str">
        <f t="shared" ca="1" si="55"/>
        <v/>
      </c>
    </row>
    <row r="1736" spans="1:9" ht="13.8">
      <c r="A1736" s="20">
        <f t="shared" ca="1" si="54"/>
        <v>43784</v>
      </c>
      <c r="B1736" s="21" t="str">
        <f ca="1"/>
        <v>2019-11-15</v>
      </c>
      <c r="C1736" s="22">
        <f ca="1"/>
        <v>148.929993</v>
      </c>
      <c r="D1736" s="22">
        <f ca="1"/>
        <v>149.990005</v>
      </c>
      <c r="E1736" s="22">
        <f ca="1"/>
        <v>148.270004</v>
      </c>
      <c r="F1736" s="22">
        <f ca="1"/>
        <v>149.970001</v>
      </c>
      <c r="G1736" s="22">
        <f ca="1"/>
        <v>145.30375699999999</v>
      </c>
      <c r="H1736" s="69">
        <f ca="1"/>
        <v>23485700</v>
      </c>
      <c r="I1736" s="23" t="str">
        <f t="shared" ca="1" si="55"/>
        <v/>
      </c>
    </row>
    <row r="1737" spans="1:9" ht="13.8">
      <c r="A1737" s="20">
        <f t="shared" ca="1" si="54"/>
        <v>43787</v>
      </c>
      <c r="B1737" s="21" t="str">
        <f ca="1"/>
        <v>2019-11-18</v>
      </c>
      <c r="C1737" s="22">
        <f ca="1"/>
        <v>150.070007</v>
      </c>
      <c r="D1737" s="22">
        <f ca="1"/>
        <v>150.550003</v>
      </c>
      <c r="E1737" s="22">
        <f ca="1"/>
        <v>148.979996</v>
      </c>
      <c r="F1737" s="22">
        <f ca="1"/>
        <v>150.33999600000001</v>
      </c>
      <c r="G1737" s="22">
        <f ca="1"/>
        <v>145.66227699999999</v>
      </c>
      <c r="H1737" s="69">
        <f ca="1"/>
        <v>21534000</v>
      </c>
      <c r="I1737" s="23" t="str">
        <f t="shared" ca="1" si="55"/>
        <v/>
      </c>
    </row>
    <row r="1738" spans="1:9" ht="13.8">
      <c r="A1738" s="20">
        <f t="shared" ca="1" si="54"/>
        <v>43788</v>
      </c>
      <c r="B1738" s="21" t="str">
        <f ca="1"/>
        <v>2019-11-19</v>
      </c>
      <c r="C1738" s="22">
        <f ca="1"/>
        <v>150.88000500000001</v>
      </c>
      <c r="D1738" s="22">
        <f ca="1"/>
        <v>151.33000200000001</v>
      </c>
      <c r="E1738" s="22">
        <f ca="1"/>
        <v>150.199997</v>
      </c>
      <c r="F1738" s="22">
        <f ca="1"/>
        <v>150.38999899999999</v>
      </c>
      <c r="G1738" s="22">
        <f ca="1"/>
        <v>145.710724</v>
      </c>
      <c r="H1738" s="69">
        <f ca="1"/>
        <v>23935700</v>
      </c>
      <c r="I1738" s="23" t="str">
        <f t="shared" ca="1" si="55"/>
        <v/>
      </c>
    </row>
    <row r="1739" spans="1:9" ht="13.8">
      <c r="A1739" s="20">
        <f t="shared" ca="1" si="54"/>
        <v>43789</v>
      </c>
      <c r="B1739" s="21" t="str">
        <f ca="1"/>
        <v>2019-11-20</v>
      </c>
      <c r="C1739" s="22">
        <f ca="1"/>
        <v>150.30999800000001</v>
      </c>
      <c r="D1739" s="22">
        <f ca="1"/>
        <v>150.83999600000001</v>
      </c>
      <c r="E1739" s="22">
        <f ca="1"/>
        <v>148.46000699999999</v>
      </c>
      <c r="F1739" s="22">
        <f ca="1"/>
        <v>149.61999499999999</v>
      </c>
      <c r="G1739" s="22">
        <f ca="1"/>
        <v>145.457932</v>
      </c>
      <c r="H1739" s="69">
        <f ca="1"/>
        <v>25696800</v>
      </c>
      <c r="I1739" s="23">
        <f t="shared" ca="1" si="55"/>
        <v>0.51</v>
      </c>
    </row>
    <row r="1740" spans="1:9" ht="13.8">
      <c r="A1740" s="20">
        <f t="shared" ca="1" si="54"/>
        <v>43790</v>
      </c>
      <c r="B1740" s="21" t="str">
        <f ca="1"/>
        <v>2019-11-21</v>
      </c>
      <c r="C1740" s="22">
        <f ca="1"/>
        <v>149.39999399999999</v>
      </c>
      <c r="D1740" s="22">
        <f ca="1"/>
        <v>149.800003</v>
      </c>
      <c r="E1740" s="22">
        <f ca="1"/>
        <v>148.5</v>
      </c>
      <c r="F1740" s="22">
        <f ca="1"/>
        <v>149.479996</v>
      </c>
      <c r="G1740" s="22">
        <f ca="1"/>
        <v>145.321808</v>
      </c>
      <c r="H1740" s="69">
        <f ca="1"/>
        <v>18576100</v>
      </c>
      <c r="I1740" s="23" t="str">
        <f t="shared" ca="1" si="55"/>
        <v/>
      </c>
    </row>
    <row r="1741" spans="1:9" ht="13.8">
      <c r="A1741" s="20">
        <f t="shared" ca="1" si="54"/>
        <v>43791</v>
      </c>
      <c r="B1741" s="21" t="str">
        <f ca="1"/>
        <v>2019-11-22</v>
      </c>
      <c r="C1741" s="22">
        <f ca="1"/>
        <v>150.070007</v>
      </c>
      <c r="D1741" s="22">
        <f ca="1"/>
        <v>150.300003</v>
      </c>
      <c r="E1741" s="22">
        <f ca="1"/>
        <v>148.820007</v>
      </c>
      <c r="F1741" s="22">
        <f ca="1"/>
        <v>149.58999600000001</v>
      </c>
      <c r="G1741" s="22">
        <f ca="1"/>
        <v>145.42875699999999</v>
      </c>
      <c r="H1741" s="69">
        <f ca="1"/>
        <v>15901800</v>
      </c>
      <c r="I1741" s="23" t="str">
        <f t="shared" ca="1" si="55"/>
        <v/>
      </c>
    </row>
    <row r="1742" spans="1:9" ht="13.8">
      <c r="A1742" s="20">
        <f t="shared" ca="1" si="54"/>
        <v>43794</v>
      </c>
      <c r="B1742" s="21" t="str">
        <f ca="1"/>
        <v>2019-11-25</v>
      </c>
      <c r="C1742" s="22">
        <f ca="1"/>
        <v>150</v>
      </c>
      <c r="D1742" s="22">
        <f ca="1"/>
        <v>151.35000600000001</v>
      </c>
      <c r="E1742" s="22">
        <f ca="1"/>
        <v>149.91999799999999</v>
      </c>
      <c r="F1742" s="22">
        <f ca="1"/>
        <v>151.229996</v>
      </c>
      <c r="G1742" s="22">
        <f ca="1"/>
        <v>147.023132</v>
      </c>
      <c r="H1742" s="69">
        <f ca="1"/>
        <v>22420900</v>
      </c>
      <c r="I1742" s="23" t="str">
        <f t="shared" ca="1" si="55"/>
        <v/>
      </c>
    </row>
    <row r="1743" spans="1:9" ht="13.8">
      <c r="A1743" s="20">
        <f t="shared" ca="1" si="54"/>
        <v>43795</v>
      </c>
      <c r="B1743" s="21" t="str">
        <f ca="1"/>
        <v>2019-11-26</v>
      </c>
      <c r="C1743" s="22">
        <f ca="1"/>
        <v>151.36000100000001</v>
      </c>
      <c r="D1743" s="22">
        <f ca="1"/>
        <v>152.41999799999999</v>
      </c>
      <c r="E1743" s="22">
        <f ca="1"/>
        <v>151.320007</v>
      </c>
      <c r="F1743" s="22">
        <f ca="1"/>
        <v>152.029999</v>
      </c>
      <c r="G1743" s="22">
        <f ca="1"/>
        <v>147.80090300000001</v>
      </c>
      <c r="H1743" s="69">
        <f ca="1"/>
        <v>24620100</v>
      </c>
      <c r="I1743" s="23" t="str">
        <f t="shared" ca="1" si="55"/>
        <v/>
      </c>
    </row>
    <row r="1744" spans="1:9" ht="13.8">
      <c r="A1744" s="20">
        <f t="shared" ca="1" si="54"/>
        <v>43796</v>
      </c>
      <c r="B1744" s="21" t="str">
        <f ca="1"/>
        <v>2019-11-27</v>
      </c>
      <c r="C1744" s="22">
        <f ca="1"/>
        <v>152.33000200000001</v>
      </c>
      <c r="D1744" s="22">
        <f ca="1"/>
        <v>152.5</v>
      </c>
      <c r="E1744" s="22">
        <f ca="1"/>
        <v>151.520004</v>
      </c>
      <c r="F1744" s="22">
        <f ca="1"/>
        <v>152.320007</v>
      </c>
      <c r="G1744" s="22">
        <f ca="1"/>
        <v>148.08284</v>
      </c>
      <c r="H1744" s="69">
        <f ca="1"/>
        <v>15184400</v>
      </c>
      <c r="I1744" s="23" t="str">
        <f t="shared" ca="1" si="55"/>
        <v/>
      </c>
    </row>
    <row r="1745" spans="1:9" ht="13.8">
      <c r="A1745" s="20">
        <f t="shared" ca="1" si="54"/>
        <v>43798</v>
      </c>
      <c r="B1745" s="21" t="str">
        <f ca="1"/>
        <v>2019-11-29</v>
      </c>
      <c r="C1745" s="22">
        <f ca="1"/>
        <v>152.10000600000001</v>
      </c>
      <c r="D1745" s="22">
        <f ca="1"/>
        <v>152.300003</v>
      </c>
      <c r="E1745" s="22">
        <f ca="1"/>
        <v>151.279999</v>
      </c>
      <c r="F1745" s="22">
        <f ca="1"/>
        <v>151.38000500000001</v>
      </c>
      <c r="G1745" s="22">
        <f ca="1"/>
        <v>147.16897599999999</v>
      </c>
      <c r="H1745" s="69">
        <f ca="1"/>
        <v>11977300</v>
      </c>
      <c r="I1745" s="23" t="str">
        <f t="shared" ca="1" si="55"/>
        <v/>
      </c>
    </row>
    <row r="1746" spans="1:9" ht="13.8">
      <c r="A1746" s="20">
        <f t="shared" ca="1" si="54"/>
        <v>43801</v>
      </c>
      <c r="B1746" s="21" t="str">
        <f ca="1"/>
        <v>2019-12-02</v>
      </c>
      <c r="C1746" s="22">
        <f ca="1"/>
        <v>151.80999800000001</v>
      </c>
      <c r="D1746" s="22">
        <f ca="1"/>
        <v>151.83000200000001</v>
      </c>
      <c r="E1746" s="22">
        <f ca="1"/>
        <v>148.320007</v>
      </c>
      <c r="F1746" s="22">
        <f ca="1"/>
        <v>149.550003</v>
      </c>
      <c r="G1746" s="22">
        <f ca="1"/>
        <v>145.38990799999999</v>
      </c>
      <c r="H1746" s="69">
        <f ca="1"/>
        <v>27418400</v>
      </c>
      <c r="I1746" s="23" t="str">
        <f t="shared" ca="1" si="55"/>
        <v/>
      </c>
    </row>
    <row r="1747" spans="1:9" ht="13.8">
      <c r="A1747" s="20">
        <f t="shared" ca="1" si="54"/>
        <v>43802</v>
      </c>
      <c r="B1747" s="21" t="str">
        <f ca="1"/>
        <v>2019-12-03</v>
      </c>
      <c r="C1747" s="22">
        <f ca="1"/>
        <v>147.490005</v>
      </c>
      <c r="D1747" s="22">
        <f ca="1"/>
        <v>149.429993</v>
      </c>
      <c r="E1747" s="22">
        <f ca="1"/>
        <v>146.64999399999999</v>
      </c>
      <c r="F1747" s="22">
        <f ca="1"/>
        <v>149.30999800000001</v>
      </c>
      <c r="G1747" s="22">
        <f ca="1"/>
        <v>145.156555</v>
      </c>
      <c r="H1747" s="69">
        <f ca="1"/>
        <v>24066000</v>
      </c>
      <c r="I1747" s="23" t="str">
        <f t="shared" ca="1" si="55"/>
        <v/>
      </c>
    </row>
    <row r="1748" spans="1:9" ht="13.8">
      <c r="A1748" s="20">
        <f t="shared" ca="1" si="54"/>
        <v>43803</v>
      </c>
      <c r="B1748" s="21" t="str">
        <f ca="1"/>
        <v>2019-12-04</v>
      </c>
      <c r="C1748" s="22">
        <f ca="1"/>
        <v>150.13999899999999</v>
      </c>
      <c r="D1748" s="22">
        <f ca="1"/>
        <v>150.179993</v>
      </c>
      <c r="E1748" s="22">
        <f ca="1"/>
        <v>149.199997</v>
      </c>
      <c r="F1748" s="22">
        <f ca="1"/>
        <v>149.85000600000001</v>
      </c>
      <c r="G1748" s="22">
        <f ca="1"/>
        <v>145.68154899999999</v>
      </c>
      <c r="H1748" s="69">
        <f ca="1"/>
        <v>17574700</v>
      </c>
      <c r="I1748" s="23" t="str">
        <f t="shared" ca="1" si="55"/>
        <v/>
      </c>
    </row>
    <row r="1749" spans="1:9" ht="13.8">
      <c r="A1749" s="20">
        <f t="shared" ca="1" si="54"/>
        <v>43804</v>
      </c>
      <c r="B1749" s="21" t="str">
        <f ca="1"/>
        <v>2019-12-05</v>
      </c>
      <c r="C1749" s="22">
        <f ca="1"/>
        <v>150.050003</v>
      </c>
      <c r="D1749" s="22">
        <f ca="1"/>
        <v>150.320007</v>
      </c>
      <c r="E1749" s="22">
        <f ca="1"/>
        <v>149.479996</v>
      </c>
      <c r="F1749" s="22">
        <f ca="1"/>
        <v>149.929993</v>
      </c>
      <c r="G1749" s="22">
        <f ca="1"/>
        <v>145.759308</v>
      </c>
      <c r="H1749" s="69">
        <f ca="1"/>
        <v>17869100</v>
      </c>
      <c r="I1749" s="23" t="str">
        <f t="shared" ca="1" si="55"/>
        <v/>
      </c>
    </row>
    <row r="1750" spans="1:9" ht="13.8">
      <c r="A1750" s="20">
        <f t="shared" ca="1" si="54"/>
        <v>43805</v>
      </c>
      <c r="B1750" s="21" t="str">
        <f ca="1"/>
        <v>2019-12-06</v>
      </c>
      <c r="C1750" s="22">
        <f ca="1"/>
        <v>150.990005</v>
      </c>
      <c r="D1750" s="22">
        <f ca="1"/>
        <v>151.86999499999999</v>
      </c>
      <c r="E1750" s="22">
        <f ca="1"/>
        <v>150.270004</v>
      </c>
      <c r="F1750" s="22">
        <f ca="1"/>
        <v>151.75</v>
      </c>
      <c r="G1750" s="22">
        <f ca="1"/>
        <v>147.52868699999999</v>
      </c>
      <c r="H1750" s="69">
        <f ca="1"/>
        <v>16403500</v>
      </c>
      <c r="I1750" s="23" t="str">
        <f t="shared" ca="1" si="55"/>
        <v/>
      </c>
    </row>
    <row r="1751" spans="1:9" ht="13.8">
      <c r="A1751" s="20">
        <f t="shared" ca="1" si="54"/>
        <v>43808</v>
      </c>
      <c r="B1751" s="21" t="str">
        <f ca="1"/>
        <v>2019-12-09</v>
      </c>
      <c r="C1751" s="22">
        <f ca="1"/>
        <v>151.070007</v>
      </c>
      <c r="D1751" s="22">
        <f ca="1"/>
        <v>152.21000699999999</v>
      </c>
      <c r="E1751" s="22">
        <f ca="1"/>
        <v>150.91000399999999</v>
      </c>
      <c r="F1751" s="22">
        <f ca="1"/>
        <v>151.36000100000001</v>
      </c>
      <c r="G1751" s="22">
        <f ca="1"/>
        <v>147.14953600000001</v>
      </c>
      <c r="H1751" s="69">
        <f ca="1"/>
        <v>16687400</v>
      </c>
      <c r="I1751" s="23" t="str">
        <f t="shared" ca="1" si="55"/>
        <v/>
      </c>
    </row>
    <row r="1752" spans="1:9" ht="13.8">
      <c r="A1752" s="20">
        <f t="shared" ca="1" si="54"/>
        <v>43809</v>
      </c>
      <c r="B1752" s="21" t="str">
        <f ca="1"/>
        <v>2019-12-10</v>
      </c>
      <c r="C1752" s="22">
        <f ca="1"/>
        <v>151.28999300000001</v>
      </c>
      <c r="D1752" s="22">
        <f ca="1"/>
        <v>151.88999899999999</v>
      </c>
      <c r="E1752" s="22">
        <f ca="1"/>
        <v>150.759995</v>
      </c>
      <c r="F1752" s="22">
        <f ca="1"/>
        <v>151.13000500000001</v>
      </c>
      <c r="G1752" s="22">
        <f ca="1"/>
        <v>146.92598000000001</v>
      </c>
      <c r="H1752" s="69">
        <f ca="1"/>
        <v>16476100</v>
      </c>
      <c r="I1752" s="23" t="str">
        <f t="shared" ca="1" si="55"/>
        <v/>
      </c>
    </row>
    <row r="1753" spans="1:9" ht="13.8">
      <c r="A1753" s="20">
        <f t="shared" ca="1" si="54"/>
        <v>43810</v>
      </c>
      <c r="B1753" s="21" t="str">
        <f ca="1"/>
        <v>2019-12-11</v>
      </c>
      <c r="C1753" s="22">
        <f ca="1"/>
        <v>151.53999300000001</v>
      </c>
      <c r="D1753" s="22">
        <f ca="1"/>
        <v>151.86999499999999</v>
      </c>
      <c r="E1753" s="22">
        <f ca="1"/>
        <v>150.33000200000001</v>
      </c>
      <c r="F1753" s="22">
        <f ca="1"/>
        <v>151.699997</v>
      </c>
      <c r="G1753" s="22">
        <f ca="1"/>
        <v>147.48007200000001</v>
      </c>
      <c r="H1753" s="69">
        <f ca="1"/>
        <v>18856600</v>
      </c>
      <c r="I1753" s="23" t="str">
        <f t="shared" ca="1" si="55"/>
        <v/>
      </c>
    </row>
    <row r="1754" spans="1:9" ht="13.8">
      <c r="A1754" s="20">
        <f t="shared" ca="1" si="54"/>
        <v>43811</v>
      </c>
      <c r="B1754" s="21" t="str">
        <f ca="1"/>
        <v>2019-12-12</v>
      </c>
      <c r="C1754" s="22">
        <f ca="1"/>
        <v>151.64999399999999</v>
      </c>
      <c r="D1754" s="22">
        <f ca="1"/>
        <v>153.44000199999999</v>
      </c>
      <c r="E1754" s="22">
        <f ca="1"/>
        <v>151.020004</v>
      </c>
      <c r="F1754" s="22">
        <f ca="1"/>
        <v>153.240005</v>
      </c>
      <c r="G1754" s="22">
        <f ca="1"/>
        <v>148.97721899999999</v>
      </c>
      <c r="H1754" s="69">
        <f ca="1"/>
        <v>24612100</v>
      </c>
      <c r="I1754" s="23" t="str">
        <f t="shared" ca="1" si="55"/>
        <v/>
      </c>
    </row>
    <row r="1755" spans="1:9" ht="13.8">
      <c r="A1755" s="20">
        <f t="shared" ca="1" si="54"/>
        <v>43812</v>
      </c>
      <c r="B1755" s="21" t="str">
        <f ca="1"/>
        <v>2019-12-13</v>
      </c>
      <c r="C1755" s="22">
        <f ca="1"/>
        <v>153</v>
      </c>
      <c r="D1755" s="22">
        <f ca="1"/>
        <v>154.88999899999999</v>
      </c>
      <c r="E1755" s="22">
        <f ca="1"/>
        <v>152.83000200000001</v>
      </c>
      <c r="F1755" s="22">
        <f ca="1"/>
        <v>154.529999</v>
      </c>
      <c r="G1755" s="22">
        <f ca="1"/>
        <v>150.23135400000001</v>
      </c>
      <c r="H1755" s="69">
        <f ca="1"/>
        <v>23845400</v>
      </c>
      <c r="I1755" s="23" t="str">
        <f t="shared" ca="1" si="55"/>
        <v/>
      </c>
    </row>
    <row r="1756" spans="1:9" ht="13.8">
      <c r="A1756" s="20">
        <f t="shared" ca="1" si="54"/>
        <v>43815</v>
      </c>
      <c r="B1756" s="21" t="str">
        <f ca="1"/>
        <v>2019-12-16</v>
      </c>
      <c r="C1756" s="22">
        <f ca="1"/>
        <v>155.11000100000001</v>
      </c>
      <c r="D1756" s="22">
        <f ca="1"/>
        <v>155.89999399999999</v>
      </c>
      <c r="E1756" s="22">
        <f ca="1"/>
        <v>154.820007</v>
      </c>
      <c r="F1756" s="22">
        <f ca="1"/>
        <v>155.529999</v>
      </c>
      <c r="G1756" s="22">
        <f ca="1"/>
        <v>151.20353700000001</v>
      </c>
      <c r="H1756" s="69">
        <f ca="1"/>
        <v>24144200</v>
      </c>
      <c r="I1756" s="23" t="str">
        <f t="shared" ca="1" si="55"/>
        <v/>
      </c>
    </row>
    <row r="1757" spans="1:9" ht="13.8">
      <c r="A1757" s="20">
        <f t="shared" ca="1" si="54"/>
        <v>43816</v>
      </c>
      <c r="B1757" s="21" t="str">
        <f ca="1"/>
        <v>2019-12-17</v>
      </c>
      <c r="C1757" s="22">
        <f ca="1"/>
        <v>155.449997</v>
      </c>
      <c r="D1757" s="22">
        <f ca="1"/>
        <v>155.71000699999999</v>
      </c>
      <c r="E1757" s="22">
        <f ca="1"/>
        <v>154.449997</v>
      </c>
      <c r="F1757" s="22">
        <f ca="1"/>
        <v>154.69000199999999</v>
      </c>
      <c r="G1757" s="22">
        <f ca="1"/>
        <v>150.38690199999999</v>
      </c>
      <c r="H1757" s="69">
        <f ca="1"/>
        <v>25425600</v>
      </c>
      <c r="I1757" s="23" t="str">
        <f t="shared" ca="1" si="55"/>
        <v/>
      </c>
    </row>
    <row r="1758" spans="1:9" ht="13.8">
      <c r="A1758" s="20">
        <f t="shared" ca="1" si="54"/>
        <v>43817</v>
      </c>
      <c r="B1758" s="21" t="str">
        <f ca="1"/>
        <v>2019-12-18</v>
      </c>
      <c r="C1758" s="22">
        <f ca="1"/>
        <v>154.300003</v>
      </c>
      <c r="D1758" s="22">
        <f ca="1"/>
        <v>155.479996</v>
      </c>
      <c r="E1758" s="22">
        <f ca="1"/>
        <v>154.179993</v>
      </c>
      <c r="F1758" s="22">
        <f ca="1"/>
        <v>154.36999499999999</v>
      </c>
      <c r="G1758" s="22">
        <f ca="1"/>
        <v>150.075806</v>
      </c>
      <c r="H1758" s="69">
        <f ca="1"/>
        <v>24129200</v>
      </c>
      <c r="I1758" s="23" t="str">
        <f t="shared" ca="1" si="55"/>
        <v/>
      </c>
    </row>
    <row r="1759" spans="1:9" ht="13.8">
      <c r="A1759" s="20">
        <f t="shared" ca="1" si="54"/>
        <v>43818</v>
      </c>
      <c r="B1759" s="21" t="str">
        <f ca="1"/>
        <v>2019-12-19</v>
      </c>
      <c r="C1759" s="22">
        <f ca="1"/>
        <v>154</v>
      </c>
      <c r="D1759" s="22">
        <f ca="1"/>
        <v>155.770004</v>
      </c>
      <c r="E1759" s="22">
        <f ca="1"/>
        <v>153.75</v>
      </c>
      <c r="F1759" s="22">
        <f ca="1"/>
        <v>155.71000699999999</v>
      </c>
      <c r="G1759" s="22">
        <f ca="1"/>
        <v>151.37853999999999</v>
      </c>
      <c r="H1759" s="69">
        <f ca="1"/>
        <v>24958900</v>
      </c>
      <c r="I1759" s="23" t="str">
        <f t="shared" ca="1" si="55"/>
        <v/>
      </c>
    </row>
    <row r="1760" spans="1:9" ht="13.8">
      <c r="A1760" s="20">
        <f t="shared" ca="1" si="54"/>
        <v>43819</v>
      </c>
      <c r="B1760" s="21" t="str">
        <f ca="1"/>
        <v>2019-12-20</v>
      </c>
      <c r="C1760" s="22">
        <f ca="1"/>
        <v>157.35000600000001</v>
      </c>
      <c r="D1760" s="22">
        <f ca="1"/>
        <v>158.490005</v>
      </c>
      <c r="E1760" s="22">
        <f ca="1"/>
        <v>156.28999300000001</v>
      </c>
      <c r="F1760" s="22">
        <f ca="1"/>
        <v>157.41000399999999</v>
      </c>
      <c r="G1760" s="22">
        <f ca="1"/>
        <v>153.03125</v>
      </c>
      <c r="H1760" s="69">
        <f ca="1"/>
        <v>53477500</v>
      </c>
      <c r="I1760" s="23" t="str">
        <f t="shared" ca="1" si="55"/>
        <v/>
      </c>
    </row>
    <row r="1761" spans="1:9" ht="13.8">
      <c r="A1761" s="20">
        <f t="shared" ca="1" si="54"/>
        <v>43822</v>
      </c>
      <c r="B1761" s="21" t="str">
        <f ca="1"/>
        <v>2019-12-23</v>
      </c>
      <c r="C1761" s="22">
        <f ca="1"/>
        <v>158.11999499999999</v>
      </c>
      <c r="D1761" s="22">
        <f ca="1"/>
        <v>158.11999499999999</v>
      </c>
      <c r="E1761" s="22">
        <f ca="1"/>
        <v>157.270004</v>
      </c>
      <c r="F1761" s="22">
        <f ca="1"/>
        <v>157.41000399999999</v>
      </c>
      <c r="G1761" s="22">
        <f ca="1"/>
        <v>153.03125</v>
      </c>
      <c r="H1761" s="69">
        <f ca="1"/>
        <v>17718200</v>
      </c>
      <c r="I1761" s="23" t="str">
        <f t="shared" ca="1" si="55"/>
        <v/>
      </c>
    </row>
    <row r="1762" spans="1:9" ht="13.8">
      <c r="A1762" s="20">
        <f t="shared" ca="1" si="54"/>
        <v>43823</v>
      </c>
      <c r="B1762" s="21" t="str">
        <f ca="1"/>
        <v>2019-12-24</v>
      </c>
      <c r="C1762" s="22">
        <f ca="1"/>
        <v>157.479996</v>
      </c>
      <c r="D1762" s="22">
        <f ca="1"/>
        <v>157.71000699999999</v>
      </c>
      <c r="E1762" s="22">
        <f ca="1"/>
        <v>157.11999499999999</v>
      </c>
      <c r="F1762" s="22">
        <f ca="1"/>
        <v>157.38000500000001</v>
      </c>
      <c r="G1762" s="22">
        <f ca="1"/>
        <v>153.00207499999999</v>
      </c>
      <c r="H1762" s="69">
        <f ca="1"/>
        <v>8989200</v>
      </c>
      <c r="I1762" s="23" t="str">
        <f t="shared" ca="1" si="55"/>
        <v/>
      </c>
    </row>
    <row r="1763" spans="1:9" ht="13.8">
      <c r="A1763" s="20">
        <f t="shared" ca="1" si="54"/>
        <v>43825</v>
      </c>
      <c r="B1763" s="21" t="str">
        <f ca="1"/>
        <v>2019-12-26</v>
      </c>
      <c r="C1763" s="22">
        <f ca="1"/>
        <v>157.55999800000001</v>
      </c>
      <c r="D1763" s="22">
        <f ca="1"/>
        <v>158.729996</v>
      </c>
      <c r="E1763" s="22">
        <f ca="1"/>
        <v>157.39999399999999</v>
      </c>
      <c r="F1763" s="22">
        <f ca="1"/>
        <v>158.66999799999999</v>
      </c>
      <c r="G1763" s="22">
        <f ca="1"/>
        <v>154.25618</v>
      </c>
      <c r="H1763" s="69">
        <f ca="1"/>
        <v>14520600</v>
      </c>
      <c r="I1763" s="23" t="str">
        <f t="shared" ca="1" si="55"/>
        <v/>
      </c>
    </row>
    <row r="1764" spans="1:9" ht="13.8">
      <c r="A1764" s="20">
        <f t="shared" ca="1" si="54"/>
        <v>43826</v>
      </c>
      <c r="B1764" s="21" t="str">
        <f ca="1"/>
        <v>2019-12-27</v>
      </c>
      <c r="C1764" s="22">
        <f ca="1"/>
        <v>159.449997</v>
      </c>
      <c r="D1764" s="22">
        <f ca="1"/>
        <v>159.550003</v>
      </c>
      <c r="E1764" s="22">
        <f ca="1"/>
        <v>158.220001</v>
      </c>
      <c r="F1764" s="22">
        <f ca="1"/>
        <v>158.96000699999999</v>
      </c>
      <c r="G1764" s="22">
        <f ca="1"/>
        <v>154.53813199999999</v>
      </c>
      <c r="H1764" s="69">
        <f ca="1"/>
        <v>18412800</v>
      </c>
      <c r="I1764" s="23" t="str">
        <f t="shared" ca="1" si="55"/>
        <v/>
      </c>
    </row>
    <row r="1765" spans="1:9" ht="13.8">
      <c r="A1765" s="20">
        <f t="shared" ca="1" si="54"/>
        <v>43829</v>
      </c>
      <c r="B1765" s="21" t="str">
        <f ca="1"/>
        <v>2019-12-30</v>
      </c>
      <c r="C1765" s="22">
        <f ca="1"/>
        <v>158.990005</v>
      </c>
      <c r="D1765" s="22">
        <f ca="1"/>
        <v>159.020004</v>
      </c>
      <c r="E1765" s="22">
        <f ca="1"/>
        <v>156.729996</v>
      </c>
      <c r="F1765" s="22">
        <f ca="1"/>
        <v>157.58999600000001</v>
      </c>
      <c r="G1765" s="22">
        <f ca="1"/>
        <v>153.20620700000001</v>
      </c>
      <c r="H1765" s="69">
        <f ca="1"/>
        <v>16348400</v>
      </c>
      <c r="I1765" s="23" t="str">
        <f t="shared" ca="1" si="55"/>
        <v/>
      </c>
    </row>
    <row r="1766" spans="1:9" ht="13.8">
      <c r="A1766" s="20">
        <f t="shared" ca="1" si="54"/>
        <v>43830</v>
      </c>
      <c r="B1766" s="21" t="str">
        <f ca="1"/>
        <v>2019-12-31</v>
      </c>
      <c r="C1766" s="22">
        <f ca="1"/>
        <v>156.770004</v>
      </c>
      <c r="D1766" s="22">
        <f ca="1"/>
        <v>157.770004</v>
      </c>
      <c r="E1766" s="22">
        <f ca="1"/>
        <v>156.449997</v>
      </c>
      <c r="F1766" s="22">
        <f ca="1"/>
        <v>157.699997</v>
      </c>
      <c r="G1766" s="22">
        <f ca="1"/>
        <v>153.31317100000001</v>
      </c>
      <c r="H1766" s="69">
        <f ca="1"/>
        <v>18369400</v>
      </c>
      <c r="I1766" s="23" t="str">
        <f t="shared" ca="1" si="55"/>
        <v/>
      </c>
    </row>
    <row r="1767" spans="1:9" ht="13.8">
      <c r="A1767" s="20">
        <f t="shared" ca="1" si="54"/>
        <v>43832</v>
      </c>
      <c r="B1767" s="21" t="str">
        <f ca="1"/>
        <v>2020-01-02</v>
      </c>
      <c r="C1767" s="22">
        <f ca="1"/>
        <v>158.779999</v>
      </c>
      <c r="D1767" s="22">
        <f ca="1"/>
        <v>160.729996</v>
      </c>
      <c r="E1767" s="22">
        <f ca="1"/>
        <v>158.33000200000001</v>
      </c>
      <c r="F1767" s="22">
        <f ca="1"/>
        <v>160.61999499999999</v>
      </c>
      <c r="G1767" s="22">
        <f ca="1"/>
        <v>156.15193199999999</v>
      </c>
      <c r="H1767" s="69">
        <f ca="1"/>
        <v>22622100</v>
      </c>
      <c r="I1767" s="23" t="str">
        <f t="shared" ca="1" si="55"/>
        <v/>
      </c>
    </row>
    <row r="1768" spans="1:9" ht="13.8">
      <c r="A1768" s="20">
        <f t="shared" ca="1" si="54"/>
        <v>43833</v>
      </c>
      <c r="B1768" s="21" t="str">
        <f ca="1"/>
        <v>2020-01-03</v>
      </c>
      <c r="C1768" s="22">
        <f ca="1"/>
        <v>158.320007</v>
      </c>
      <c r="D1768" s="22">
        <f ca="1"/>
        <v>159.949997</v>
      </c>
      <c r="E1768" s="22">
        <f ca="1"/>
        <v>158.05999800000001</v>
      </c>
      <c r="F1768" s="22">
        <f ca="1"/>
        <v>158.61999499999999</v>
      </c>
      <c r="G1768" s="22">
        <f ca="1"/>
        <v>154.207596</v>
      </c>
      <c r="H1768" s="69">
        <f ca="1"/>
        <v>21116200</v>
      </c>
      <c r="I1768" s="23" t="str">
        <f t="shared" ca="1" si="55"/>
        <v/>
      </c>
    </row>
    <row r="1769" spans="1:9" ht="13.8">
      <c r="A1769" s="20">
        <f t="shared" ca="1" si="54"/>
        <v>43836</v>
      </c>
      <c r="B1769" s="21" t="str">
        <f ca="1"/>
        <v>2020-01-06</v>
      </c>
      <c r="C1769" s="22">
        <f ca="1"/>
        <v>157.08000200000001</v>
      </c>
      <c r="D1769" s="22">
        <f ca="1"/>
        <v>159.10000600000001</v>
      </c>
      <c r="E1769" s="22">
        <f ca="1"/>
        <v>156.509995</v>
      </c>
      <c r="F1769" s="22">
        <f ca="1"/>
        <v>159.029999</v>
      </c>
      <c r="G1769" s="22">
        <f ca="1"/>
        <v>154.606155</v>
      </c>
      <c r="H1769" s="69">
        <f ca="1"/>
        <v>20813700</v>
      </c>
      <c r="I1769" s="23" t="str">
        <f t="shared" ca="1" si="55"/>
        <v/>
      </c>
    </row>
    <row r="1770" spans="1:9" ht="13.8">
      <c r="A1770" s="20">
        <f t="shared" ca="1" si="54"/>
        <v>43837</v>
      </c>
      <c r="B1770" s="21" t="str">
        <f ca="1"/>
        <v>2020-01-07</v>
      </c>
      <c r="C1770" s="22">
        <f ca="1"/>
        <v>159.320007</v>
      </c>
      <c r="D1770" s="22">
        <f ca="1"/>
        <v>159.66999799999999</v>
      </c>
      <c r="E1770" s="22">
        <f ca="1"/>
        <v>157.320007</v>
      </c>
      <c r="F1770" s="22">
        <f ca="1"/>
        <v>157.58000200000001</v>
      </c>
      <c r="G1770" s="22">
        <f ca="1"/>
        <v>153.196518</v>
      </c>
      <c r="H1770" s="69">
        <f ca="1"/>
        <v>21634100</v>
      </c>
      <c r="I1770" s="23" t="str">
        <f t="shared" ca="1" si="55"/>
        <v/>
      </c>
    </row>
    <row r="1771" spans="1:9" ht="13.8">
      <c r="A1771" s="20">
        <f t="shared" ca="1" si="54"/>
        <v>43838</v>
      </c>
      <c r="B1771" s="21" t="str">
        <f ca="1"/>
        <v>2020-01-08</v>
      </c>
      <c r="C1771" s="22">
        <f ca="1"/>
        <v>158.929993</v>
      </c>
      <c r="D1771" s="22">
        <f ca="1"/>
        <v>160.800003</v>
      </c>
      <c r="E1771" s="22">
        <f ca="1"/>
        <v>157.949997</v>
      </c>
      <c r="F1771" s="22">
        <f ca="1"/>
        <v>160.08999600000001</v>
      </c>
      <c r="G1771" s="22">
        <f ca="1"/>
        <v>155.636673</v>
      </c>
      <c r="H1771" s="69">
        <f ca="1"/>
        <v>27746500</v>
      </c>
      <c r="I1771" s="23" t="str">
        <f t="shared" ca="1" si="55"/>
        <v/>
      </c>
    </row>
    <row r="1772" spans="1:9" ht="13.8">
      <c r="A1772" s="20">
        <f t="shared" ca="1" si="54"/>
        <v>43839</v>
      </c>
      <c r="B1772" s="21" t="str">
        <f ca="1"/>
        <v>2020-01-09</v>
      </c>
      <c r="C1772" s="22">
        <f ca="1"/>
        <v>161.83999600000001</v>
      </c>
      <c r="D1772" s="22">
        <f ca="1"/>
        <v>162.220001</v>
      </c>
      <c r="E1772" s="22">
        <f ca="1"/>
        <v>161.029999</v>
      </c>
      <c r="F1772" s="22">
        <f ca="1"/>
        <v>162.08999600000001</v>
      </c>
      <c r="G1772" s="22">
        <f ca="1"/>
        <v>157.581039</v>
      </c>
      <c r="H1772" s="69">
        <f ca="1"/>
        <v>21385000</v>
      </c>
      <c r="I1772" s="23" t="str">
        <f t="shared" ca="1" si="55"/>
        <v/>
      </c>
    </row>
    <row r="1773" spans="1:9" ht="13.8">
      <c r="A1773" s="20">
        <f t="shared" ca="1" si="54"/>
        <v>43840</v>
      </c>
      <c r="B1773" s="21" t="str">
        <f ca="1"/>
        <v>2020-01-10</v>
      </c>
      <c r="C1773" s="22">
        <f ca="1"/>
        <v>162.820007</v>
      </c>
      <c r="D1773" s="22">
        <f ca="1"/>
        <v>163.220001</v>
      </c>
      <c r="E1773" s="22">
        <f ca="1"/>
        <v>161.179993</v>
      </c>
      <c r="F1773" s="22">
        <f ca="1"/>
        <v>161.33999600000001</v>
      </c>
      <c r="G1773" s="22">
        <f ca="1"/>
        <v>156.85192900000001</v>
      </c>
      <c r="H1773" s="69">
        <f ca="1"/>
        <v>20725900</v>
      </c>
      <c r="I1773" s="23" t="str">
        <f t="shared" ca="1" si="55"/>
        <v/>
      </c>
    </row>
    <row r="1774" spans="1:9" ht="13.8">
      <c r="A1774" s="20">
        <f t="shared" ca="1" si="54"/>
        <v>43843</v>
      </c>
      <c r="B1774" s="21" t="str">
        <f ca="1"/>
        <v>2020-01-13</v>
      </c>
      <c r="C1774" s="22">
        <f ca="1"/>
        <v>161.759995</v>
      </c>
      <c r="D1774" s="22">
        <f ca="1"/>
        <v>163.30999800000001</v>
      </c>
      <c r="E1774" s="22">
        <f ca="1"/>
        <v>161.259995</v>
      </c>
      <c r="F1774" s="22">
        <f ca="1"/>
        <v>163.279999</v>
      </c>
      <c r="G1774" s="22">
        <f ca="1"/>
        <v>158.73794599999999</v>
      </c>
      <c r="H1774" s="69">
        <f ca="1"/>
        <v>21626500</v>
      </c>
      <c r="I1774" s="23" t="str">
        <f t="shared" ca="1" si="55"/>
        <v/>
      </c>
    </row>
    <row r="1775" spans="1:9" ht="13.8">
      <c r="A1775" s="20">
        <f t="shared" ca="1" si="54"/>
        <v>43844</v>
      </c>
      <c r="B1775" s="21" t="str">
        <f ca="1"/>
        <v>2020-01-14</v>
      </c>
      <c r="C1775" s="22">
        <f ca="1"/>
        <v>163.38999899999999</v>
      </c>
      <c r="D1775" s="22">
        <f ca="1"/>
        <v>163.60000600000001</v>
      </c>
      <c r="E1775" s="22">
        <f ca="1"/>
        <v>161.720001</v>
      </c>
      <c r="F1775" s="22">
        <f ca="1"/>
        <v>162.13000500000001</v>
      </c>
      <c r="G1775" s="22">
        <f ca="1"/>
        <v>157.61991900000001</v>
      </c>
      <c r="H1775" s="69">
        <f ca="1"/>
        <v>23477400</v>
      </c>
      <c r="I1775" s="23" t="str">
        <f t="shared" ca="1" si="55"/>
        <v/>
      </c>
    </row>
    <row r="1776" spans="1:9" ht="13.8">
      <c r="A1776" s="20">
        <f t="shared" ca="1" si="54"/>
        <v>43845</v>
      </c>
      <c r="B1776" s="21" t="str">
        <f ca="1"/>
        <v>2020-01-15</v>
      </c>
      <c r="C1776" s="22">
        <f ca="1"/>
        <v>162.61999499999999</v>
      </c>
      <c r="D1776" s="22">
        <f ca="1"/>
        <v>163.94000199999999</v>
      </c>
      <c r="E1776" s="22">
        <f ca="1"/>
        <v>162.570007</v>
      </c>
      <c r="F1776" s="22">
        <f ca="1"/>
        <v>163.179993</v>
      </c>
      <c r="G1776" s="22">
        <f ca="1"/>
        <v>158.64073200000001</v>
      </c>
      <c r="H1776" s="69">
        <f ca="1"/>
        <v>21417900</v>
      </c>
      <c r="I1776" s="23" t="str">
        <f t="shared" ca="1" si="55"/>
        <v/>
      </c>
    </row>
    <row r="1777" spans="1:9" ht="13.8">
      <c r="A1777" s="20">
        <f t="shared" ca="1" si="54"/>
        <v>43846</v>
      </c>
      <c r="B1777" s="21" t="str">
        <f ca="1"/>
        <v>2020-01-16</v>
      </c>
      <c r="C1777" s="22">
        <f ca="1"/>
        <v>164.35000600000001</v>
      </c>
      <c r="D1777" s="22">
        <f ca="1"/>
        <v>166.240005</v>
      </c>
      <c r="E1777" s="22">
        <f ca="1"/>
        <v>164.029999</v>
      </c>
      <c r="F1777" s="22">
        <f ca="1"/>
        <v>166.16999799999999</v>
      </c>
      <c r="G1777" s="22">
        <f ca="1"/>
        <v>161.547562</v>
      </c>
      <c r="H1777" s="69">
        <f ca="1"/>
        <v>23865400</v>
      </c>
      <c r="I1777" s="23" t="str">
        <f t="shared" ca="1" si="55"/>
        <v/>
      </c>
    </row>
    <row r="1778" spans="1:9" ht="13.8">
      <c r="A1778" s="20">
        <f t="shared" ca="1" si="54"/>
        <v>43847</v>
      </c>
      <c r="B1778" s="21" t="str">
        <f ca="1"/>
        <v>2020-01-17</v>
      </c>
      <c r="C1778" s="22">
        <f ca="1"/>
        <v>167.41999799999999</v>
      </c>
      <c r="D1778" s="22">
        <f ca="1"/>
        <v>167.470001</v>
      </c>
      <c r="E1778" s="22">
        <f ca="1"/>
        <v>165.429993</v>
      </c>
      <c r="F1778" s="22">
        <f ca="1"/>
        <v>167.10000600000001</v>
      </c>
      <c r="G1778" s="22">
        <f ca="1"/>
        <v>162.451706</v>
      </c>
      <c r="H1778" s="69">
        <f ca="1"/>
        <v>34371700</v>
      </c>
      <c r="I1778" s="23" t="str">
        <f t="shared" ca="1" si="55"/>
        <v/>
      </c>
    </row>
    <row r="1779" spans="1:9" ht="13.8">
      <c r="A1779" s="20">
        <f t="shared" ca="1" si="54"/>
        <v>43851</v>
      </c>
      <c r="B1779" s="21" t="str">
        <f ca="1"/>
        <v>2020-01-21</v>
      </c>
      <c r="C1779" s="22">
        <f ca="1"/>
        <v>166.679993</v>
      </c>
      <c r="D1779" s="22">
        <f ca="1"/>
        <v>168.19000199999999</v>
      </c>
      <c r="E1779" s="22">
        <f ca="1"/>
        <v>166.429993</v>
      </c>
      <c r="F1779" s="22">
        <f ca="1"/>
        <v>166.5</v>
      </c>
      <c r="G1779" s="22">
        <f ca="1"/>
        <v>161.86837800000001</v>
      </c>
      <c r="H1779" s="69">
        <f ca="1"/>
        <v>29517200</v>
      </c>
      <c r="I1779" s="23" t="str">
        <f t="shared" ca="1" si="55"/>
        <v/>
      </c>
    </row>
    <row r="1780" spans="1:9" ht="13.8">
      <c r="A1780" s="20">
        <f t="shared" ca="1" si="54"/>
        <v>43852</v>
      </c>
      <c r="B1780" s="21" t="str">
        <f ca="1"/>
        <v>2020-01-22</v>
      </c>
      <c r="C1780" s="22">
        <f ca="1"/>
        <v>167.39999399999999</v>
      </c>
      <c r="D1780" s="22">
        <f ca="1"/>
        <v>167.490005</v>
      </c>
      <c r="E1780" s="22">
        <f ca="1"/>
        <v>165.679993</v>
      </c>
      <c r="F1780" s="22">
        <f ca="1"/>
        <v>165.699997</v>
      </c>
      <c r="G1780" s="22">
        <f ca="1"/>
        <v>161.090622</v>
      </c>
      <c r="H1780" s="69">
        <f ca="1"/>
        <v>24138800</v>
      </c>
      <c r="I1780" s="23" t="str">
        <f t="shared" ca="1" si="55"/>
        <v/>
      </c>
    </row>
    <row r="1781" spans="1:9" ht="13.8">
      <c r="A1781" s="20">
        <f t="shared" ca="1" si="54"/>
        <v>43853</v>
      </c>
      <c r="B1781" s="21" t="str">
        <f ca="1"/>
        <v>2020-01-23</v>
      </c>
      <c r="C1781" s="22">
        <f ca="1"/>
        <v>166.19000199999999</v>
      </c>
      <c r="D1781" s="22">
        <f ca="1"/>
        <v>166.800003</v>
      </c>
      <c r="E1781" s="22">
        <f ca="1"/>
        <v>165.270004</v>
      </c>
      <c r="F1781" s="22">
        <f ca="1"/>
        <v>166.720001</v>
      </c>
      <c r="G1781" s="22">
        <f ca="1"/>
        <v>162.08227500000001</v>
      </c>
      <c r="H1781" s="69">
        <f ca="1"/>
        <v>19680800</v>
      </c>
      <c r="I1781" s="23" t="str">
        <f t="shared" ca="1" si="55"/>
        <v/>
      </c>
    </row>
    <row r="1782" spans="1:9" ht="13.8">
      <c r="A1782" s="20">
        <f t="shared" ca="1" si="54"/>
        <v>43854</v>
      </c>
      <c r="B1782" s="21" t="str">
        <f ca="1"/>
        <v>2020-01-24</v>
      </c>
      <c r="C1782" s="22">
        <f ca="1"/>
        <v>167.509995</v>
      </c>
      <c r="D1782" s="22">
        <f ca="1"/>
        <v>167.529999</v>
      </c>
      <c r="E1782" s="22">
        <f ca="1"/>
        <v>164.449997</v>
      </c>
      <c r="F1782" s="22">
        <f ca="1"/>
        <v>165.03999300000001</v>
      </c>
      <c r="G1782" s="22">
        <f ca="1"/>
        <v>160.448959</v>
      </c>
      <c r="H1782" s="69">
        <f ca="1"/>
        <v>24918100</v>
      </c>
      <c r="I1782" s="23" t="str">
        <f t="shared" ca="1" si="55"/>
        <v/>
      </c>
    </row>
    <row r="1783" spans="1:9" ht="13.8">
      <c r="A1783" s="20">
        <f t="shared" ca="1" si="54"/>
        <v>43857</v>
      </c>
      <c r="B1783" s="21" t="str">
        <f ca="1"/>
        <v>2020-01-27</v>
      </c>
      <c r="C1783" s="22">
        <f ca="1"/>
        <v>161.14999399999999</v>
      </c>
      <c r="D1783" s="22">
        <f ca="1"/>
        <v>163.38000500000001</v>
      </c>
      <c r="E1783" s="22">
        <f ca="1"/>
        <v>160.199997</v>
      </c>
      <c r="F1783" s="22">
        <f ca="1"/>
        <v>162.279999</v>
      </c>
      <c r="G1783" s="22">
        <f ca="1"/>
        <v>157.76577800000001</v>
      </c>
      <c r="H1783" s="69">
        <f ca="1"/>
        <v>32078100</v>
      </c>
      <c r="I1783" s="23" t="str">
        <f t="shared" ca="1" si="55"/>
        <v/>
      </c>
    </row>
    <row r="1784" spans="1:9" ht="13.8">
      <c r="A1784" s="20">
        <f t="shared" ca="1" si="54"/>
        <v>43858</v>
      </c>
      <c r="B1784" s="21" t="str">
        <f ca="1"/>
        <v>2020-01-28</v>
      </c>
      <c r="C1784" s="22">
        <f ca="1"/>
        <v>163.779999</v>
      </c>
      <c r="D1784" s="22">
        <f ca="1"/>
        <v>165.759995</v>
      </c>
      <c r="E1784" s="22">
        <f ca="1"/>
        <v>163.070007</v>
      </c>
      <c r="F1784" s="22">
        <f ca="1"/>
        <v>165.46000699999999</v>
      </c>
      <c r="G1784" s="22">
        <f ca="1"/>
        <v>160.857315</v>
      </c>
      <c r="H1784" s="69">
        <f ca="1"/>
        <v>24899900</v>
      </c>
      <c r="I1784" s="23" t="str">
        <f t="shared" ca="1" si="55"/>
        <v/>
      </c>
    </row>
    <row r="1785" spans="1:9" ht="13.8">
      <c r="A1785" s="20">
        <f t="shared" ca="1" si="54"/>
        <v>43859</v>
      </c>
      <c r="B1785" s="21" t="str">
        <f ca="1"/>
        <v>2020-01-29</v>
      </c>
      <c r="C1785" s="22">
        <f ca="1"/>
        <v>167.83999600000001</v>
      </c>
      <c r="D1785" s="22">
        <f ca="1"/>
        <v>168.75</v>
      </c>
      <c r="E1785" s="22">
        <f ca="1"/>
        <v>165.69000199999999</v>
      </c>
      <c r="F1785" s="22">
        <f ca="1"/>
        <v>168.03999300000001</v>
      </c>
      <c r="G1785" s="22">
        <f ca="1"/>
        <v>163.36554000000001</v>
      </c>
      <c r="H1785" s="69">
        <f ca="1"/>
        <v>34754500</v>
      </c>
      <c r="I1785" s="23" t="str">
        <f t="shared" ca="1" si="55"/>
        <v/>
      </c>
    </row>
    <row r="1786" spans="1:9" ht="13.8">
      <c r="A1786" s="20">
        <f t="shared" ca="1" si="54"/>
        <v>43860</v>
      </c>
      <c r="B1786" s="21" t="str">
        <f ca="1"/>
        <v>2020-01-30</v>
      </c>
      <c r="C1786" s="22">
        <f ca="1"/>
        <v>174.050003</v>
      </c>
      <c r="D1786" s="22">
        <f ca="1"/>
        <v>174.050003</v>
      </c>
      <c r="E1786" s="22">
        <f ca="1"/>
        <v>170.78999300000001</v>
      </c>
      <c r="F1786" s="22">
        <f ca="1"/>
        <v>172.779999</v>
      </c>
      <c r="G1786" s="22">
        <f ca="1"/>
        <v>167.97369399999999</v>
      </c>
      <c r="H1786" s="69">
        <f ca="1"/>
        <v>51597500</v>
      </c>
      <c r="I1786" s="23" t="str">
        <f t="shared" ca="1" si="55"/>
        <v/>
      </c>
    </row>
    <row r="1787" spans="1:9" ht="13.8">
      <c r="A1787" s="20">
        <f t="shared" ca="1" si="54"/>
        <v>43861</v>
      </c>
      <c r="B1787" s="21" t="str">
        <f ca="1"/>
        <v>2020-01-31</v>
      </c>
      <c r="C1787" s="22">
        <f ca="1"/>
        <v>172.21000699999999</v>
      </c>
      <c r="D1787" s="22">
        <f ca="1"/>
        <v>172.39999399999999</v>
      </c>
      <c r="E1787" s="22">
        <f ca="1"/>
        <v>169.58000200000001</v>
      </c>
      <c r="F1787" s="22">
        <f ca="1"/>
        <v>170.229996</v>
      </c>
      <c r="G1787" s="22">
        <f ca="1"/>
        <v>165.49461400000001</v>
      </c>
      <c r="H1787" s="69">
        <f ca="1"/>
        <v>36142700</v>
      </c>
      <c r="I1787" s="23" t="str">
        <f t="shared" ca="1" si="55"/>
        <v/>
      </c>
    </row>
    <row r="1788" spans="1:9" ht="13.8">
      <c r="A1788" s="20">
        <f t="shared" ca="1" si="54"/>
        <v>43864</v>
      </c>
      <c r="B1788" s="21" t="str">
        <f ca="1"/>
        <v>2020-02-03</v>
      </c>
      <c r="C1788" s="22">
        <f ca="1"/>
        <v>170.429993</v>
      </c>
      <c r="D1788" s="22">
        <f ca="1"/>
        <v>174.5</v>
      </c>
      <c r="E1788" s="22">
        <f ca="1"/>
        <v>170.39999399999999</v>
      </c>
      <c r="F1788" s="22">
        <f ca="1"/>
        <v>174.38000500000001</v>
      </c>
      <c r="G1788" s="22">
        <f ca="1"/>
        <v>169.52917500000001</v>
      </c>
      <c r="H1788" s="69">
        <f ca="1"/>
        <v>30107000</v>
      </c>
      <c r="I1788" s="23" t="str">
        <f t="shared" ca="1" si="55"/>
        <v/>
      </c>
    </row>
    <row r="1789" spans="1:9" ht="13.8">
      <c r="A1789" s="20">
        <f t="shared" ca="1" si="54"/>
        <v>43865</v>
      </c>
      <c r="B1789" s="21" t="str">
        <f ca="1"/>
        <v>2020-02-04</v>
      </c>
      <c r="C1789" s="22">
        <f ca="1"/>
        <v>177.13999899999999</v>
      </c>
      <c r="D1789" s="22">
        <f ca="1"/>
        <v>180.63999899999999</v>
      </c>
      <c r="E1789" s="22">
        <f ca="1"/>
        <v>176.30999800000001</v>
      </c>
      <c r="F1789" s="22">
        <f ca="1"/>
        <v>180.11999499999999</v>
      </c>
      <c r="G1789" s="22">
        <f ca="1"/>
        <v>175.109497</v>
      </c>
      <c r="H1789" s="69">
        <f ca="1"/>
        <v>36433300</v>
      </c>
      <c r="I1789" s="23" t="str">
        <f t="shared" ca="1" si="55"/>
        <v/>
      </c>
    </row>
    <row r="1790" spans="1:9" ht="13.8">
      <c r="A1790" s="20">
        <f t="shared" ca="1" si="54"/>
        <v>43866</v>
      </c>
      <c r="B1790" s="21" t="str">
        <f ca="1"/>
        <v>2020-02-05</v>
      </c>
      <c r="C1790" s="22">
        <f ca="1"/>
        <v>184.029999</v>
      </c>
      <c r="D1790" s="22">
        <f ca="1"/>
        <v>184.199997</v>
      </c>
      <c r="E1790" s="22">
        <f ca="1"/>
        <v>178.41000399999999</v>
      </c>
      <c r="F1790" s="22">
        <f ca="1"/>
        <v>179.89999399999999</v>
      </c>
      <c r="G1790" s="22">
        <f ca="1"/>
        <v>174.89563000000001</v>
      </c>
      <c r="H1790" s="69">
        <f ca="1"/>
        <v>39186300</v>
      </c>
      <c r="I1790" s="23" t="str">
        <f t="shared" ca="1" si="55"/>
        <v/>
      </c>
    </row>
    <row r="1791" spans="1:9" ht="13.8">
      <c r="A1791" s="20">
        <f t="shared" ca="1" si="54"/>
        <v>43867</v>
      </c>
      <c r="B1791" s="21" t="str">
        <f ca="1"/>
        <v>2020-02-06</v>
      </c>
      <c r="C1791" s="22">
        <f ca="1"/>
        <v>180.970001</v>
      </c>
      <c r="D1791" s="22">
        <f ca="1"/>
        <v>183.820007</v>
      </c>
      <c r="E1791" s="22">
        <f ca="1"/>
        <v>180.05999800000001</v>
      </c>
      <c r="F1791" s="22">
        <f ca="1"/>
        <v>183.63000500000001</v>
      </c>
      <c r="G1791" s="22">
        <f ca="1"/>
        <v>178.52188100000001</v>
      </c>
      <c r="H1791" s="69">
        <f ca="1"/>
        <v>27751400</v>
      </c>
      <c r="I1791" s="23" t="str">
        <f t="shared" ca="1" si="55"/>
        <v/>
      </c>
    </row>
    <row r="1792" spans="1:9" ht="13.8">
      <c r="A1792" s="20">
        <f t="shared" ca="1" si="54"/>
        <v>43868</v>
      </c>
      <c r="B1792" s="21" t="str">
        <f ca="1"/>
        <v>2020-02-07</v>
      </c>
      <c r="C1792" s="22">
        <f ca="1"/>
        <v>182.85000600000001</v>
      </c>
      <c r="D1792" s="22">
        <f ca="1"/>
        <v>185.63000500000001</v>
      </c>
      <c r="E1792" s="22">
        <f ca="1"/>
        <v>182.479996</v>
      </c>
      <c r="F1792" s="22">
        <f ca="1"/>
        <v>183.88999899999999</v>
      </c>
      <c r="G1792" s="22">
        <f ca="1"/>
        <v>178.774643</v>
      </c>
      <c r="H1792" s="69">
        <f ca="1"/>
        <v>33529100</v>
      </c>
      <c r="I1792" s="23" t="str">
        <f t="shared" ca="1" si="55"/>
        <v/>
      </c>
    </row>
    <row r="1793" spans="1:9" ht="13.8">
      <c r="A1793" s="20">
        <f t="shared" ca="1" si="54"/>
        <v>43871</v>
      </c>
      <c r="B1793" s="21" t="str">
        <f ca="1"/>
        <v>2020-02-10</v>
      </c>
      <c r="C1793" s="22">
        <f ca="1"/>
        <v>183.58000200000001</v>
      </c>
      <c r="D1793" s="22">
        <f ca="1"/>
        <v>188.83999600000001</v>
      </c>
      <c r="E1793" s="22">
        <f ca="1"/>
        <v>183.25</v>
      </c>
      <c r="F1793" s="22">
        <f ca="1"/>
        <v>188.699997</v>
      </c>
      <c r="G1793" s="22">
        <f ca="1"/>
        <v>183.45082099999999</v>
      </c>
      <c r="H1793" s="69">
        <f ca="1"/>
        <v>35844300</v>
      </c>
      <c r="I1793" s="23" t="str">
        <f t="shared" ca="1" si="55"/>
        <v/>
      </c>
    </row>
    <row r="1794" spans="1:9" ht="13.8">
      <c r="A1794" s="20">
        <f t="shared" ca="1" si="54"/>
        <v>43872</v>
      </c>
      <c r="B1794" s="21" t="str">
        <f ca="1"/>
        <v>2020-02-11</v>
      </c>
      <c r="C1794" s="22">
        <f ca="1"/>
        <v>190.64999399999999</v>
      </c>
      <c r="D1794" s="22">
        <f ca="1"/>
        <v>190.699997</v>
      </c>
      <c r="E1794" s="22">
        <f ca="1"/>
        <v>183.5</v>
      </c>
      <c r="F1794" s="22">
        <f ca="1"/>
        <v>184.44000199999999</v>
      </c>
      <c r="G1794" s="22">
        <f ca="1"/>
        <v>179.309326</v>
      </c>
      <c r="H1794" s="69">
        <f ca="1"/>
        <v>53159900</v>
      </c>
      <c r="I1794" s="23" t="str">
        <f t="shared" ca="1" si="55"/>
        <v/>
      </c>
    </row>
    <row r="1795" spans="1:9" ht="13.8">
      <c r="A1795" s="20">
        <f t="shared" ca="1" si="54"/>
        <v>43873</v>
      </c>
      <c r="B1795" s="21" t="str">
        <f ca="1"/>
        <v>2020-02-12</v>
      </c>
      <c r="C1795" s="22">
        <f ca="1"/>
        <v>185.58000200000001</v>
      </c>
      <c r="D1795" s="22">
        <f ca="1"/>
        <v>185.85000600000001</v>
      </c>
      <c r="E1795" s="22">
        <f ca="1"/>
        <v>181.85000600000001</v>
      </c>
      <c r="F1795" s="22">
        <f ca="1"/>
        <v>184.71000699999999</v>
      </c>
      <c r="G1795" s="22">
        <f ca="1"/>
        <v>179.57182299999999</v>
      </c>
      <c r="H1795" s="69">
        <f ca="1"/>
        <v>47062900</v>
      </c>
      <c r="I1795" s="23" t="str">
        <f t="shared" ca="1" si="55"/>
        <v/>
      </c>
    </row>
    <row r="1796" spans="1:9" ht="13.8">
      <c r="A1796" s="20">
        <f t="shared" ca="1" si="54"/>
        <v>43874</v>
      </c>
      <c r="B1796" s="21" t="str">
        <f ca="1"/>
        <v>2020-02-13</v>
      </c>
      <c r="C1796" s="22">
        <f ca="1"/>
        <v>183.08000200000001</v>
      </c>
      <c r="D1796" s="22">
        <f ca="1"/>
        <v>186.229996</v>
      </c>
      <c r="E1796" s="22">
        <f ca="1"/>
        <v>182.86999499999999</v>
      </c>
      <c r="F1796" s="22">
        <f ca="1"/>
        <v>183.71000699999999</v>
      </c>
      <c r="G1796" s="22">
        <f ca="1"/>
        <v>178.59967</v>
      </c>
      <c r="H1796" s="69">
        <f ca="1"/>
        <v>35295800</v>
      </c>
      <c r="I1796" s="23" t="str">
        <f t="shared" ca="1" si="55"/>
        <v/>
      </c>
    </row>
    <row r="1797" spans="1:9" ht="13.8">
      <c r="A1797" s="20">
        <f t="shared" ca="1" si="54"/>
        <v>43875</v>
      </c>
      <c r="B1797" s="21" t="str">
        <f ca="1"/>
        <v>2020-02-14</v>
      </c>
      <c r="C1797" s="22">
        <f ca="1"/>
        <v>183.25</v>
      </c>
      <c r="D1797" s="22">
        <f ca="1"/>
        <v>185.41000399999999</v>
      </c>
      <c r="E1797" s="22">
        <f ca="1"/>
        <v>182.64999399999999</v>
      </c>
      <c r="F1797" s="22">
        <f ca="1"/>
        <v>185.35000600000001</v>
      </c>
      <c r="G1797" s="22">
        <f ca="1"/>
        <v>180.194031</v>
      </c>
      <c r="H1797" s="69">
        <f ca="1"/>
        <v>23149500</v>
      </c>
      <c r="I1797" s="23" t="str">
        <f t="shared" ca="1" si="55"/>
        <v/>
      </c>
    </row>
    <row r="1798" spans="1:9" ht="13.8">
      <c r="A1798" s="20">
        <f t="shared" ref="A1798:A1861" ca="1" si="56">IFERROR(DATEVALUE($B1798),"--")</f>
        <v>43879</v>
      </c>
      <c r="B1798" s="21" t="str">
        <f ca="1"/>
        <v>2020-02-18</v>
      </c>
      <c r="C1798" s="22">
        <f ca="1"/>
        <v>185.61000100000001</v>
      </c>
      <c r="D1798" s="22">
        <f ca="1"/>
        <v>187.699997</v>
      </c>
      <c r="E1798" s="22">
        <f ca="1"/>
        <v>185.5</v>
      </c>
      <c r="F1798" s="22">
        <f ca="1"/>
        <v>187.229996</v>
      </c>
      <c r="G1798" s="22">
        <f ca="1"/>
        <v>182.02171300000001</v>
      </c>
      <c r="H1798" s="69">
        <f ca="1"/>
        <v>27792200</v>
      </c>
      <c r="I1798" s="23" t="str">
        <f t="shared" ref="I1798:I1861" ca="1" si="57">IFERROR(IF(Ticker&lt;&gt;$Q$2,"",INDEX($P:$P,MATCH($A1798,$O:$O,0))),"")</f>
        <v/>
      </c>
    </row>
    <row r="1799" spans="1:9" ht="13.8">
      <c r="A1799" s="20">
        <f t="shared" ca="1" si="56"/>
        <v>43880</v>
      </c>
      <c r="B1799" s="21" t="str">
        <f ca="1"/>
        <v>2020-02-19</v>
      </c>
      <c r="C1799" s="22">
        <f ca="1"/>
        <v>188.05999800000001</v>
      </c>
      <c r="D1799" s="22">
        <f ca="1"/>
        <v>188.179993</v>
      </c>
      <c r="E1799" s="22">
        <f ca="1"/>
        <v>186.470001</v>
      </c>
      <c r="F1799" s="22">
        <f ca="1"/>
        <v>187.279999</v>
      </c>
      <c r="G1799" s="22">
        <f ca="1"/>
        <v>182.567612</v>
      </c>
      <c r="H1799" s="69">
        <f ca="1"/>
        <v>29997500</v>
      </c>
      <c r="I1799" s="23">
        <f t="shared" ca="1" si="57"/>
        <v>0.51</v>
      </c>
    </row>
    <row r="1800" spans="1:9" ht="13.8">
      <c r="A1800" s="20">
        <f t="shared" ca="1" si="56"/>
        <v>43881</v>
      </c>
      <c r="B1800" s="21" t="str">
        <f ca="1"/>
        <v>2020-02-20</v>
      </c>
      <c r="C1800" s="22">
        <f ca="1"/>
        <v>186.949997</v>
      </c>
      <c r="D1800" s="22">
        <f ca="1"/>
        <v>187.25</v>
      </c>
      <c r="E1800" s="22">
        <f ca="1"/>
        <v>181.10000600000001</v>
      </c>
      <c r="F1800" s="22">
        <f ca="1"/>
        <v>184.41999799999999</v>
      </c>
      <c r="G1800" s="22">
        <f ca="1"/>
        <v>179.77958699999999</v>
      </c>
      <c r="H1800" s="69">
        <f ca="1"/>
        <v>36862400</v>
      </c>
      <c r="I1800" s="23" t="str">
        <f t="shared" ca="1" si="57"/>
        <v/>
      </c>
    </row>
    <row r="1801" spans="1:9" ht="13.8">
      <c r="A1801" s="20">
        <f t="shared" ca="1" si="56"/>
        <v>43882</v>
      </c>
      <c r="B1801" s="21" t="str">
        <f ca="1"/>
        <v>2020-02-21</v>
      </c>
      <c r="C1801" s="22">
        <f ca="1"/>
        <v>183.16999799999999</v>
      </c>
      <c r="D1801" s="22">
        <f ca="1"/>
        <v>183.5</v>
      </c>
      <c r="E1801" s="22">
        <f ca="1"/>
        <v>177.25</v>
      </c>
      <c r="F1801" s="22">
        <f ca="1"/>
        <v>178.58999600000001</v>
      </c>
      <c r="G1801" s="22">
        <f ca="1"/>
        <v>174.09629799999999</v>
      </c>
      <c r="H1801" s="69">
        <f ca="1"/>
        <v>48572600</v>
      </c>
      <c r="I1801" s="23" t="str">
        <f t="shared" ca="1" si="57"/>
        <v/>
      </c>
    </row>
    <row r="1802" spans="1:9" ht="13.8">
      <c r="A1802" s="20">
        <f t="shared" ca="1" si="56"/>
        <v>43885</v>
      </c>
      <c r="B1802" s="21" t="str">
        <f ca="1"/>
        <v>2020-02-24</v>
      </c>
      <c r="C1802" s="22">
        <f ca="1"/>
        <v>167.770004</v>
      </c>
      <c r="D1802" s="22">
        <f ca="1"/>
        <v>174.550003</v>
      </c>
      <c r="E1802" s="22">
        <f ca="1"/>
        <v>163.229996</v>
      </c>
      <c r="F1802" s="22">
        <f ca="1"/>
        <v>170.88999899999999</v>
      </c>
      <c r="G1802" s="22">
        <f ca="1"/>
        <v>166.59002699999999</v>
      </c>
      <c r="H1802" s="69">
        <f ca="1"/>
        <v>68311100</v>
      </c>
      <c r="I1802" s="23" t="str">
        <f t="shared" ca="1" si="57"/>
        <v/>
      </c>
    </row>
    <row r="1803" spans="1:9" ht="13.8">
      <c r="A1803" s="20">
        <f t="shared" ca="1" si="56"/>
        <v>43886</v>
      </c>
      <c r="B1803" s="21" t="str">
        <f ca="1"/>
        <v>2020-02-25</v>
      </c>
      <c r="C1803" s="22">
        <f ca="1"/>
        <v>174.199997</v>
      </c>
      <c r="D1803" s="22">
        <f ca="1"/>
        <v>174.83999600000001</v>
      </c>
      <c r="E1803" s="22">
        <f ca="1"/>
        <v>167.64999399999999</v>
      </c>
      <c r="F1803" s="22">
        <f ca="1"/>
        <v>168.070007</v>
      </c>
      <c r="G1803" s="22">
        <f ca="1"/>
        <v>163.84098800000001</v>
      </c>
      <c r="H1803" s="69">
        <f ca="1"/>
        <v>68073300</v>
      </c>
      <c r="I1803" s="23" t="str">
        <f t="shared" ca="1" si="57"/>
        <v/>
      </c>
    </row>
    <row r="1804" spans="1:9" ht="13.8">
      <c r="A1804" s="20">
        <f t="shared" ca="1" si="56"/>
        <v>43887</v>
      </c>
      <c r="B1804" s="21" t="str">
        <f ca="1"/>
        <v>2020-02-26</v>
      </c>
      <c r="C1804" s="22">
        <f ca="1"/>
        <v>169.71000699999999</v>
      </c>
      <c r="D1804" s="22">
        <f ca="1"/>
        <v>173.259995</v>
      </c>
      <c r="E1804" s="22">
        <f ca="1"/>
        <v>168.21000699999999</v>
      </c>
      <c r="F1804" s="22">
        <f ca="1"/>
        <v>170.16999799999999</v>
      </c>
      <c r="G1804" s="22">
        <f ca="1"/>
        <v>165.88812300000001</v>
      </c>
      <c r="H1804" s="69">
        <f ca="1"/>
        <v>56206100</v>
      </c>
      <c r="I1804" s="23" t="str">
        <f t="shared" ca="1" si="57"/>
        <v/>
      </c>
    </row>
    <row r="1805" spans="1:9" ht="13.8">
      <c r="A1805" s="20">
        <f t="shared" ca="1" si="56"/>
        <v>43888</v>
      </c>
      <c r="B1805" s="21" t="str">
        <f ca="1"/>
        <v>2020-02-27</v>
      </c>
      <c r="C1805" s="22">
        <f ca="1"/>
        <v>163.320007</v>
      </c>
      <c r="D1805" s="22">
        <f ca="1"/>
        <v>167.029999</v>
      </c>
      <c r="E1805" s="22">
        <f ca="1"/>
        <v>157.979996</v>
      </c>
      <c r="F1805" s="22">
        <f ca="1"/>
        <v>158.179993</v>
      </c>
      <c r="G1805" s="22">
        <f ca="1"/>
        <v>154.19984400000001</v>
      </c>
      <c r="H1805" s="69">
        <f ca="1"/>
        <v>93174900</v>
      </c>
      <c r="I1805" s="23" t="str">
        <f t="shared" ca="1" si="57"/>
        <v/>
      </c>
    </row>
    <row r="1806" spans="1:9" ht="13.8">
      <c r="A1806" s="20">
        <f t="shared" ca="1" si="56"/>
        <v>43889</v>
      </c>
      <c r="B1806" s="21" t="str">
        <f ca="1"/>
        <v>2020-02-28</v>
      </c>
      <c r="C1806" s="22">
        <f ca="1"/>
        <v>152.41000399999999</v>
      </c>
      <c r="D1806" s="22">
        <f ca="1"/>
        <v>163.71000699999999</v>
      </c>
      <c r="E1806" s="22">
        <f ca="1"/>
        <v>152</v>
      </c>
      <c r="F1806" s="22">
        <f ca="1"/>
        <v>162.009995</v>
      </c>
      <c r="G1806" s="22">
        <f ca="1"/>
        <v>157.93345600000001</v>
      </c>
      <c r="H1806" s="69">
        <f ca="1"/>
        <v>97012700</v>
      </c>
      <c r="I1806" s="23" t="str">
        <f t="shared" ca="1" si="57"/>
        <v/>
      </c>
    </row>
    <row r="1807" spans="1:9" ht="13.8">
      <c r="A1807" s="20">
        <f t="shared" ca="1" si="56"/>
        <v>43892</v>
      </c>
      <c r="B1807" s="21" t="str">
        <f ca="1"/>
        <v>2020-03-02</v>
      </c>
      <c r="C1807" s="22">
        <f ca="1"/>
        <v>165.30999800000001</v>
      </c>
      <c r="D1807" s="22">
        <f ca="1"/>
        <v>172.91999799999999</v>
      </c>
      <c r="E1807" s="22">
        <f ca="1"/>
        <v>162.30999800000001</v>
      </c>
      <c r="F1807" s="22">
        <f ca="1"/>
        <v>172.78999300000001</v>
      </c>
      <c r="G1807" s="22">
        <f ca="1"/>
        <v>168.44220000000001</v>
      </c>
      <c r="H1807" s="69">
        <f ca="1"/>
        <v>71030800</v>
      </c>
      <c r="I1807" s="23" t="str">
        <f t="shared" ca="1" si="57"/>
        <v/>
      </c>
    </row>
    <row r="1808" spans="1:9" ht="13.8">
      <c r="A1808" s="20">
        <f t="shared" ca="1" si="56"/>
        <v>43893</v>
      </c>
      <c r="B1808" s="21" t="str">
        <f ca="1"/>
        <v>2020-03-03</v>
      </c>
      <c r="C1808" s="22">
        <f ca="1"/>
        <v>173.800003</v>
      </c>
      <c r="D1808" s="22">
        <f ca="1"/>
        <v>175</v>
      </c>
      <c r="E1808" s="22">
        <f ca="1"/>
        <v>162.259995</v>
      </c>
      <c r="F1808" s="22">
        <f ca="1"/>
        <v>164.509995</v>
      </c>
      <c r="G1808" s="22">
        <f ca="1"/>
        <v>160.37056000000001</v>
      </c>
      <c r="H1808" s="69">
        <f ca="1"/>
        <v>71677000</v>
      </c>
      <c r="I1808" s="23" t="str">
        <f t="shared" ca="1" si="57"/>
        <v/>
      </c>
    </row>
    <row r="1809" spans="1:9" ht="13.8">
      <c r="A1809" s="20">
        <f t="shared" ca="1" si="56"/>
        <v>43894</v>
      </c>
      <c r="B1809" s="21" t="str">
        <f ca="1"/>
        <v>2020-03-04</v>
      </c>
      <c r="C1809" s="22">
        <f ca="1"/>
        <v>168.490005</v>
      </c>
      <c r="D1809" s="22">
        <f ca="1"/>
        <v>170.699997</v>
      </c>
      <c r="E1809" s="22">
        <f ca="1"/>
        <v>165.61999499999999</v>
      </c>
      <c r="F1809" s="22">
        <f ca="1"/>
        <v>170.550003</v>
      </c>
      <c r="G1809" s="22">
        <f ca="1"/>
        <v>166.25860599999999</v>
      </c>
      <c r="H1809" s="69">
        <f ca="1"/>
        <v>49814400</v>
      </c>
      <c r="I1809" s="23" t="str">
        <f t="shared" ca="1" si="57"/>
        <v/>
      </c>
    </row>
    <row r="1810" spans="1:9" ht="13.8">
      <c r="A1810" s="20">
        <f t="shared" ca="1" si="56"/>
        <v>43895</v>
      </c>
      <c r="B1810" s="21" t="str">
        <f ca="1"/>
        <v>2020-03-05</v>
      </c>
      <c r="C1810" s="22">
        <f ca="1"/>
        <v>166.050003</v>
      </c>
      <c r="D1810" s="22">
        <f ca="1"/>
        <v>170.86999499999999</v>
      </c>
      <c r="E1810" s="22">
        <f ca="1"/>
        <v>165.69000199999999</v>
      </c>
      <c r="F1810" s="22">
        <f ca="1"/>
        <v>166.270004</v>
      </c>
      <c r="G1810" s="22">
        <f ca="1"/>
        <v>162.086288</v>
      </c>
      <c r="H1810" s="69">
        <f ca="1"/>
        <v>47817300</v>
      </c>
      <c r="I1810" s="23" t="str">
        <f t="shared" ca="1" si="57"/>
        <v/>
      </c>
    </row>
    <row r="1811" spans="1:9" ht="13.8">
      <c r="A1811" s="20">
        <f t="shared" ca="1" si="56"/>
        <v>43896</v>
      </c>
      <c r="B1811" s="21" t="str">
        <f ca="1"/>
        <v>2020-03-06</v>
      </c>
      <c r="C1811" s="22">
        <f ca="1"/>
        <v>162.61000100000001</v>
      </c>
      <c r="D1811" s="22">
        <f ca="1"/>
        <v>163.11000100000001</v>
      </c>
      <c r="E1811" s="22">
        <f ca="1"/>
        <v>156</v>
      </c>
      <c r="F1811" s="22">
        <f ca="1"/>
        <v>161.570007</v>
      </c>
      <c r="G1811" s="22">
        <f ca="1"/>
        <v>157.50456199999999</v>
      </c>
      <c r="H1811" s="69">
        <f ca="1"/>
        <v>72821100</v>
      </c>
      <c r="I1811" s="23" t="str">
        <f t="shared" ca="1" si="57"/>
        <v/>
      </c>
    </row>
    <row r="1812" spans="1:9" ht="13.8">
      <c r="A1812" s="20">
        <f t="shared" ca="1" si="56"/>
        <v>43899</v>
      </c>
      <c r="B1812" s="21" t="str">
        <f ca="1"/>
        <v>2020-03-09</v>
      </c>
      <c r="C1812" s="22">
        <f ca="1"/>
        <v>151</v>
      </c>
      <c r="D1812" s="22">
        <f ca="1"/>
        <v>157.75</v>
      </c>
      <c r="E1812" s="22">
        <f ca="1"/>
        <v>150</v>
      </c>
      <c r="F1812" s="22">
        <f ca="1"/>
        <v>150.61999499999999</v>
      </c>
      <c r="G1812" s="22">
        <f ca="1"/>
        <v>146.830063</v>
      </c>
      <c r="H1812" s="69">
        <f ca="1"/>
        <v>70419300</v>
      </c>
      <c r="I1812" s="23" t="str">
        <f t="shared" ca="1" si="57"/>
        <v/>
      </c>
    </row>
    <row r="1813" spans="1:9" ht="13.8">
      <c r="A1813" s="20">
        <f t="shared" ca="1" si="56"/>
        <v>43900</v>
      </c>
      <c r="B1813" s="21" t="str">
        <f ca="1"/>
        <v>2020-03-10</v>
      </c>
      <c r="C1813" s="22">
        <f ca="1"/>
        <v>158.16000399999999</v>
      </c>
      <c r="D1813" s="22">
        <f ca="1"/>
        <v>161.029999</v>
      </c>
      <c r="E1813" s="22">
        <f ca="1"/>
        <v>152.58000200000001</v>
      </c>
      <c r="F1813" s="22">
        <f ca="1"/>
        <v>160.91999799999999</v>
      </c>
      <c r="G1813" s="22">
        <f ca="1"/>
        <v>156.87088</v>
      </c>
      <c r="H1813" s="69">
        <f ca="1"/>
        <v>65354400</v>
      </c>
      <c r="I1813" s="23" t="str">
        <f t="shared" ca="1" si="57"/>
        <v/>
      </c>
    </row>
    <row r="1814" spans="1:9" ht="13.8">
      <c r="A1814" s="20">
        <f t="shared" ca="1" si="56"/>
        <v>43901</v>
      </c>
      <c r="B1814" s="21" t="str">
        <f ca="1"/>
        <v>2020-03-11</v>
      </c>
      <c r="C1814" s="22">
        <f ca="1"/>
        <v>157.13000500000001</v>
      </c>
      <c r="D1814" s="22">
        <f ca="1"/>
        <v>157.699997</v>
      </c>
      <c r="E1814" s="22">
        <f ca="1"/>
        <v>151.14999399999999</v>
      </c>
      <c r="F1814" s="22">
        <f ca="1"/>
        <v>153.63000500000001</v>
      </c>
      <c r="G1814" s="22">
        <f ca="1"/>
        <v>149.76435900000001</v>
      </c>
      <c r="H1814" s="69">
        <f ca="1"/>
        <v>56371600</v>
      </c>
      <c r="I1814" s="23" t="str">
        <f t="shared" ca="1" si="57"/>
        <v/>
      </c>
    </row>
    <row r="1815" spans="1:9" ht="13.8">
      <c r="A1815" s="20">
        <f t="shared" ca="1" si="56"/>
        <v>43902</v>
      </c>
      <c r="B1815" s="21" t="str">
        <f ca="1"/>
        <v>2020-03-12</v>
      </c>
      <c r="C1815" s="22">
        <f ca="1"/>
        <v>145.300003</v>
      </c>
      <c r="D1815" s="22">
        <f ca="1"/>
        <v>153.470001</v>
      </c>
      <c r="E1815" s="22">
        <f ca="1"/>
        <v>138.58000200000001</v>
      </c>
      <c r="F1815" s="22">
        <f ca="1"/>
        <v>139.05999800000001</v>
      </c>
      <c r="G1815" s="22">
        <f ca="1"/>
        <v>135.56092799999999</v>
      </c>
      <c r="H1815" s="69">
        <f ca="1"/>
        <v>93226400</v>
      </c>
      <c r="I1815" s="23" t="str">
        <f t="shared" ca="1" si="57"/>
        <v/>
      </c>
    </row>
    <row r="1816" spans="1:9" ht="13.8">
      <c r="A1816" s="20">
        <f t="shared" ca="1" si="56"/>
        <v>43903</v>
      </c>
      <c r="B1816" s="21" t="str">
        <f ca="1"/>
        <v>2020-03-13</v>
      </c>
      <c r="C1816" s="22">
        <f ca="1"/>
        <v>147.5</v>
      </c>
      <c r="D1816" s="22">
        <f ca="1"/>
        <v>161.91000399999999</v>
      </c>
      <c r="E1816" s="22">
        <f ca="1"/>
        <v>140.729996</v>
      </c>
      <c r="F1816" s="22">
        <f ca="1"/>
        <v>158.83000200000001</v>
      </c>
      <c r="G1816" s="22">
        <f ca="1"/>
        <v>154.833527</v>
      </c>
      <c r="H1816" s="69">
        <f ca="1"/>
        <v>92727400</v>
      </c>
      <c r="I1816" s="23" t="str">
        <f t="shared" ca="1" si="57"/>
        <v/>
      </c>
    </row>
    <row r="1817" spans="1:9" ht="13.8">
      <c r="A1817" s="20">
        <f t="shared" ca="1" si="56"/>
        <v>43906</v>
      </c>
      <c r="B1817" s="21" t="str">
        <f ca="1"/>
        <v>2020-03-16</v>
      </c>
      <c r="C1817" s="22">
        <f ca="1"/>
        <v>140</v>
      </c>
      <c r="D1817" s="22">
        <f ca="1"/>
        <v>149.35000600000001</v>
      </c>
      <c r="E1817" s="22">
        <f ca="1"/>
        <v>135</v>
      </c>
      <c r="F1817" s="22">
        <f ca="1"/>
        <v>135.41999799999999</v>
      </c>
      <c r="G1817" s="22">
        <f ca="1"/>
        <v>132.01252700000001</v>
      </c>
      <c r="H1817" s="69">
        <f ca="1"/>
        <v>87905900</v>
      </c>
      <c r="I1817" s="23" t="str">
        <f t="shared" ca="1" si="57"/>
        <v/>
      </c>
    </row>
    <row r="1818" spans="1:9" ht="13.8">
      <c r="A1818" s="20">
        <f t="shared" ca="1" si="56"/>
        <v>43907</v>
      </c>
      <c r="B1818" s="21" t="str">
        <f ca="1"/>
        <v>2020-03-17</v>
      </c>
      <c r="C1818" s="22">
        <f ca="1"/>
        <v>140</v>
      </c>
      <c r="D1818" s="22">
        <f ca="1"/>
        <v>147.5</v>
      </c>
      <c r="E1818" s="22">
        <f ca="1"/>
        <v>135</v>
      </c>
      <c r="F1818" s="22">
        <f ca="1"/>
        <v>146.570007</v>
      </c>
      <c r="G1818" s="22">
        <f ca="1"/>
        <v>142.881958</v>
      </c>
      <c r="H1818" s="69">
        <f ca="1"/>
        <v>81059800</v>
      </c>
      <c r="I1818" s="23" t="str">
        <f t="shared" ca="1" si="57"/>
        <v/>
      </c>
    </row>
    <row r="1819" spans="1:9" ht="13.8">
      <c r="A1819" s="20">
        <f t="shared" ca="1" si="56"/>
        <v>43908</v>
      </c>
      <c r="B1819" s="21" t="str">
        <f ca="1"/>
        <v>2020-03-18</v>
      </c>
      <c r="C1819" s="22">
        <f ca="1"/>
        <v>138</v>
      </c>
      <c r="D1819" s="22">
        <f ca="1"/>
        <v>146</v>
      </c>
      <c r="E1819" s="22">
        <f ca="1"/>
        <v>135.020004</v>
      </c>
      <c r="F1819" s="22">
        <f ca="1"/>
        <v>140.39999399999999</v>
      </c>
      <c r="G1819" s="22">
        <f ca="1"/>
        <v>136.867233</v>
      </c>
      <c r="H1819" s="69">
        <f ca="1"/>
        <v>81593200</v>
      </c>
      <c r="I1819" s="23" t="str">
        <f t="shared" ca="1" si="57"/>
        <v/>
      </c>
    </row>
    <row r="1820" spans="1:9" ht="13.8">
      <c r="A1820" s="20">
        <f t="shared" ca="1" si="56"/>
        <v>43909</v>
      </c>
      <c r="B1820" s="21" t="str">
        <f ca="1"/>
        <v>2020-03-19</v>
      </c>
      <c r="C1820" s="22">
        <f ca="1"/>
        <v>142.770004</v>
      </c>
      <c r="D1820" s="22">
        <f ca="1"/>
        <v>150.14999399999999</v>
      </c>
      <c r="E1820" s="22">
        <f ca="1"/>
        <v>139</v>
      </c>
      <c r="F1820" s="22">
        <f ca="1"/>
        <v>142.71000699999999</v>
      </c>
      <c r="G1820" s="22">
        <f ca="1"/>
        <v>139.119125</v>
      </c>
      <c r="H1820" s="69">
        <f ca="1"/>
        <v>85922700</v>
      </c>
      <c r="I1820" s="23" t="str">
        <f t="shared" ca="1" si="57"/>
        <v/>
      </c>
    </row>
    <row r="1821" spans="1:9" ht="13.8">
      <c r="A1821" s="20">
        <f t="shared" ca="1" si="56"/>
        <v>43910</v>
      </c>
      <c r="B1821" s="21" t="str">
        <f ca="1"/>
        <v>2020-03-20</v>
      </c>
      <c r="C1821" s="22">
        <f ca="1"/>
        <v>146</v>
      </c>
      <c r="D1821" s="22">
        <f ca="1"/>
        <v>147.10000600000001</v>
      </c>
      <c r="E1821" s="22">
        <f ca="1"/>
        <v>135.86000100000001</v>
      </c>
      <c r="F1821" s="22">
        <f ca="1"/>
        <v>137.35000600000001</v>
      </c>
      <c r="G1821" s="22">
        <f ca="1"/>
        <v>133.893967</v>
      </c>
      <c r="H1821" s="69">
        <f ca="1"/>
        <v>84866200</v>
      </c>
      <c r="I1821" s="23" t="str">
        <f t="shared" ca="1" si="57"/>
        <v/>
      </c>
    </row>
    <row r="1822" spans="1:9" ht="13.8">
      <c r="A1822" s="20">
        <f t="shared" ca="1" si="56"/>
        <v>43913</v>
      </c>
      <c r="B1822" s="21" t="str">
        <f ca="1"/>
        <v>2020-03-23</v>
      </c>
      <c r="C1822" s="22">
        <f ca="1"/>
        <v>137.009995</v>
      </c>
      <c r="D1822" s="22">
        <f ca="1"/>
        <v>140.570007</v>
      </c>
      <c r="E1822" s="22">
        <f ca="1"/>
        <v>132.520004</v>
      </c>
      <c r="F1822" s="22">
        <f ca="1"/>
        <v>135.979996</v>
      </c>
      <c r="G1822" s="22">
        <f ca="1"/>
        <v>132.55845600000001</v>
      </c>
      <c r="H1822" s="69">
        <f ca="1"/>
        <v>78975200</v>
      </c>
      <c r="I1822" s="23" t="str">
        <f t="shared" ca="1" si="57"/>
        <v/>
      </c>
    </row>
    <row r="1823" spans="1:9" ht="13.8">
      <c r="A1823" s="20">
        <f t="shared" ca="1" si="56"/>
        <v>43914</v>
      </c>
      <c r="B1823" s="21" t="str">
        <f ca="1"/>
        <v>2020-03-24</v>
      </c>
      <c r="C1823" s="22">
        <f ca="1"/>
        <v>143.75</v>
      </c>
      <c r="D1823" s="22">
        <f ca="1"/>
        <v>149.60000600000001</v>
      </c>
      <c r="E1823" s="22">
        <f ca="1"/>
        <v>141.270004</v>
      </c>
      <c r="F1823" s="22">
        <f ca="1"/>
        <v>148.33999600000001</v>
      </c>
      <c r="G1823" s="22">
        <f ca="1"/>
        <v>144.60742200000001</v>
      </c>
      <c r="H1823" s="69">
        <f ca="1"/>
        <v>82516700</v>
      </c>
      <c r="I1823" s="23" t="str">
        <f t="shared" ca="1" si="57"/>
        <v/>
      </c>
    </row>
    <row r="1824" spans="1:9" ht="13.8">
      <c r="A1824" s="20">
        <f t="shared" ca="1" si="56"/>
        <v>43915</v>
      </c>
      <c r="B1824" s="21" t="str">
        <f ca="1"/>
        <v>2020-03-25</v>
      </c>
      <c r="C1824" s="22">
        <f ca="1"/>
        <v>148.91000399999999</v>
      </c>
      <c r="D1824" s="22">
        <f ca="1"/>
        <v>154.33000200000001</v>
      </c>
      <c r="E1824" s="22">
        <f ca="1"/>
        <v>144.44000199999999</v>
      </c>
      <c r="F1824" s="22">
        <f ca="1"/>
        <v>146.91999799999999</v>
      </c>
      <c r="G1824" s="22">
        <f ca="1"/>
        <v>143.22318999999999</v>
      </c>
      <c r="H1824" s="69">
        <f ca="1"/>
        <v>75638200</v>
      </c>
      <c r="I1824" s="23" t="str">
        <f t="shared" ca="1" si="57"/>
        <v/>
      </c>
    </row>
    <row r="1825" spans="1:9" ht="13.8">
      <c r="A1825" s="20">
        <f t="shared" ca="1" si="56"/>
        <v>43916</v>
      </c>
      <c r="B1825" s="21" t="str">
        <f ca="1"/>
        <v>2020-03-26</v>
      </c>
      <c r="C1825" s="22">
        <f ca="1"/>
        <v>148.39999399999999</v>
      </c>
      <c r="D1825" s="22">
        <f ca="1"/>
        <v>156.66000399999999</v>
      </c>
      <c r="E1825" s="22">
        <f ca="1"/>
        <v>148.36999499999999</v>
      </c>
      <c r="F1825" s="22">
        <f ca="1"/>
        <v>156.11000100000001</v>
      </c>
      <c r="G1825" s="22">
        <f ca="1"/>
        <v>152.18193099999999</v>
      </c>
      <c r="H1825" s="69">
        <f ca="1"/>
        <v>64568100</v>
      </c>
      <c r="I1825" s="23" t="str">
        <f t="shared" ca="1" si="57"/>
        <v/>
      </c>
    </row>
    <row r="1826" spans="1:9" ht="13.8">
      <c r="A1826" s="20">
        <f t="shared" ca="1" si="56"/>
        <v>43917</v>
      </c>
      <c r="B1826" s="21" t="str">
        <f ca="1"/>
        <v>2020-03-27</v>
      </c>
      <c r="C1826" s="22">
        <f ca="1"/>
        <v>151.75</v>
      </c>
      <c r="D1826" s="22">
        <f ca="1"/>
        <v>154.88999899999999</v>
      </c>
      <c r="E1826" s="22">
        <f ca="1"/>
        <v>149.199997</v>
      </c>
      <c r="F1826" s="22">
        <f ca="1"/>
        <v>149.699997</v>
      </c>
      <c r="G1826" s="22">
        <f ca="1"/>
        <v>145.93322800000001</v>
      </c>
      <c r="H1826" s="69">
        <f ca="1"/>
        <v>57042300</v>
      </c>
      <c r="I1826" s="23" t="str">
        <f t="shared" ca="1" si="57"/>
        <v/>
      </c>
    </row>
    <row r="1827" spans="1:9" ht="13.8">
      <c r="A1827" s="20">
        <f t="shared" ca="1" si="56"/>
        <v>43920</v>
      </c>
      <c r="B1827" s="21" t="str">
        <f ca="1"/>
        <v>2020-03-30</v>
      </c>
      <c r="C1827" s="22">
        <f ca="1"/>
        <v>152.44000199999999</v>
      </c>
      <c r="D1827" s="22">
        <f ca="1"/>
        <v>160.60000600000001</v>
      </c>
      <c r="E1827" s="22">
        <f ca="1"/>
        <v>150.009995</v>
      </c>
      <c r="F1827" s="22">
        <f ca="1"/>
        <v>160.229996</v>
      </c>
      <c r="G1827" s="22">
        <f ca="1"/>
        <v>156.19828799999999</v>
      </c>
      <c r="H1827" s="69">
        <f ca="1"/>
        <v>63420300</v>
      </c>
      <c r="I1827" s="23" t="str">
        <f t="shared" ca="1" si="57"/>
        <v/>
      </c>
    </row>
    <row r="1828" spans="1:9" ht="13.8">
      <c r="A1828" s="20">
        <f t="shared" ca="1" si="56"/>
        <v>43921</v>
      </c>
      <c r="B1828" s="21" t="str">
        <f ca="1"/>
        <v>2020-03-31</v>
      </c>
      <c r="C1828" s="22">
        <f ca="1"/>
        <v>159.39999399999999</v>
      </c>
      <c r="D1828" s="22">
        <f ca="1"/>
        <v>164.779999</v>
      </c>
      <c r="E1828" s="22">
        <f ca="1"/>
        <v>156.55999800000001</v>
      </c>
      <c r="F1828" s="22">
        <f ca="1"/>
        <v>157.71000699999999</v>
      </c>
      <c r="G1828" s="22">
        <f ca="1"/>
        <v>153.74168399999999</v>
      </c>
      <c r="H1828" s="69">
        <f ca="1"/>
        <v>77927200</v>
      </c>
      <c r="I1828" s="23" t="str">
        <f t="shared" ca="1" si="57"/>
        <v/>
      </c>
    </row>
    <row r="1829" spans="1:9" ht="13.8">
      <c r="A1829" s="20">
        <f t="shared" ca="1" si="56"/>
        <v>43922</v>
      </c>
      <c r="B1829" s="21" t="str">
        <f ca="1"/>
        <v>2020-04-01</v>
      </c>
      <c r="C1829" s="22">
        <f ca="1"/>
        <v>153</v>
      </c>
      <c r="D1829" s="22">
        <f ca="1"/>
        <v>157.75</v>
      </c>
      <c r="E1829" s="22">
        <f ca="1"/>
        <v>150.820007</v>
      </c>
      <c r="F1829" s="22">
        <f ca="1"/>
        <v>152.11000100000001</v>
      </c>
      <c r="G1829" s="22">
        <f ca="1"/>
        <v>148.28259299999999</v>
      </c>
      <c r="H1829" s="69">
        <f ca="1"/>
        <v>57969900</v>
      </c>
      <c r="I1829" s="23" t="str">
        <f t="shared" ca="1" si="57"/>
        <v/>
      </c>
    </row>
    <row r="1830" spans="1:9" ht="13.8">
      <c r="A1830" s="20">
        <f t="shared" ca="1" si="56"/>
        <v>43923</v>
      </c>
      <c r="B1830" s="21" t="str">
        <f ca="1"/>
        <v>2020-04-02</v>
      </c>
      <c r="C1830" s="22">
        <f ca="1"/>
        <v>151.86000100000001</v>
      </c>
      <c r="D1830" s="22">
        <f ca="1"/>
        <v>155.479996</v>
      </c>
      <c r="E1830" s="22">
        <f ca="1"/>
        <v>150.36000100000001</v>
      </c>
      <c r="F1830" s="22">
        <f ca="1"/>
        <v>155.259995</v>
      </c>
      <c r="G1830" s="22">
        <f ca="1"/>
        <v>151.353317</v>
      </c>
      <c r="H1830" s="69">
        <f ca="1"/>
        <v>49630700</v>
      </c>
      <c r="I1830" s="23" t="str">
        <f t="shared" ca="1" si="57"/>
        <v/>
      </c>
    </row>
    <row r="1831" spans="1:9" ht="13.8">
      <c r="A1831" s="20">
        <f t="shared" ca="1" si="56"/>
        <v>43924</v>
      </c>
      <c r="B1831" s="21" t="str">
        <f ca="1"/>
        <v>2020-04-03</v>
      </c>
      <c r="C1831" s="22">
        <f ca="1"/>
        <v>155.10000600000001</v>
      </c>
      <c r="D1831" s="22">
        <f ca="1"/>
        <v>157.38000500000001</v>
      </c>
      <c r="E1831" s="22">
        <f ca="1"/>
        <v>152.19000199999999</v>
      </c>
      <c r="F1831" s="22">
        <f ca="1"/>
        <v>153.83000200000001</v>
      </c>
      <c r="G1831" s="22">
        <f ca="1"/>
        <v>149.95931999999999</v>
      </c>
      <c r="H1831" s="69">
        <f ca="1"/>
        <v>41243300</v>
      </c>
      <c r="I1831" s="23" t="str">
        <f t="shared" ca="1" si="57"/>
        <v/>
      </c>
    </row>
    <row r="1832" spans="1:9" ht="13.8">
      <c r="A1832" s="20">
        <f t="shared" ca="1" si="56"/>
        <v>43927</v>
      </c>
      <c r="B1832" s="21" t="str">
        <f ca="1"/>
        <v>2020-04-06</v>
      </c>
      <c r="C1832" s="22">
        <f ca="1"/>
        <v>160.320007</v>
      </c>
      <c r="D1832" s="22">
        <f ca="1"/>
        <v>166.5</v>
      </c>
      <c r="E1832" s="22">
        <f ca="1"/>
        <v>157.58000200000001</v>
      </c>
      <c r="F1832" s="22">
        <f ca="1"/>
        <v>165.270004</v>
      </c>
      <c r="G1832" s="22">
        <f ca="1"/>
        <v>161.11146500000001</v>
      </c>
      <c r="H1832" s="69">
        <f ca="1"/>
        <v>67111700</v>
      </c>
      <c r="I1832" s="23" t="str">
        <f t="shared" ca="1" si="57"/>
        <v/>
      </c>
    </row>
    <row r="1833" spans="1:9" ht="13.8">
      <c r="A1833" s="20">
        <f t="shared" ca="1" si="56"/>
        <v>43928</v>
      </c>
      <c r="B1833" s="21" t="str">
        <f ca="1"/>
        <v>2020-04-07</v>
      </c>
      <c r="C1833" s="22">
        <f ca="1"/>
        <v>169.58999600000001</v>
      </c>
      <c r="D1833" s="22">
        <f ca="1"/>
        <v>170</v>
      </c>
      <c r="E1833" s="22">
        <f ca="1"/>
        <v>163.259995</v>
      </c>
      <c r="F1833" s="22">
        <f ca="1"/>
        <v>163.490005</v>
      </c>
      <c r="G1833" s="22">
        <f ca="1"/>
        <v>159.37623600000001</v>
      </c>
      <c r="H1833" s="69">
        <f ca="1"/>
        <v>62769000</v>
      </c>
      <c r="I1833" s="23" t="str">
        <f t="shared" ca="1" si="57"/>
        <v/>
      </c>
    </row>
    <row r="1834" spans="1:9" ht="13.8">
      <c r="A1834" s="20">
        <f t="shared" ca="1" si="56"/>
        <v>43929</v>
      </c>
      <c r="B1834" s="21" t="str">
        <f ca="1"/>
        <v>2020-04-08</v>
      </c>
      <c r="C1834" s="22">
        <f ca="1"/>
        <v>165.66999799999999</v>
      </c>
      <c r="D1834" s="22">
        <f ca="1"/>
        <v>166.66999799999999</v>
      </c>
      <c r="E1834" s="22">
        <f ca="1"/>
        <v>163.5</v>
      </c>
      <c r="F1834" s="22">
        <f ca="1"/>
        <v>165.13000500000001</v>
      </c>
      <c r="G1834" s="22">
        <f ca="1"/>
        <v>160.97499099999999</v>
      </c>
      <c r="H1834" s="69">
        <f ca="1"/>
        <v>48318200</v>
      </c>
      <c r="I1834" s="23" t="str">
        <f t="shared" ca="1" si="57"/>
        <v/>
      </c>
    </row>
    <row r="1835" spans="1:9" ht="13.8">
      <c r="A1835" s="20">
        <f t="shared" ca="1" si="56"/>
        <v>43930</v>
      </c>
      <c r="B1835" s="21" t="str">
        <f ca="1"/>
        <v>2020-04-09</v>
      </c>
      <c r="C1835" s="22">
        <f ca="1"/>
        <v>166.36000100000001</v>
      </c>
      <c r="D1835" s="22">
        <f ca="1"/>
        <v>167.36999499999999</v>
      </c>
      <c r="E1835" s="22">
        <f ca="1"/>
        <v>163.33000200000001</v>
      </c>
      <c r="F1835" s="22">
        <f ca="1"/>
        <v>165.13999899999999</v>
      </c>
      <c r="G1835" s="22">
        <f ca="1"/>
        <v>160.984711</v>
      </c>
      <c r="H1835" s="69">
        <f ca="1"/>
        <v>51385100</v>
      </c>
      <c r="I1835" s="23" t="str">
        <f t="shared" ca="1" si="57"/>
        <v/>
      </c>
    </row>
    <row r="1836" spans="1:9" ht="13.8">
      <c r="A1836" s="20">
        <f t="shared" ca="1" si="56"/>
        <v>43934</v>
      </c>
      <c r="B1836" s="21" t="str">
        <f ca="1"/>
        <v>2020-04-13</v>
      </c>
      <c r="C1836" s="22">
        <f ca="1"/>
        <v>164.35000600000001</v>
      </c>
      <c r="D1836" s="22">
        <f ca="1"/>
        <v>165.570007</v>
      </c>
      <c r="E1836" s="22">
        <f ca="1"/>
        <v>162.300003</v>
      </c>
      <c r="F1836" s="22">
        <f ca="1"/>
        <v>165.509995</v>
      </c>
      <c r="G1836" s="22">
        <f ca="1"/>
        <v>161.34539799999999</v>
      </c>
      <c r="H1836" s="69">
        <f ca="1"/>
        <v>41905300</v>
      </c>
      <c r="I1836" s="23" t="str">
        <f t="shared" ca="1" si="57"/>
        <v/>
      </c>
    </row>
    <row r="1837" spans="1:9" ht="13.8">
      <c r="A1837" s="20">
        <f t="shared" ca="1" si="56"/>
        <v>43935</v>
      </c>
      <c r="B1837" s="21" t="str">
        <f ca="1"/>
        <v>2020-04-14</v>
      </c>
      <c r="C1837" s="22">
        <f ca="1"/>
        <v>169</v>
      </c>
      <c r="D1837" s="22">
        <f ca="1"/>
        <v>173.75</v>
      </c>
      <c r="E1837" s="22">
        <f ca="1"/>
        <v>168</v>
      </c>
      <c r="F1837" s="22">
        <f ca="1"/>
        <v>173.699997</v>
      </c>
      <c r="G1837" s="22">
        <f ca="1"/>
        <v>169.32933</v>
      </c>
      <c r="H1837" s="69">
        <f ca="1"/>
        <v>52874300</v>
      </c>
      <c r="I1837" s="23" t="str">
        <f t="shared" ca="1" si="57"/>
        <v/>
      </c>
    </row>
    <row r="1838" spans="1:9" ht="13.8">
      <c r="A1838" s="20">
        <f t="shared" ca="1" si="56"/>
        <v>43936</v>
      </c>
      <c r="B1838" s="21" t="str">
        <f ca="1"/>
        <v>2020-04-15</v>
      </c>
      <c r="C1838" s="22">
        <f ca="1"/>
        <v>171.199997</v>
      </c>
      <c r="D1838" s="22">
        <f ca="1"/>
        <v>173.570007</v>
      </c>
      <c r="E1838" s="22">
        <f ca="1"/>
        <v>169.240005</v>
      </c>
      <c r="F1838" s="22">
        <f ca="1"/>
        <v>171.88000500000001</v>
      </c>
      <c r="G1838" s="22">
        <f ca="1"/>
        <v>167.555115</v>
      </c>
      <c r="H1838" s="69">
        <f ca="1"/>
        <v>40940800</v>
      </c>
      <c r="I1838" s="23" t="str">
        <f t="shared" ca="1" si="57"/>
        <v/>
      </c>
    </row>
    <row r="1839" spans="1:9" ht="13.8">
      <c r="A1839" s="20">
        <f t="shared" ca="1" si="56"/>
        <v>43937</v>
      </c>
      <c r="B1839" s="21" t="str">
        <f ca="1"/>
        <v>2020-04-16</v>
      </c>
      <c r="C1839" s="22">
        <f ca="1"/>
        <v>174.300003</v>
      </c>
      <c r="D1839" s="22">
        <f ca="1"/>
        <v>177.279999</v>
      </c>
      <c r="E1839" s="22">
        <f ca="1"/>
        <v>172.89999399999999</v>
      </c>
      <c r="F1839" s="22">
        <f ca="1"/>
        <v>177.03999300000001</v>
      </c>
      <c r="G1839" s="22">
        <f ca="1"/>
        <v>172.58531199999999</v>
      </c>
      <c r="H1839" s="69">
        <f ca="1"/>
        <v>50479600</v>
      </c>
      <c r="I1839" s="23" t="str">
        <f t="shared" ca="1" si="57"/>
        <v/>
      </c>
    </row>
    <row r="1840" spans="1:9" ht="13.8">
      <c r="A1840" s="20">
        <f t="shared" ca="1" si="56"/>
        <v>43938</v>
      </c>
      <c r="B1840" s="21" t="str">
        <f ca="1"/>
        <v>2020-04-17</v>
      </c>
      <c r="C1840" s="22">
        <f ca="1"/>
        <v>179.5</v>
      </c>
      <c r="D1840" s="22">
        <f ca="1"/>
        <v>180</v>
      </c>
      <c r="E1840" s="22">
        <f ca="1"/>
        <v>175.86999499999999</v>
      </c>
      <c r="F1840" s="22">
        <f ca="1"/>
        <v>178.60000600000001</v>
      </c>
      <c r="G1840" s="22">
        <f ca="1"/>
        <v>174.10601800000001</v>
      </c>
      <c r="H1840" s="69">
        <f ca="1"/>
        <v>52765600</v>
      </c>
      <c r="I1840" s="23" t="str">
        <f t="shared" ca="1" si="57"/>
        <v/>
      </c>
    </row>
    <row r="1841" spans="1:9" ht="13.8">
      <c r="A1841" s="20">
        <f t="shared" ca="1" si="56"/>
        <v>43941</v>
      </c>
      <c r="B1841" s="21" t="str">
        <f ca="1"/>
        <v>2020-04-20</v>
      </c>
      <c r="C1841" s="22">
        <f ca="1"/>
        <v>176.63000500000001</v>
      </c>
      <c r="D1841" s="22">
        <f ca="1"/>
        <v>178.75</v>
      </c>
      <c r="E1841" s="22">
        <f ca="1"/>
        <v>174.990005</v>
      </c>
      <c r="F1841" s="22">
        <f ca="1"/>
        <v>175.05999800000001</v>
      </c>
      <c r="G1841" s="22">
        <f ca="1"/>
        <v>170.655136</v>
      </c>
      <c r="H1841" s="69">
        <f ca="1"/>
        <v>36669600</v>
      </c>
      <c r="I1841" s="23" t="str">
        <f t="shared" ca="1" si="57"/>
        <v/>
      </c>
    </row>
    <row r="1842" spans="1:9" ht="13.8">
      <c r="A1842" s="20">
        <f t="shared" ca="1" si="56"/>
        <v>43942</v>
      </c>
      <c r="B1842" s="21" t="str">
        <f ca="1"/>
        <v>2020-04-21</v>
      </c>
      <c r="C1842" s="22">
        <f ca="1"/>
        <v>173.5</v>
      </c>
      <c r="D1842" s="22">
        <f ca="1"/>
        <v>173.66999799999999</v>
      </c>
      <c r="E1842" s="22">
        <f ca="1"/>
        <v>166.11000100000001</v>
      </c>
      <c r="F1842" s="22">
        <f ca="1"/>
        <v>167.820007</v>
      </c>
      <c r="G1842" s="22">
        <f ca="1"/>
        <v>163.59728999999999</v>
      </c>
      <c r="H1842" s="69">
        <f ca="1"/>
        <v>56203700</v>
      </c>
      <c r="I1842" s="23" t="str">
        <f t="shared" ca="1" si="57"/>
        <v/>
      </c>
    </row>
    <row r="1843" spans="1:9" ht="13.8">
      <c r="A1843" s="20">
        <f t="shared" ca="1" si="56"/>
        <v>43943</v>
      </c>
      <c r="B1843" s="21" t="str">
        <f ca="1"/>
        <v>2020-04-22</v>
      </c>
      <c r="C1843" s="22">
        <f ca="1"/>
        <v>171.38999899999999</v>
      </c>
      <c r="D1843" s="22">
        <f ca="1"/>
        <v>174</v>
      </c>
      <c r="E1843" s="22">
        <f ca="1"/>
        <v>170.820007</v>
      </c>
      <c r="F1843" s="22">
        <f ca="1"/>
        <v>173.520004</v>
      </c>
      <c r="G1843" s="22">
        <f ca="1"/>
        <v>169.15387000000001</v>
      </c>
      <c r="H1843" s="69">
        <f ca="1"/>
        <v>34620200</v>
      </c>
      <c r="I1843" s="23" t="str">
        <f t="shared" ca="1" si="57"/>
        <v/>
      </c>
    </row>
    <row r="1844" spans="1:9" ht="13.8">
      <c r="A1844" s="20">
        <f t="shared" ca="1" si="56"/>
        <v>43944</v>
      </c>
      <c r="B1844" s="21" t="str">
        <f ca="1"/>
        <v>2020-04-23</v>
      </c>
      <c r="C1844" s="22">
        <f ca="1"/>
        <v>174.11000100000001</v>
      </c>
      <c r="D1844" s="22">
        <f ca="1"/>
        <v>175.05999800000001</v>
      </c>
      <c r="E1844" s="22">
        <f ca="1"/>
        <v>170.91000399999999</v>
      </c>
      <c r="F1844" s="22">
        <f ca="1"/>
        <v>171.41999799999999</v>
      </c>
      <c r="G1844" s="22">
        <f ca="1"/>
        <v>167.10668899999999</v>
      </c>
      <c r="H1844" s="69">
        <f ca="1"/>
        <v>32790800</v>
      </c>
      <c r="I1844" s="23" t="str">
        <f t="shared" ca="1" si="57"/>
        <v/>
      </c>
    </row>
    <row r="1845" spans="1:9" ht="13.8">
      <c r="A1845" s="20">
        <f t="shared" ca="1" si="56"/>
        <v>43945</v>
      </c>
      <c r="B1845" s="21" t="str">
        <f ca="1"/>
        <v>2020-04-24</v>
      </c>
      <c r="C1845" s="22">
        <f ca="1"/>
        <v>172.05999800000001</v>
      </c>
      <c r="D1845" s="22">
        <f ca="1"/>
        <v>174.55999800000001</v>
      </c>
      <c r="E1845" s="22">
        <f ca="1"/>
        <v>170.71000699999999</v>
      </c>
      <c r="F1845" s="22">
        <f ca="1"/>
        <v>174.550003</v>
      </c>
      <c r="G1845" s="22">
        <f ca="1"/>
        <v>170.15794399999999</v>
      </c>
      <c r="H1845" s="69">
        <f ca="1"/>
        <v>34277600</v>
      </c>
      <c r="I1845" s="23" t="str">
        <f t="shared" ca="1" si="57"/>
        <v/>
      </c>
    </row>
    <row r="1846" spans="1:9" ht="13.8">
      <c r="A1846" s="20">
        <f t="shared" ca="1" si="56"/>
        <v>43948</v>
      </c>
      <c r="B1846" s="21" t="str">
        <f ca="1"/>
        <v>2020-04-27</v>
      </c>
      <c r="C1846" s="22">
        <f ca="1"/>
        <v>176.58999600000001</v>
      </c>
      <c r="D1846" s="22">
        <f ca="1"/>
        <v>176.89999399999999</v>
      </c>
      <c r="E1846" s="22">
        <f ca="1"/>
        <v>173.300003</v>
      </c>
      <c r="F1846" s="22">
        <f ca="1"/>
        <v>174.050003</v>
      </c>
      <c r="G1846" s="22">
        <f ca="1"/>
        <v>169.67053200000001</v>
      </c>
      <c r="H1846" s="69">
        <f ca="1"/>
        <v>33194400</v>
      </c>
      <c r="I1846" s="23" t="str">
        <f t="shared" ca="1" si="57"/>
        <v/>
      </c>
    </row>
    <row r="1847" spans="1:9" ht="13.8">
      <c r="A1847" s="20">
        <f t="shared" ca="1" si="56"/>
        <v>43949</v>
      </c>
      <c r="B1847" s="21" t="str">
        <f ca="1"/>
        <v>2020-04-28</v>
      </c>
      <c r="C1847" s="22">
        <f ca="1"/>
        <v>175.58999600000001</v>
      </c>
      <c r="D1847" s="22">
        <f ca="1"/>
        <v>175.66999799999999</v>
      </c>
      <c r="E1847" s="22">
        <f ca="1"/>
        <v>169.38999899999999</v>
      </c>
      <c r="F1847" s="22">
        <f ca="1"/>
        <v>169.80999800000001</v>
      </c>
      <c r="G1847" s="22">
        <f ca="1"/>
        <v>165.537216</v>
      </c>
      <c r="H1847" s="69">
        <f ca="1"/>
        <v>34392700</v>
      </c>
      <c r="I1847" s="23" t="str">
        <f t="shared" ca="1" si="57"/>
        <v/>
      </c>
    </row>
    <row r="1848" spans="1:9" ht="13.8">
      <c r="A1848" s="20">
        <f t="shared" ca="1" si="56"/>
        <v>43950</v>
      </c>
      <c r="B1848" s="21" t="str">
        <f ca="1"/>
        <v>2020-04-29</v>
      </c>
      <c r="C1848" s="22">
        <f ca="1"/>
        <v>173.220001</v>
      </c>
      <c r="D1848" s="22">
        <f ca="1"/>
        <v>177.679993</v>
      </c>
      <c r="E1848" s="22">
        <f ca="1"/>
        <v>171.88000500000001</v>
      </c>
      <c r="F1848" s="22">
        <f ca="1"/>
        <v>177.429993</v>
      </c>
      <c r="G1848" s="22">
        <f ca="1"/>
        <v>172.96546900000001</v>
      </c>
      <c r="H1848" s="69">
        <f ca="1"/>
        <v>51286600</v>
      </c>
      <c r="I1848" s="23" t="str">
        <f t="shared" ca="1" si="57"/>
        <v/>
      </c>
    </row>
    <row r="1849" spans="1:9" ht="13.8">
      <c r="A1849" s="20">
        <f t="shared" ca="1" si="56"/>
        <v>43951</v>
      </c>
      <c r="B1849" s="21" t="str">
        <f ca="1"/>
        <v>2020-04-30</v>
      </c>
      <c r="C1849" s="22">
        <f ca="1"/>
        <v>180</v>
      </c>
      <c r="D1849" s="22">
        <f ca="1"/>
        <v>180.39999399999999</v>
      </c>
      <c r="E1849" s="22">
        <f ca="1"/>
        <v>176.229996</v>
      </c>
      <c r="F1849" s="22">
        <f ca="1"/>
        <v>179.21000699999999</v>
      </c>
      <c r="G1849" s="22">
        <f ca="1"/>
        <v>174.70069899999999</v>
      </c>
      <c r="H1849" s="69">
        <f ca="1"/>
        <v>53875900</v>
      </c>
      <c r="I1849" s="23" t="str">
        <f t="shared" ca="1" si="57"/>
        <v/>
      </c>
    </row>
    <row r="1850" spans="1:9" ht="13.8">
      <c r="A1850" s="20">
        <f t="shared" ca="1" si="56"/>
        <v>43952</v>
      </c>
      <c r="B1850" s="21" t="str">
        <f ca="1"/>
        <v>2020-05-01</v>
      </c>
      <c r="C1850" s="22">
        <f ca="1"/>
        <v>175.800003</v>
      </c>
      <c r="D1850" s="22">
        <f ca="1"/>
        <v>178.63999899999999</v>
      </c>
      <c r="E1850" s="22">
        <f ca="1"/>
        <v>174.009995</v>
      </c>
      <c r="F1850" s="22">
        <f ca="1"/>
        <v>174.570007</v>
      </c>
      <c r="G1850" s="22">
        <f ca="1"/>
        <v>170.17744400000001</v>
      </c>
      <c r="H1850" s="69">
        <f ca="1"/>
        <v>39370500</v>
      </c>
      <c r="I1850" s="23" t="str">
        <f t="shared" ca="1" si="57"/>
        <v/>
      </c>
    </row>
    <row r="1851" spans="1:9" ht="13.8">
      <c r="A1851" s="20">
        <f t="shared" ca="1" si="56"/>
        <v>43955</v>
      </c>
      <c r="B1851" s="21" t="str">
        <f ca="1"/>
        <v>2020-05-04</v>
      </c>
      <c r="C1851" s="22">
        <f ca="1"/>
        <v>174.490005</v>
      </c>
      <c r="D1851" s="22">
        <f ca="1"/>
        <v>179</v>
      </c>
      <c r="E1851" s="22">
        <f ca="1"/>
        <v>173.800003</v>
      </c>
      <c r="F1851" s="22">
        <f ca="1"/>
        <v>178.83999600000001</v>
      </c>
      <c r="G1851" s="22">
        <f ca="1"/>
        <v>174.33998099999999</v>
      </c>
      <c r="H1851" s="69">
        <f ca="1"/>
        <v>30372900</v>
      </c>
      <c r="I1851" s="23" t="str">
        <f t="shared" ca="1" si="57"/>
        <v/>
      </c>
    </row>
    <row r="1852" spans="1:9" ht="13.8">
      <c r="A1852" s="20">
        <f t="shared" ca="1" si="56"/>
        <v>43956</v>
      </c>
      <c r="B1852" s="21" t="str">
        <f ca="1"/>
        <v>2020-05-05</v>
      </c>
      <c r="C1852" s="22">
        <f ca="1"/>
        <v>180.61999499999999</v>
      </c>
      <c r="D1852" s="22">
        <f ca="1"/>
        <v>183.64999399999999</v>
      </c>
      <c r="E1852" s="22">
        <f ca="1"/>
        <v>179.89999399999999</v>
      </c>
      <c r="F1852" s="22">
        <f ca="1"/>
        <v>180.759995</v>
      </c>
      <c r="G1852" s="22">
        <f ca="1"/>
        <v>176.21168499999999</v>
      </c>
      <c r="H1852" s="69">
        <f ca="1"/>
        <v>36839200</v>
      </c>
      <c r="I1852" s="23" t="str">
        <f t="shared" ca="1" si="57"/>
        <v/>
      </c>
    </row>
    <row r="1853" spans="1:9" ht="13.8">
      <c r="A1853" s="20">
        <f t="shared" ca="1" si="56"/>
        <v>43957</v>
      </c>
      <c r="B1853" s="21" t="str">
        <f ca="1"/>
        <v>2020-05-06</v>
      </c>
      <c r="C1853" s="22">
        <f ca="1"/>
        <v>182.08000200000001</v>
      </c>
      <c r="D1853" s="22">
        <f ca="1"/>
        <v>184.199997</v>
      </c>
      <c r="E1853" s="22">
        <f ca="1"/>
        <v>181.63000500000001</v>
      </c>
      <c r="F1853" s="22">
        <f ca="1"/>
        <v>182.53999300000001</v>
      </c>
      <c r="G1853" s="22">
        <f ca="1"/>
        <v>177.94691499999999</v>
      </c>
      <c r="H1853" s="69">
        <f ca="1"/>
        <v>32139300</v>
      </c>
      <c r="I1853" s="23" t="str">
        <f t="shared" ca="1" si="57"/>
        <v/>
      </c>
    </row>
    <row r="1854" spans="1:9" ht="13.8">
      <c r="A1854" s="20">
        <f t="shared" ca="1" si="56"/>
        <v>43958</v>
      </c>
      <c r="B1854" s="21" t="str">
        <f ca="1"/>
        <v>2020-05-07</v>
      </c>
      <c r="C1854" s="22">
        <f ca="1"/>
        <v>184.16999799999999</v>
      </c>
      <c r="D1854" s="22">
        <f ca="1"/>
        <v>184.550003</v>
      </c>
      <c r="E1854" s="22">
        <f ca="1"/>
        <v>182.58000200000001</v>
      </c>
      <c r="F1854" s="22">
        <f ca="1"/>
        <v>183.60000600000001</v>
      </c>
      <c r="G1854" s="22">
        <f ca="1"/>
        <v>178.980209</v>
      </c>
      <c r="H1854" s="69">
        <f ca="1"/>
        <v>28316000</v>
      </c>
      <c r="I1854" s="23" t="str">
        <f t="shared" ca="1" si="57"/>
        <v/>
      </c>
    </row>
    <row r="1855" spans="1:9" ht="13.8">
      <c r="A1855" s="20">
        <f t="shared" ca="1" si="56"/>
        <v>43959</v>
      </c>
      <c r="B1855" s="21" t="str">
        <f ca="1"/>
        <v>2020-05-08</v>
      </c>
      <c r="C1855" s="22">
        <f ca="1"/>
        <v>184.979996</v>
      </c>
      <c r="D1855" s="22">
        <f ca="1"/>
        <v>185</v>
      </c>
      <c r="E1855" s="22">
        <f ca="1"/>
        <v>183.36000100000001</v>
      </c>
      <c r="F1855" s="22">
        <f ca="1"/>
        <v>184.679993</v>
      </c>
      <c r="G1855" s="22">
        <f ca="1"/>
        <v>180.033051</v>
      </c>
      <c r="H1855" s="69">
        <f ca="1"/>
        <v>30877800</v>
      </c>
      <c r="I1855" s="23" t="str">
        <f t="shared" ca="1" si="57"/>
        <v/>
      </c>
    </row>
    <row r="1856" spans="1:9" ht="13.8">
      <c r="A1856" s="20">
        <f t="shared" ca="1" si="56"/>
        <v>43962</v>
      </c>
      <c r="B1856" s="21" t="str">
        <f ca="1"/>
        <v>2020-05-11</v>
      </c>
      <c r="C1856" s="22">
        <f ca="1"/>
        <v>183.14999399999999</v>
      </c>
      <c r="D1856" s="22">
        <f ca="1"/>
        <v>187.509995</v>
      </c>
      <c r="E1856" s="22">
        <f ca="1"/>
        <v>182.85000600000001</v>
      </c>
      <c r="F1856" s="22">
        <f ca="1"/>
        <v>186.740005</v>
      </c>
      <c r="G1856" s="22">
        <f ca="1"/>
        <v>182.04125999999999</v>
      </c>
      <c r="H1856" s="69">
        <f ca="1"/>
        <v>30892700</v>
      </c>
      <c r="I1856" s="23" t="str">
        <f t="shared" ca="1" si="57"/>
        <v/>
      </c>
    </row>
    <row r="1857" spans="1:9" ht="13.8">
      <c r="A1857" s="20">
        <f t="shared" ca="1" si="56"/>
        <v>43963</v>
      </c>
      <c r="B1857" s="21" t="str">
        <f ca="1"/>
        <v>2020-05-12</v>
      </c>
      <c r="C1857" s="22">
        <f ca="1"/>
        <v>186.800003</v>
      </c>
      <c r="D1857" s="22">
        <f ca="1"/>
        <v>187.03999300000001</v>
      </c>
      <c r="E1857" s="22">
        <f ca="1"/>
        <v>182.300003</v>
      </c>
      <c r="F1857" s="22">
        <f ca="1"/>
        <v>182.509995</v>
      </c>
      <c r="G1857" s="22">
        <f ca="1"/>
        <v>177.917633</v>
      </c>
      <c r="H1857" s="69">
        <f ca="1"/>
        <v>32038200</v>
      </c>
      <c r="I1857" s="23" t="str">
        <f t="shared" ca="1" si="57"/>
        <v/>
      </c>
    </row>
    <row r="1858" spans="1:9" ht="13.8">
      <c r="A1858" s="20">
        <f t="shared" ca="1" si="56"/>
        <v>43964</v>
      </c>
      <c r="B1858" s="21" t="str">
        <f ca="1"/>
        <v>2020-05-13</v>
      </c>
      <c r="C1858" s="22">
        <f ca="1"/>
        <v>182.550003</v>
      </c>
      <c r="D1858" s="22">
        <f ca="1"/>
        <v>184.050003</v>
      </c>
      <c r="E1858" s="22">
        <f ca="1"/>
        <v>176.53999300000001</v>
      </c>
      <c r="F1858" s="22">
        <f ca="1"/>
        <v>179.75</v>
      </c>
      <c r="G1858" s="22">
        <f ca="1"/>
        <v>175.22709699999999</v>
      </c>
      <c r="H1858" s="69">
        <f ca="1"/>
        <v>44711500</v>
      </c>
      <c r="I1858" s="23" t="str">
        <f t="shared" ca="1" si="57"/>
        <v/>
      </c>
    </row>
    <row r="1859" spans="1:9" ht="13.8">
      <c r="A1859" s="20">
        <f t="shared" ca="1" si="56"/>
        <v>43965</v>
      </c>
      <c r="B1859" s="21" t="str">
        <f ca="1"/>
        <v>2020-05-14</v>
      </c>
      <c r="C1859" s="22">
        <f ca="1"/>
        <v>177.53999300000001</v>
      </c>
      <c r="D1859" s="22">
        <f ca="1"/>
        <v>180.69000199999999</v>
      </c>
      <c r="E1859" s="22">
        <f ca="1"/>
        <v>175.679993</v>
      </c>
      <c r="F1859" s="22">
        <f ca="1"/>
        <v>180.529999</v>
      </c>
      <c r="G1859" s="22">
        <f ca="1"/>
        <v>175.98747299999999</v>
      </c>
      <c r="H1859" s="69">
        <f ca="1"/>
        <v>41873900</v>
      </c>
      <c r="I1859" s="23" t="str">
        <f t="shared" ca="1" si="57"/>
        <v/>
      </c>
    </row>
    <row r="1860" spans="1:9" ht="13.8">
      <c r="A1860" s="20">
        <f t="shared" ca="1" si="56"/>
        <v>43966</v>
      </c>
      <c r="B1860" s="21" t="str">
        <f ca="1"/>
        <v>2020-05-15</v>
      </c>
      <c r="C1860" s="22">
        <f ca="1"/>
        <v>179.05999800000001</v>
      </c>
      <c r="D1860" s="22">
        <f ca="1"/>
        <v>187.05999800000001</v>
      </c>
      <c r="E1860" s="22">
        <f ca="1"/>
        <v>177</v>
      </c>
      <c r="F1860" s="22">
        <f ca="1"/>
        <v>183.16000399999999</v>
      </c>
      <c r="G1860" s="22">
        <f ca="1"/>
        <v>178.5513</v>
      </c>
      <c r="H1860" s="69">
        <f ca="1"/>
        <v>46610400</v>
      </c>
      <c r="I1860" s="23" t="str">
        <f t="shared" ca="1" si="57"/>
        <v/>
      </c>
    </row>
    <row r="1861" spans="1:9" ht="13.8">
      <c r="A1861" s="20">
        <f t="shared" ca="1" si="56"/>
        <v>43969</v>
      </c>
      <c r="B1861" s="21" t="str">
        <f ca="1"/>
        <v>2020-05-18</v>
      </c>
      <c r="C1861" s="22">
        <f ca="1"/>
        <v>185.75</v>
      </c>
      <c r="D1861" s="22">
        <f ca="1"/>
        <v>186.199997</v>
      </c>
      <c r="E1861" s="22">
        <f ca="1"/>
        <v>183.96000699999999</v>
      </c>
      <c r="F1861" s="22">
        <f ca="1"/>
        <v>184.91000399999999</v>
      </c>
      <c r="G1861" s="22">
        <f ca="1"/>
        <v>180.25723300000001</v>
      </c>
      <c r="H1861" s="69">
        <f ca="1"/>
        <v>35264500</v>
      </c>
      <c r="I1861" s="23" t="str">
        <f t="shared" ca="1" si="57"/>
        <v/>
      </c>
    </row>
    <row r="1862" spans="1:9" ht="13.8">
      <c r="A1862" s="20">
        <f t="shared" ref="A1862:A1925" ca="1" si="58">IFERROR(DATEVALUE($B1862),"--")</f>
        <v>43970</v>
      </c>
      <c r="B1862" s="21" t="str">
        <f ca="1"/>
        <v>2020-05-19</v>
      </c>
      <c r="C1862" s="22">
        <f ca="1"/>
        <v>185.029999</v>
      </c>
      <c r="D1862" s="22">
        <f ca="1"/>
        <v>186.60000600000001</v>
      </c>
      <c r="E1862" s="22">
        <f ca="1"/>
        <v>183.490005</v>
      </c>
      <c r="F1862" s="22">
        <f ca="1"/>
        <v>183.63000500000001</v>
      </c>
      <c r="G1862" s="22">
        <f ca="1"/>
        <v>179.009491</v>
      </c>
      <c r="H1862" s="69">
        <f ca="1"/>
        <v>26799100</v>
      </c>
      <c r="I1862" s="23" t="str">
        <f t="shared" ref="I1862:I1925" ca="1" si="59">IFERROR(IF(Ticker&lt;&gt;$Q$2,"",INDEX($P:$P,MATCH($A1862,$O:$O,0))),"")</f>
        <v/>
      </c>
    </row>
    <row r="1863" spans="1:9" ht="13.8">
      <c r="A1863" s="20">
        <f t="shared" ca="1" si="58"/>
        <v>43971</v>
      </c>
      <c r="B1863" s="21" t="str">
        <f ca="1"/>
        <v>2020-05-20</v>
      </c>
      <c r="C1863" s="22">
        <f ca="1"/>
        <v>184.80999800000001</v>
      </c>
      <c r="D1863" s="22">
        <f ca="1"/>
        <v>185.85000600000001</v>
      </c>
      <c r="E1863" s="22">
        <f ca="1"/>
        <v>183.94000199999999</v>
      </c>
      <c r="F1863" s="22">
        <f ca="1"/>
        <v>185.66000399999999</v>
      </c>
      <c r="G1863" s="22">
        <f ca="1"/>
        <v>181.492447</v>
      </c>
      <c r="H1863" s="69">
        <f ca="1"/>
        <v>31261300</v>
      </c>
      <c r="I1863" s="23">
        <f t="shared" ca="1" si="59"/>
        <v>0.51</v>
      </c>
    </row>
    <row r="1864" spans="1:9" ht="13.8">
      <c r="A1864" s="20">
        <f t="shared" ca="1" si="58"/>
        <v>43972</v>
      </c>
      <c r="B1864" s="21" t="str">
        <f ca="1"/>
        <v>2020-05-21</v>
      </c>
      <c r="C1864" s="22">
        <f ca="1"/>
        <v>185.39999399999999</v>
      </c>
      <c r="D1864" s="22">
        <f ca="1"/>
        <v>186.66999799999999</v>
      </c>
      <c r="E1864" s="22">
        <f ca="1"/>
        <v>183.28999300000001</v>
      </c>
      <c r="F1864" s="22">
        <f ca="1"/>
        <v>183.429993</v>
      </c>
      <c r="G1864" s="22">
        <f ca="1"/>
        <v>179.31251499999999</v>
      </c>
      <c r="H1864" s="69">
        <f ca="1"/>
        <v>29119500</v>
      </c>
      <c r="I1864" s="23" t="str">
        <f t="shared" ca="1" si="59"/>
        <v/>
      </c>
    </row>
    <row r="1865" spans="1:9" ht="13.8">
      <c r="A1865" s="20">
        <f t="shared" ca="1" si="58"/>
        <v>43973</v>
      </c>
      <c r="B1865" s="21" t="str">
        <f ca="1"/>
        <v>2020-05-22</v>
      </c>
      <c r="C1865" s="22">
        <f ca="1"/>
        <v>183.19000199999999</v>
      </c>
      <c r="D1865" s="22">
        <f ca="1"/>
        <v>184.46000699999999</v>
      </c>
      <c r="E1865" s="22">
        <f ca="1"/>
        <v>182.53999300000001</v>
      </c>
      <c r="F1865" s="22">
        <f ca="1"/>
        <v>183.509995</v>
      </c>
      <c r="G1865" s="22">
        <f ca="1"/>
        <v>179.390717</v>
      </c>
      <c r="H1865" s="69">
        <f ca="1"/>
        <v>20826900</v>
      </c>
      <c r="I1865" s="23" t="str">
        <f t="shared" ca="1" si="59"/>
        <v/>
      </c>
    </row>
    <row r="1866" spans="1:9" ht="13.8">
      <c r="A1866" s="20">
        <f t="shared" ca="1" si="58"/>
        <v>43977</v>
      </c>
      <c r="B1866" s="21" t="str">
        <f ca="1"/>
        <v>2020-05-26</v>
      </c>
      <c r="C1866" s="22">
        <f ca="1"/>
        <v>186.33999600000001</v>
      </c>
      <c r="D1866" s="22">
        <f ca="1"/>
        <v>186.5</v>
      </c>
      <c r="E1866" s="22">
        <f ca="1"/>
        <v>181.10000600000001</v>
      </c>
      <c r="F1866" s="22">
        <f ca="1"/>
        <v>181.570007</v>
      </c>
      <c r="G1866" s="22">
        <f ca="1"/>
        <v>177.494293</v>
      </c>
      <c r="H1866" s="69">
        <f ca="1"/>
        <v>36073600</v>
      </c>
      <c r="I1866" s="23" t="str">
        <f t="shared" ca="1" si="59"/>
        <v/>
      </c>
    </row>
    <row r="1867" spans="1:9" ht="13.8">
      <c r="A1867" s="20">
        <f t="shared" ca="1" si="58"/>
        <v>43978</v>
      </c>
      <c r="B1867" s="21" t="str">
        <f ca="1"/>
        <v>2020-05-27</v>
      </c>
      <c r="C1867" s="22">
        <f ca="1"/>
        <v>180.199997</v>
      </c>
      <c r="D1867" s="22">
        <f ca="1"/>
        <v>181.990005</v>
      </c>
      <c r="E1867" s="22">
        <f ca="1"/>
        <v>176.60000600000001</v>
      </c>
      <c r="F1867" s="22">
        <f ca="1"/>
        <v>181.80999800000001</v>
      </c>
      <c r="G1867" s="22">
        <f ca="1"/>
        <v>177.72886700000001</v>
      </c>
      <c r="H1867" s="69">
        <f ca="1"/>
        <v>39517100</v>
      </c>
      <c r="I1867" s="23" t="str">
        <f t="shared" ca="1" si="59"/>
        <v/>
      </c>
    </row>
    <row r="1868" spans="1:9" ht="13.8">
      <c r="A1868" s="20">
        <f t="shared" ca="1" si="58"/>
        <v>43979</v>
      </c>
      <c r="B1868" s="21" t="str">
        <f ca="1"/>
        <v>2020-05-28</v>
      </c>
      <c r="C1868" s="22">
        <f ca="1"/>
        <v>180.740005</v>
      </c>
      <c r="D1868" s="22">
        <f ca="1"/>
        <v>184.14999399999999</v>
      </c>
      <c r="E1868" s="22">
        <f ca="1"/>
        <v>180.38000500000001</v>
      </c>
      <c r="F1868" s="22">
        <f ca="1"/>
        <v>181.39999399999999</v>
      </c>
      <c r="G1868" s="22">
        <f ca="1"/>
        <v>177.32809399999999</v>
      </c>
      <c r="H1868" s="69">
        <f ca="1"/>
        <v>33810200</v>
      </c>
      <c r="I1868" s="23" t="str">
        <f t="shared" ca="1" si="59"/>
        <v/>
      </c>
    </row>
    <row r="1869" spans="1:9" ht="13.8">
      <c r="A1869" s="20">
        <f t="shared" ca="1" si="58"/>
        <v>43980</v>
      </c>
      <c r="B1869" s="21" t="str">
        <f ca="1"/>
        <v>2020-05-29</v>
      </c>
      <c r="C1869" s="22">
        <f ca="1"/>
        <v>182.729996</v>
      </c>
      <c r="D1869" s="22">
        <f ca="1"/>
        <v>184.270004</v>
      </c>
      <c r="E1869" s="22">
        <f ca="1"/>
        <v>180.41000399999999</v>
      </c>
      <c r="F1869" s="22">
        <f ca="1"/>
        <v>183.25</v>
      </c>
      <c r="G1869" s="22">
        <f ca="1"/>
        <v>179.13656599999999</v>
      </c>
      <c r="H1869" s="69">
        <f ca="1"/>
        <v>42130400</v>
      </c>
      <c r="I1869" s="23" t="str">
        <f t="shared" ca="1" si="59"/>
        <v/>
      </c>
    </row>
    <row r="1870" spans="1:9" ht="13.8">
      <c r="A1870" s="20">
        <f t="shared" ca="1" si="58"/>
        <v>43983</v>
      </c>
      <c r="B1870" s="21" t="str">
        <f ca="1"/>
        <v>2020-06-01</v>
      </c>
      <c r="C1870" s="22">
        <f ca="1"/>
        <v>182.53999300000001</v>
      </c>
      <c r="D1870" s="22">
        <f ca="1"/>
        <v>183</v>
      </c>
      <c r="E1870" s="22">
        <f ca="1"/>
        <v>181.46000699999999</v>
      </c>
      <c r="F1870" s="22">
        <f ca="1"/>
        <v>182.83000200000001</v>
      </c>
      <c r="G1870" s="22">
        <f ca="1"/>
        <v>178.725998</v>
      </c>
      <c r="H1870" s="69">
        <f ca="1"/>
        <v>22622400</v>
      </c>
      <c r="I1870" s="23" t="str">
        <f t="shared" ca="1" si="59"/>
        <v/>
      </c>
    </row>
    <row r="1871" spans="1:9" ht="13.8">
      <c r="A1871" s="20">
        <f t="shared" ca="1" si="58"/>
        <v>43984</v>
      </c>
      <c r="B1871" s="21" t="str">
        <f ca="1"/>
        <v>2020-06-02</v>
      </c>
      <c r="C1871" s="22">
        <f ca="1"/>
        <v>184.25</v>
      </c>
      <c r="D1871" s="22">
        <f ca="1"/>
        <v>185</v>
      </c>
      <c r="E1871" s="22">
        <f ca="1"/>
        <v>181.35000600000001</v>
      </c>
      <c r="F1871" s="22">
        <f ca="1"/>
        <v>184.91000399999999</v>
      </c>
      <c r="G1871" s="22">
        <f ca="1"/>
        <v>180.75926200000001</v>
      </c>
      <c r="H1871" s="69">
        <f ca="1"/>
        <v>30794600</v>
      </c>
      <c r="I1871" s="23" t="str">
        <f t="shared" ca="1" si="59"/>
        <v/>
      </c>
    </row>
    <row r="1872" spans="1:9" ht="13.8">
      <c r="A1872" s="20">
        <f t="shared" ca="1" si="58"/>
        <v>43985</v>
      </c>
      <c r="B1872" s="21" t="str">
        <f ca="1"/>
        <v>2020-06-03</v>
      </c>
      <c r="C1872" s="22">
        <f ca="1"/>
        <v>184.820007</v>
      </c>
      <c r="D1872" s="22">
        <f ca="1"/>
        <v>185.94000199999999</v>
      </c>
      <c r="E1872" s="22">
        <f ca="1"/>
        <v>183.58000200000001</v>
      </c>
      <c r="F1872" s="22">
        <f ca="1"/>
        <v>185.36000100000001</v>
      </c>
      <c r="G1872" s="22">
        <f ca="1"/>
        <v>181.19918799999999</v>
      </c>
      <c r="H1872" s="69">
        <f ca="1"/>
        <v>27311000</v>
      </c>
      <c r="I1872" s="23" t="str">
        <f t="shared" ca="1" si="59"/>
        <v/>
      </c>
    </row>
    <row r="1873" spans="1:9" ht="13.8">
      <c r="A1873" s="20">
        <f t="shared" ca="1" si="58"/>
        <v>43986</v>
      </c>
      <c r="B1873" s="21" t="str">
        <f ca="1"/>
        <v>2020-06-04</v>
      </c>
      <c r="C1873" s="22">
        <f ca="1"/>
        <v>184.300003</v>
      </c>
      <c r="D1873" s="22">
        <f ca="1"/>
        <v>185.83999600000001</v>
      </c>
      <c r="E1873" s="22">
        <f ca="1"/>
        <v>182.300003</v>
      </c>
      <c r="F1873" s="22">
        <f ca="1"/>
        <v>182.91999799999999</v>
      </c>
      <c r="G1873" s="22">
        <f ca="1"/>
        <v>178.81397999999999</v>
      </c>
      <c r="H1873" s="69">
        <f ca="1"/>
        <v>28761800</v>
      </c>
      <c r="I1873" s="23" t="str">
        <f t="shared" ca="1" si="59"/>
        <v/>
      </c>
    </row>
    <row r="1874" spans="1:9" ht="13.8">
      <c r="A1874" s="20">
        <f t="shared" ca="1" si="58"/>
        <v>43987</v>
      </c>
      <c r="B1874" s="21" t="str">
        <f ca="1"/>
        <v>2020-06-05</v>
      </c>
      <c r="C1874" s="22">
        <f ca="1"/>
        <v>182.61999499999999</v>
      </c>
      <c r="D1874" s="22">
        <f ca="1"/>
        <v>187.729996</v>
      </c>
      <c r="E1874" s="22">
        <f ca="1"/>
        <v>182.009995</v>
      </c>
      <c r="F1874" s="22">
        <f ca="1"/>
        <v>187.199997</v>
      </c>
      <c r="G1874" s="22">
        <f ca="1"/>
        <v>182.99787900000001</v>
      </c>
      <c r="H1874" s="69">
        <f ca="1"/>
        <v>39893600</v>
      </c>
      <c r="I1874" s="23" t="str">
        <f t="shared" ca="1" si="59"/>
        <v/>
      </c>
    </row>
    <row r="1875" spans="1:9" ht="13.8">
      <c r="A1875" s="20">
        <f t="shared" ca="1" si="58"/>
        <v>43990</v>
      </c>
      <c r="B1875" s="21" t="str">
        <f ca="1"/>
        <v>2020-06-08</v>
      </c>
      <c r="C1875" s="22">
        <f ca="1"/>
        <v>185.94000199999999</v>
      </c>
      <c r="D1875" s="22">
        <f ca="1"/>
        <v>188.550003</v>
      </c>
      <c r="E1875" s="22">
        <f ca="1"/>
        <v>184.44000199999999</v>
      </c>
      <c r="F1875" s="22">
        <f ca="1"/>
        <v>188.36000100000001</v>
      </c>
      <c r="G1875" s="22">
        <f ca="1"/>
        <v>184.13188199999999</v>
      </c>
      <c r="H1875" s="69">
        <f ca="1"/>
        <v>33211600</v>
      </c>
      <c r="I1875" s="23" t="str">
        <f t="shared" ca="1" si="59"/>
        <v/>
      </c>
    </row>
    <row r="1876" spans="1:9" ht="13.8">
      <c r="A1876" s="20">
        <f t="shared" ca="1" si="58"/>
        <v>43991</v>
      </c>
      <c r="B1876" s="21" t="str">
        <f ca="1"/>
        <v>2020-06-09</v>
      </c>
      <c r="C1876" s="22">
        <f ca="1"/>
        <v>188</v>
      </c>
      <c r="D1876" s="22">
        <f ca="1"/>
        <v>190.699997</v>
      </c>
      <c r="E1876" s="22">
        <f ca="1"/>
        <v>187.259995</v>
      </c>
      <c r="F1876" s="22">
        <f ca="1"/>
        <v>189.800003</v>
      </c>
      <c r="G1876" s="22">
        <f ca="1"/>
        <v>185.53952000000001</v>
      </c>
      <c r="H1876" s="69">
        <f ca="1"/>
        <v>29783900</v>
      </c>
      <c r="I1876" s="23" t="str">
        <f t="shared" ca="1" si="59"/>
        <v/>
      </c>
    </row>
    <row r="1877" spans="1:9" ht="13.8">
      <c r="A1877" s="20">
        <f t="shared" ca="1" si="58"/>
        <v>43992</v>
      </c>
      <c r="B1877" s="21" t="str">
        <f ca="1"/>
        <v>2020-06-10</v>
      </c>
      <c r="C1877" s="22">
        <f ca="1"/>
        <v>191.13000500000001</v>
      </c>
      <c r="D1877" s="22">
        <f ca="1"/>
        <v>198.520004</v>
      </c>
      <c r="E1877" s="22">
        <f ca="1"/>
        <v>191.009995</v>
      </c>
      <c r="F1877" s="22">
        <f ca="1"/>
        <v>196.83999600000001</v>
      </c>
      <c r="G1877" s="22">
        <f ca="1"/>
        <v>192.42147800000001</v>
      </c>
      <c r="H1877" s="69">
        <f ca="1"/>
        <v>43872300</v>
      </c>
      <c r="I1877" s="23" t="str">
        <f t="shared" ca="1" si="59"/>
        <v/>
      </c>
    </row>
    <row r="1878" spans="1:9" ht="13.8">
      <c r="A1878" s="20">
        <f t="shared" ca="1" si="58"/>
        <v>43993</v>
      </c>
      <c r="B1878" s="21" t="str">
        <f ca="1"/>
        <v>2020-06-11</v>
      </c>
      <c r="C1878" s="22">
        <f ca="1"/>
        <v>193.13000500000001</v>
      </c>
      <c r="D1878" s="22">
        <f ca="1"/>
        <v>195.759995</v>
      </c>
      <c r="E1878" s="22">
        <f ca="1"/>
        <v>186.070007</v>
      </c>
      <c r="F1878" s="22">
        <f ca="1"/>
        <v>186.270004</v>
      </c>
      <c r="G1878" s="22">
        <f ca="1"/>
        <v>182.088776</v>
      </c>
      <c r="H1878" s="69">
        <f ca="1"/>
        <v>52854700</v>
      </c>
      <c r="I1878" s="23" t="str">
        <f t="shared" ca="1" si="59"/>
        <v/>
      </c>
    </row>
    <row r="1879" spans="1:9" ht="13.8">
      <c r="A1879" s="20">
        <f t="shared" ca="1" si="58"/>
        <v>43994</v>
      </c>
      <c r="B1879" s="21" t="str">
        <f ca="1"/>
        <v>2020-06-12</v>
      </c>
      <c r="C1879" s="22">
        <f ca="1"/>
        <v>190.53999300000001</v>
      </c>
      <c r="D1879" s="22">
        <f ca="1"/>
        <v>191.720001</v>
      </c>
      <c r="E1879" s="22">
        <f ca="1"/>
        <v>185.179993</v>
      </c>
      <c r="F1879" s="22">
        <f ca="1"/>
        <v>187.740005</v>
      </c>
      <c r="G1879" s="22">
        <f ca="1"/>
        <v>183.525757</v>
      </c>
      <c r="H1879" s="69">
        <f ca="1"/>
        <v>43373600</v>
      </c>
      <c r="I1879" s="23" t="str">
        <f t="shared" ca="1" si="59"/>
        <v/>
      </c>
    </row>
    <row r="1880" spans="1:9" ht="13.8">
      <c r="A1880" s="20">
        <f t="shared" ca="1" si="58"/>
        <v>43997</v>
      </c>
      <c r="B1880" s="21" t="str">
        <f ca="1"/>
        <v>2020-06-15</v>
      </c>
      <c r="C1880" s="22">
        <f ca="1"/>
        <v>184.58000200000001</v>
      </c>
      <c r="D1880" s="22">
        <f ca="1"/>
        <v>190.820007</v>
      </c>
      <c r="E1880" s="22">
        <f ca="1"/>
        <v>184.009995</v>
      </c>
      <c r="F1880" s="22">
        <f ca="1"/>
        <v>188.94000199999999</v>
      </c>
      <c r="G1880" s="22">
        <f ca="1"/>
        <v>184.698868</v>
      </c>
      <c r="H1880" s="69">
        <f ca="1"/>
        <v>32770200</v>
      </c>
      <c r="I1880" s="23" t="str">
        <f t="shared" ca="1" si="59"/>
        <v/>
      </c>
    </row>
    <row r="1881" spans="1:9" ht="13.8">
      <c r="A1881" s="20">
        <f t="shared" ca="1" si="58"/>
        <v>43998</v>
      </c>
      <c r="B1881" s="21" t="str">
        <f ca="1"/>
        <v>2020-06-16</v>
      </c>
      <c r="C1881" s="22">
        <f ca="1"/>
        <v>192.88999899999999</v>
      </c>
      <c r="D1881" s="22">
        <f ca="1"/>
        <v>195.58000200000001</v>
      </c>
      <c r="E1881" s="22">
        <f ca="1"/>
        <v>191.46000699999999</v>
      </c>
      <c r="F1881" s="22">
        <f ca="1"/>
        <v>193.570007</v>
      </c>
      <c r="G1881" s="22">
        <f ca="1"/>
        <v>189.22489899999999</v>
      </c>
      <c r="H1881" s="69">
        <f ca="1"/>
        <v>42556700</v>
      </c>
      <c r="I1881" s="23" t="str">
        <f t="shared" ca="1" si="59"/>
        <v/>
      </c>
    </row>
    <row r="1882" spans="1:9" ht="13.8">
      <c r="A1882" s="20">
        <f t="shared" ca="1" si="58"/>
        <v>43999</v>
      </c>
      <c r="B1882" s="21" t="str">
        <f ca="1"/>
        <v>2020-06-17</v>
      </c>
      <c r="C1882" s="22">
        <f ca="1"/>
        <v>195.029999</v>
      </c>
      <c r="D1882" s="22">
        <f ca="1"/>
        <v>196.320007</v>
      </c>
      <c r="E1882" s="22">
        <f ca="1"/>
        <v>193.69000199999999</v>
      </c>
      <c r="F1882" s="22">
        <f ca="1"/>
        <v>194.240005</v>
      </c>
      <c r="G1882" s="22">
        <f ca="1"/>
        <v>189.87986799999999</v>
      </c>
      <c r="H1882" s="69">
        <f ca="1"/>
        <v>25687800</v>
      </c>
      <c r="I1882" s="23" t="str">
        <f t="shared" ca="1" si="59"/>
        <v/>
      </c>
    </row>
    <row r="1883" spans="1:9" ht="13.8">
      <c r="A1883" s="20">
        <f t="shared" ca="1" si="58"/>
        <v>44000</v>
      </c>
      <c r="B1883" s="21" t="str">
        <f ca="1"/>
        <v>2020-06-18</v>
      </c>
      <c r="C1883" s="22">
        <f ca="1"/>
        <v>194</v>
      </c>
      <c r="D1883" s="22">
        <f ca="1"/>
        <v>196.490005</v>
      </c>
      <c r="E1883" s="22">
        <f ca="1"/>
        <v>194</v>
      </c>
      <c r="F1883" s="22">
        <f ca="1"/>
        <v>196.320007</v>
      </c>
      <c r="G1883" s="22">
        <f ca="1"/>
        <v>191.91317699999999</v>
      </c>
      <c r="H1883" s="69">
        <f ca="1"/>
        <v>23061600</v>
      </c>
      <c r="I1883" s="23" t="str">
        <f t="shared" ca="1" si="59"/>
        <v/>
      </c>
    </row>
    <row r="1884" spans="1:9" ht="13.8">
      <c r="A1884" s="20">
        <f t="shared" ca="1" si="58"/>
        <v>44001</v>
      </c>
      <c r="B1884" s="21" t="str">
        <f ca="1"/>
        <v>2020-06-19</v>
      </c>
      <c r="C1884" s="22">
        <f ca="1"/>
        <v>198.58999600000001</v>
      </c>
      <c r="D1884" s="22">
        <f ca="1"/>
        <v>199.28999300000001</v>
      </c>
      <c r="E1884" s="22">
        <f ca="1"/>
        <v>194.36999499999999</v>
      </c>
      <c r="F1884" s="22">
        <f ca="1"/>
        <v>195.14999399999999</v>
      </c>
      <c r="G1884" s="22">
        <f ca="1"/>
        <v>190.76942399999999</v>
      </c>
      <c r="H1884" s="69">
        <f ca="1"/>
        <v>44441100</v>
      </c>
      <c r="I1884" s="23" t="str">
        <f t="shared" ca="1" si="59"/>
        <v/>
      </c>
    </row>
    <row r="1885" spans="1:9" ht="13.8">
      <c r="A1885" s="20">
        <f t="shared" ca="1" si="58"/>
        <v>44004</v>
      </c>
      <c r="B1885" s="21" t="str">
        <f ca="1"/>
        <v>2020-06-22</v>
      </c>
      <c r="C1885" s="22">
        <f ca="1"/>
        <v>195.78999300000001</v>
      </c>
      <c r="D1885" s="22">
        <f ca="1"/>
        <v>200.759995</v>
      </c>
      <c r="E1885" s="22">
        <f ca="1"/>
        <v>195.229996</v>
      </c>
      <c r="F1885" s="22">
        <f ca="1"/>
        <v>200.570007</v>
      </c>
      <c r="G1885" s="22">
        <f ca="1"/>
        <v>196.06776400000001</v>
      </c>
      <c r="H1885" s="69">
        <f ca="1"/>
        <v>32818900</v>
      </c>
      <c r="I1885" s="23" t="str">
        <f t="shared" ca="1" si="59"/>
        <v/>
      </c>
    </row>
    <row r="1886" spans="1:9" ht="13.8">
      <c r="A1886" s="20">
        <f t="shared" ca="1" si="58"/>
        <v>44005</v>
      </c>
      <c r="B1886" s="21" t="str">
        <f ca="1"/>
        <v>2020-06-23</v>
      </c>
      <c r="C1886" s="22">
        <f ca="1"/>
        <v>202.08999600000001</v>
      </c>
      <c r="D1886" s="22">
        <f ca="1"/>
        <v>203.949997</v>
      </c>
      <c r="E1886" s="22">
        <f ca="1"/>
        <v>201.429993</v>
      </c>
      <c r="F1886" s="22">
        <f ca="1"/>
        <v>201.91000399999999</v>
      </c>
      <c r="G1886" s="22">
        <f ca="1"/>
        <v>197.37768600000001</v>
      </c>
      <c r="H1886" s="69">
        <f ca="1"/>
        <v>30917400</v>
      </c>
      <c r="I1886" s="23" t="str">
        <f t="shared" ca="1" si="59"/>
        <v/>
      </c>
    </row>
    <row r="1887" spans="1:9" ht="13.8">
      <c r="A1887" s="20">
        <f t="shared" ca="1" si="58"/>
        <v>44006</v>
      </c>
      <c r="B1887" s="21" t="str">
        <f ca="1"/>
        <v>2020-06-24</v>
      </c>
      <c r="C1887" s="22">
        <f ca="1"/>
        <v>201.60000600000001</v>
      </c>
      <c r="D1887" s="22">
        <f ca="1"/>
        <v>203.25</v>
      </c>
      <c r="E1887" s="22">
        <f ca="1"/>
        <v>196.55999800000001</v>
      </c>
      <c r="F1887" s="22">
        <f ca="1"/>
        <v>197.83999600000001</v>
      </c>
      <c r="G1887" s="22">
        <f ca="1"/>
        <v>193.399078</v>
      </c>
      <c r="H1887" s="69">
        <f ca="1"/>
        <v>36740600</v>
      </c>
      <c r="I1887" s="23" t="str">
        <f t="shared" ca="1" si="59"/>
        <v/>
      </c>
    </row>
    <row r="1888" spans="1:9" ht="13.8">
      <c r="A1888" s="20">
        <f t="shared" ca="1" si="58"/>
        <v>44007</v>
      </c>
      <c r="B1888" s="21" t="str">
        <f ca="1"/>
        <v>2020-06-25</v>
      </c>
      <c r="C1888" s="22">
        <f ca="1"/>
        <v>197.800003</v>
      </c>
      <c r="D1888" s="22">
        <f ca="1"/>
        <v>200.61000100000001</v>
      </c>
      <c r="E1888" s="22">
        <f ca="1"/>
        <v>195.470001</v>
      </c>
      <c r="F1888" s="22">
        <f ca="1"/>
        <v>200.33999600000001</v>
      </c>
      <c r="G1888" s="22">
        <f ca="1"/>
        <v>195.842941</v>
      </c>
      <c r="H1888" s="69">
        <f ca="1"/>
        <v>27803900</v>
      </c>
      <c r="I1888" s="23" t="str">
        <f t="shared" ca="1" si="59"/>
        <v/>
      </c>
    </row>
    <row r="1889" spans="1:9" ht="13.8">
      <c r="A1889" s="20">
        <f t="shared" ca="1" si="58"/>
        <v>44008</v>
      </c>
      <c r="B1889" s="21" t="str">
        <f ca="1"/>
        <v>2020-06-26</v>
      </c>
      <c r="C1889" s="22">
        <f ca="1"/>
        <v>199.729996</v>
      </c>
      <c r="D1889" s="22">
        <f ca="1"/>
        <v>199.88999899999999</v>
      </c>
      <c r="E1889" s="22">
        <f ca="1"/>
        <v>194.88000500000001</v>
      </c>
      <c r="F1889" s="22">
        <f ca="1"/>
        <v>196.33000200000001</v>
      </c>
      <c r="G1889" s="22">
        <f ca="1"/>
        <v>191.92295799999999</v>
      </c>
      <c r="H1889" s="69">
        <f ca="1"/>
        <v>54675800</v>
      </c>
      <c r="I1889" s="23" t="str">
        <f t="shared" ca="1" si="59"/>
        <v/>
      </c>
    </row>
    <row r="1890" spans="1:9" ht="13.8">
      <c r="A1890" s="20">
        <f t="shared" ca="1" si="58"/>
        <v>44011</v>
      </c>
      <c r="B1890" s="21" t="str">
        <f ca="1"/>
        <v>2020-06-29</v>
      </c>
      <c r="C1890" s="22">
        <f ca="1"/>
        <v>195.779999</v>
      </c>
      <c r="D1890" s="22">
        <f ca="1"/>
        <v>198.529999</v>
      </c>
      <c r="E1890" s="22">
        <f ca="1"/>
        <v>193.550003</v>
      </c>
      <c r="F1890" s="22">
        <f ca="1"/>
        <v>198.44000199999999</v>
      </c>
      <c r="G1890" s="22">
        <f ca="1"/>
        <v>193.98561100000001</v>
      </c>
      <c r="H1890" s="69">
        <f ca="1"/>
        <v>26701600</v>
      </c>
      <c r="I1890" s="23" t="str">
        <f t="shared" ca="1" si="59"/>
        <v/>
      </c>
    </row>
    <row r="1891" spans="1:9" ht="13.8">
      <c r="A1891" s="20">
        <f t="shared" ca="1" si="58"/>
        <v>44012</v>
      </c>
      <c r="B1891" s="21" t="str">
        <f ca="1"/>
        <v>2020-06-30</v>
      </c>
      <c r="C1891" s="22">
        <f ca="1"/>
        <v>197.88000500000001</v>
      </c>
      <c r="D1891" s="22">
        <f ca="1"/>
        <v>204.39999399999999</v>
      </c>
      <c r="E1891" s="22">
        <f ca="1"/>
        <v>197.740005</v>
      </c>
      <c r="F1891" s="22">
        <f ca="1"/>
        <v>203.509995</v>
      </c>
      <c r="G1891" s="22">
        <f ca="1"/>
        <v>198.941742</v>
      </c>
      <c r="H1891" s="69">
        <f ca="1"/>
        <v>34310300</v>
      </c>
      <c r="I1891" s="23" t="str">
        <f t="shared" ca="1" si="59"/>
        <v/>
      </c>
    </row>
    <row r="1892" spans="1:9" ht="13.8">
      <c r="A1892" s="20">
        <f t="shared" ca="1" si="58"/>
        <v>44013</v>
      </c>
      <c r="B1892" s="21" t="str">
        <f ca="1"/>
        <v>2020-07-01</v>
      </c>
      <c r="C1892" s="22">
        <f ca="1"/>
        <v>203.13999899999999</v>
      </c>
      <c r="D1892" s="22">
        <f ca="1"/>
        <v>206.35000600000001</v>
      </c>
      <c r="E1892" s="22">
        <f ca="1"/>
        <v>201.770004</v>
      </c>
      <c r="F1892" s="22">
        <f ca="1"/>
        <v>204.699997</v>
      </c>
      <c r="G1892" s="22">
        <f ca="1"/>
        <v>200.105042</v>
      </c>
      <c r="H1892" s="69">
        <f ca="1"/>
        <v>32061200</v>
      </c>
      <c r="I1892" s="23" t="str">
        <f t="shared" ca="1" si="59"/>
        <v/>
      </c>
    </row>
    <row r="1893" spans="1:9" ht="13.8">
      <c r="A1893" s="20">
        <f t="shared" ca="1" si="58"/>
        <v>44014</v>
      </c>
      <c r="B1893" s="21" t="str">
        <f ca="1"/>
        <v>2020-07-02</v>
      </c>
      <c r="C1893" s="22">
        <f ca="1"/>
        <v>205.679993</v>
      </c>
      <c r="D1893" s="22">
        <f ca="1"/>
        <v>208.020004</v>
      </c>
      <c r="E1893" s="22">
        <f ca="1"/>
        <v>205</v>
      </c>
      <c r="F1893" s="22">
        <f ca="1"/>
        <v>206.259995</v>
      </c>
      <c r="G1893" s="22">
        <f ca="1"/>
        <v>201.63003499999999</v>
      </c>
      <c r="H1893" s="69">
        <f ca="1"/>
        <v>29315800</v>
      </c>
      <c r="I1893" s="23" t="str">
        <f t="shared" ca="1" si="59"/>
        <v/>
      </c>
    </row>
    <row r="1894" spans="1:9" ht="13.8">
      <c r="A1894" s="20">
        <f t="shared" ca="1" si="58"/>
        <v>44018</v>
      </c>
      <c r="B1894" s="21" t="str">
        <f ca="1"/>
        <v>2020-07-06</v>
      </c>
      <c r="C1894" s="22">
        <f ca="1"/>
        <v>208.83000200000001</v>
      </c>
      <c r="D1894" s="22">
        <f ca="1"/>
        <v>211.13000500000001</v>
      </c>
      <c r="E1894" s="22">
        <f ca="1"/>
        <v>208.08999600000001</v>
      </c>
      <c r="F1894" s="22">
        <f ca="1"/>
        <v>210.699997</v>
      </c>
      <c r="G1894" s="22">
        <f ca="1"/>
        <v>205.970383</v>
      </c>
      <c r="H1894" s="69">
        <f ca="1"/>
        <v>31897600</v>
      </c>
      <c r="I1894" s="23" t="str">
        <f t="shared" ca="1" si="59"/>
        <v/>
      </c>
    </row>
    <row r="1895" spans="1:9" ht="13.8">
      <c r="A1895" s="20">
        <f t="shared" ca="1" si="58"/>
        <v>44019</v>
      </c>
      <c r="B1895" s="21" t="str">
        <f ca="1"/>
        <v>2020-07-07</v>
      </c>
      <c r="C1895" s="22">
        <f ca="1"/>
        <v>210.449997</v>
      </c>
      <c r="D1895" s="22">
        <f ca="1"/>
        <v>214.66999799999999</v>
      </c>
      <c r="E1895" s="22">
        <f ca="1"/>
        <v>207.990005</v>
      </c>
      <c r="F1895" s="22">
        <f ca="1"/>
        <v>208.25</v>
      </c>
      <c r="G1895" s="22">
        <f ca="1"/>
        <v>203.57536300000001</v>
      </c>
      <c r="H1895" s="69">
        <f ca="1"/>
        <v>33600700</v>
      </c>
      <c r="I1895" s="23" t="str">
        <f t="shared" ca="1" si="59"/>
        <v/>
      </c>
    </row>
    <row r="1896" spans="1:9" ht="13.8">
      <c r="A1896" s="20">
        <f t="shared" ca="1" si="58"/>
        <v>44020</v>
      </c>
      <c r="B1896" s="21" t="str">
        <f ca="1"/>
        <v>2020-07-08</v>
      </c>
      <c r="C1896" s="22">
        <f ca="1"/>
        <v>210.070007</v>
      </c>
      <c r="D1896" s="22">
        <f ca="1"/>
        <v>213.259995</v>
      </c>
      <c r="E1896" s="22">
        <f ca="1"/>
        <v>208.69000199999999</v>
      </c>
      <c r="F1896" s="22">
        <f ca="1"/>
        <v>212.83000200000001</v>
      </c>
      <c r="G1896" s="22">
        <f ca="1"/>
        <v>208.052582</v>
      </c>
      <c r="H1896" s="69">
        <f ca="1"/>
        <v>33600000</v>
      </c>
      <c r="I1896" s="23" t="str">
        <f t="shared" ca="1" si="59"/>
        <v/>
      </c>
    </row>
    <row r="1897" spans="1:9" ht="13.8">
      <c r="A1897" s="20">
        <f t="shared" ca="1" si="58"/>
        <v>44021</v>
      </c>
      <c r="B1897" s="21" t="str">
        <f ca="1"/>
        <v>2020-07-09</v>
      </c>
      <c r="C1897" s="22">
        <f ca="1"/>
        <v>216.33000200000001</v>
      </c>
      <c r="D1897" s="22">
        <f ca="1"/>
        <v>216.38000500000001</v>
      </c>
      <c r="E1897" s="22">
        <f ca="1"/>
        <v>211.470001</v>
      </c>
      <c r="F1897" s="22">
        <f ca="1"/>
        <v>214.320007</v>
      </c>
      <c r="G1897" s="22">
        <f ca="1"/>
        <v>209.50914</v>
      </c>
      <c r="H1897" s="69">
        <f ca="1"/>
        <v>33121700</v>
      </c>
      <c r="I1897" s="23" t="str">
        <f t="shared" ca="1" si="59"/>
        <v/>
      </c>
    </row>
    <row r="1898" spans="1:9" ht="13.8">
      <c r="A1898" s="20">
        <f t="shared" ca="1" si="58"/>
        <v>44022</v>
      </c>
      <c r="B1898" s="21" t="str">
        <f ca="1"/>
        <v>2020-07-10</v>
      </c>
      <c r="C1898" s="22">
        <f ca="1"/>
        <v>213.61999499999999</v>
      </c>
      <c r="D1898" s="22">
        <f ca="1"/>
        <v>214.08000200000001</v>
      </c>
      <c r="E1898" s="22">
        <f ca="1"/>
        <v>211.08000200000001</v>
      </c>
      <c r="F1898" s="22">
        <f ca="1"/>
        <v>213.66999799999999</v>
      </c>
      <c r="G1898" s="22">
        <f ca="1"/>
        <v>208.873718</v>
      </c>
      <c r="H1898" s="69">
        <f ca="1"/>
        <v>26177600</v>
      </c>
      <c r="I1898" s="23" t="str">
        <f t="shared" ca="1" si="59"/>
        <v/>
      </c>
    </row>
    <row r="1899" spans="1:9" ht="13.8">
      <c r="A1899" s="20">
        <f t="shared" ca="1" si="58"/>
        <v>44025</v>
      </c>
      <c r="B1899" s="21" t="str">
        <f ca="1"/>
        <v>2020-07-13</v>
      </c>
      <c r="C1899" s="22">
        <f ca="1"/>
        <v>214.479996</v>
      </c>
      <c r="D1899" s="22">
        <f ca="1"/>
        <v>215.800003</v>
      </c>
      <c r="E1899" s="22">
        <f ca="1"/>
        <v>206.5</v>
      </c>
      <c r="F1899" s="22">
        <f ca="1"/>
        <v>207.070007</v>
      </c>
      <c r="G1899" s="22">
        <f ca="1"/>
        <v>202.421875</v>
      </c>
      <c r="H1899" s="69">
        <f ca="1"/>
        <v>38135600</v>
      </c>
      <c r="I1899" s="23" t="str">
        <f t="shared" ca="1" si="59"/>
        <v/>
      </c>
    </row>
    <row r="1900" spans="1:9" ht="13.8">
      <c r="A1900" s="20">
        <f t="shared" ca="1" si="58"/>
        <v>44026</v>
      </c>
      <c r="B1900" s="21" t="str">
        <f ca="1"/>
        <v>2020-07-14</v>
      </c>
      <c r="C1900" s="22">
        <f ca="1"/>
        <v>206.13000500000001</v>
      </c>
      <c r="D1900" s="22">
        <f ca="1"/>
        <v>208.85000600000001</v>
      </c>
      <c r="E1900" s="22">
        <f ca="1"/>
        <v>202.029999</v>
      </c>
      <c r="F1900" s="22">
        <f ca="1"/>
        <v>208.35000600000001</v>
      </c>
      <c r="G1900" s="22">
        <f ca="1"/>
        <v>203.673126</v>
      </c>
      <c r="H1900" s="69">
        <f ca="1"/>
        <v>37591800</v>
      </c>
      <c r="I1900" s="23" t="str">
        <f t="shared" ca="1" si="59"/>
        <v/>
      </c>
    </row>
    <row r="1901" spans="1:9" ht="13.8">
      <c r="A1901" s="20">
        <f t="shared" ca="1" si="58"/>
        <v>44027</v>
      </c>
      <c r="B1901" s="21" t="str">
        <f ca="1"/>
        <v>2020-07-15</v>
      </c>
      <c r="C1901" s="22">
        <f ca="1"/>
        <v>209.55999800000001</v>
      </c>
      <c r="D1901" s="22">
        <f ca="1"/>
        <v>211.33000200000001</v>
      </c>
      <c r="E1901" s="22">
        <f ca="1"/>
        <v>205.029999</v>
      </c>
      <c r="F1901" s="22">
        <f ca="1"/>
        <v>208.03999300000001</v>
      </c>
      <c r="G1901" s="22">
        <f ca="1"/>
        <v>203.370102</v>
      </c>
      <c r="H1901" s="69">
        <f ca="1"/>
        <v>32179400</v>
      </c>
      <c r="I1901" s="23" t="str">
        <f t="shared" ca="1" si="59"/>
        <v/>
      </c>
    </row>
    <row r="1902" spans="1:9" ht="13.8">
      <c r="A1902" s="20">
        <f t="shared" ca="1" si="58"/>
        <v>44028</v>
      </c>
      <c r="B1902" s="21" t="str">
        <f ca="1"/>
        <v>2020-07-16</v>
      </c>
      <c r="C1902" s="22">
        <f ca="1"/>
        <v>205.39999399999999</v>
      </c>
      <c r="D1902" s="22">
        <f ca="1"/>
        <v>205.699997</v>
      </c>
      <c r="E1902" s="22">
        <f ca="1"/>
        <v>202.30999800000001</v>
      </c>
      <c r="F1902" s="22">
        <f ca="1"/>
        <v>203.91999799999999</v>
      </c>
      <c r="G1902" s="22">
        <f ca="1"/>
        <v>199.34257500000001</v>
      </c>
      <c r="H1902" s="69">
        <f ca="1"/>
        <v>29940700</v>
      </c>
      <c r="I1902" s="23" t="str">
        <f t="shared" ca="1" si="59"/>
        <v/>
      </c>
    </row>
    <row r="1903" spans="1:9" ht="13.8">
      <c r="A1903" s="20">
        <f t="shared" ca="1" si="58"/>
        <v>44029</v>
      </c>
      <c r="B1903" s="21" t="str">
        <f ca="1"/>
        <v>2020-07-17</v>
      </c>
      <c r="C1903" s="22">
        <f ca="1"/>
        <v>204.470001</v>
      </c>
      <c r="D1903" s="22">
        <f ca="1"/>
        <v>205.03999300000001</v>
      </c>
      <c r="E1903" s="22">
        <f ca="1"/>
        <v>201.38999899999999</v>
      </c>
      <c r="F1903" s="22">
        <f ca="1"/>
        <v>202.88000500000001</v>
      </c>
      <c r="G1903" s="22">
        <f ca="1"/>
        <v>198.325928</v>
      </c>
      <c r="H1903" s="69">
        <f ca="1"/>
        <v>31635300</v>
      </c>
      <c r="I1903" s="23" t="str">
        <f t="shared" ca="1" si="59"/>
        <v/>
      </c>
    </row>
    <row r="1904" spans="1:9" ht="13.8">
      <c r="A1904" s="20">
        <f t="shared" ca="1" si="58"/>
        <v>44032</v>
      </c>
      <c r="B1904" s="21" t="str">
        <f ca="1"/>
        <v>2020-07-20</v>
      </c>
      <c r="C1904" s="22">
        <f ca="1"/>
        <v>205</v>
      </c>
      <c r="D1904" s="22">
        <f ca="1"/>
        <v>212.300003</v>
      </c>
      <c r="E1904" s="22">
        <f ca="1"/>
        <v>203.009995</v>
      </c>
      <c r="F1904" s="22">
        <f ca="1"/>
        <v>211.60000600000001</v>
      </c>
      <c r="G1904" s="22">
        <f ca="1"/>
        <v>206.85020399999999</v>
      </c>
      <c r="H1904" s="69">
        <f ca="1"/>
        <v>36884800</v>
      </c>
      <c r="I1904" s="23" t="str">
        <f t="shared" ca="1" si="59"/>
        <v/>
      </c>
    </row>
    <row r="1905" spans="1:9" ht="13.8">
      <c r="A1905" s="20">
        <f t="shared" ca="1" si="58"/>
        <v>44033</v>
      </c>
      <c r="B1905" s="21" t="str">
        <f ca="1"/>
        <v>2020-07-21</v>
      </c>
      <c r="C1905" s="22">
        <f ca="1"/>
        <v>213.66000399999999</v>
      </c>
      <c r="D1905" s="22">
        <f ca="1"/>
        <v>213.94000199999999</v>
      </c>
      <c r="E1905" s="22">
        <f ca="1"/>
        <v>208.029999</v>
      </c>
      <c r="F1905" s="22">
        <f ca="1"/>
        <v>208.75</v>
      </c>
      <c r="G1905" s="22">
        <f ca="1"/>
        <v>204.064133</v>
      </c>
      <c r="H1905" s="69">
        <f ca="1"/>
        <v>37990400</v>
      </c>
      <c r="I1905" s="23" t="str">
        <f t="shared" ca="1" si="59"/>
        <v/>
      </c>
    </row>
    <row r="1906" spans="1:9" ht="13.8">
      <c r="A1906" s="20">
        <f t="shared" ca="1" si="58"/>
        <v>44034</v>
      </c>
      <c r="B1906" s="21" t="str">
        <f ca="1"/>
        <v>2020-07-22</v>
      </c>
      <c r="C1906" s="22">
        <f ca="1"/>
        <v>209.199997</v>
      </c>
      <c r="D1906" s="22">
        <f ca="1"/>
        <v>212.300003</v>
      </c>
      <c r="E1906" s="22">
        <f ca="1"/>
        <v>208.38999899999999</v>
      </c>
      <c r="F1906" s="22">
        <f ca="1"/>
        <v>211.75</v>
      </c>
      <c r="G1906" s="22">
        <f ca="1"/>
        <v>206.996826</v>
      </c>
      <c r="H1906" s="69">
        <f ca="1"/>
        <v>49605700</v>
      </c>
      <c r="I1906" s="23" t="str">
        <f t="shared" ca="1" si="59"/>
        <v/>
      </c>
    </row>
    <row r="1907" spans="1:9" ht="13.8">
      <c r="A1907" s="20">
        <f t="shared" ca="1" si="58"/>
        <v>44035</v>
      </c>
      <c r="B1907" s="21" t="str">
        <f ca="1"/>
        <v>2020-07-23</v>
      </c>
      <c r="C1907" s="22">
        <f ca="1"/>
        <v>207.19000199999999</v>
      </c>
      <c r="D1907" s="22">
        <f ca="1"/>
        <v>210.91999799999999</v>
      </c>
      <c r="E1907" s="22">
        <f ca="1"/>
        <v>202.14999399999999</v>
      </c>
      <c r="F1907" s="22">
        <f ca="1"/>
        <v>202.53999300000001</v>
      </c>
      <c r="G1907" s="22">
        <f ca="1"/>
        <v>197.99354600000001</v>
      </c>
      <c r="H1907" s="69">
        <f ca="1"/>
        <v>67457000</v>
      </c>
      <c r="I1907" s="23" t="str">
        <f t="shared" ca="1" si="59"/>
        <v/>
      </c>
    </row>
    <row r="1908" spans="1:9" ht="13.8">
      <c r="A1908" s="20">
        <f t="shared" ca="1" si="58"/>
        <v>44036</v>
      </c>
      <c r="B1908" s="21" t="str">
        <f ca="1"/>
        <v>2020-07-24</v>
      </c>
      <c r="C1908" s="22">
        <f ca="1"/>
        <v>200.41999799999999</v>
      </c>
      <c r="D1908" s="22">
        <f ca="1"/>
        <v>202.86000100000001</v>
      </c>
      <c r="E1908" s="22">
        <f ca="1"/>
        <v>197.509995</v>
      </c>
      <c r="F1908" s="22">
        <f ca="1"/>
        <v>201.300003</v>
      </c>
      <c r="G1908" s="22">
        <f ca="1"/>
        <v>196.78140300000001</v>
      </c>
      <c r="H1908" s="69">
        <f ca="1"/>
        <v>39827000</v>
      </c>
      <c r="I1908" s="23" t="str">
        <f t="shared" ca="1" si="59"/>
        <v/>
      </c>
    </row>
    <row r="1909" spans="1:9" ht="13.8">
      <c r="A1909" s="20">
        <f t="shared" ca="1" si="58"/>
        <v>44039</v>
      </c>
      <c r="B1909" s="21" t="str">
        <f ca="1"/>
        <v>2020-07-27</v>
      </c>
      <c r="C1909" s="22">
        <f ca="1"/>
        <v>201.470001</v>
      </c>
      <c r="D1909" s="22">
        <f ca="1"/>
        <v>203.970001</v>
      </c>
      <c r="E1909" s="22">
        <f ca="1"/>
        <v>200.86000100000001</v>
      </c>
      <c r="F1909" s="22">
        <f ca="1"/>
        <v>203.85000600000001</v>
      </c>
      <c r="G1909" s="22">
        <f ca="1"/>
        <v>199.27413899999999</v>
      </c>
      <c r="H1909" s="69">
        <f ca="1"/>
        <v>30160900</v>
      </c>
      <c r="I1909" s="23" t="str">
        <f t="shared" ca="1" si="59"/>
        <v/>
      </c>
    </row>
    <row r="1910" spans="1:9" ht="13.8">
      <c r="A1910" s="20">
        <f t="shared" ca="1" si="58"/>
        <v>44040</v>
      </c>
      <c r="B1910" s="21" t="str">
        <f ca="1"/>
        <v>2020-07-28</v>
      </c>
      <c r="C1910" s="22">
        <f ca="1"/>
        <v>203.61000100000001</v>
      </c>
      <c r="D1910" s="22">
        <f ca="1"/>
        <v>204.699997</v>
      </c>
      <c r="E1910" s="22">
        <f ca="1"/>
        <v>201.740005</v>
      </c>
      <c r="F1910" s="22">
        <f ca="1"/>
        <v>202.020004</v>
      </c>
      <c r="G1910" s="22">
        <f ca="1"/>
        <v>197.48524499999999</v>
      </c>
      <c r="H1910" s="69">
        <f ca="1"/>
        <v>23251400</v>
      </c>
      <c r="I1910" s="23" t="str">
        <f t="shared" ca="1" si="59"/>
        <v/>
      </c>
    </row>
    <row r="1911" spans="1:9" ht="13.8">
      <c r="A1911" s="20">
        <f t="shared" ca="1" si="58"/>
        <v>44041</v>
      </c>
      <c r="B1911" s="21" t="str">
        <f ca="1"/>
        <v>2020-07-29</v>
      </c>
      <c r="C1911" s="22">
        <f ca="1"/>
        <v>202.5</v>
      </c>
      <c r="D1911" s="22">
        <f ca="1"/>
        <v>204.64999399999999</v>
      </c>
      <c r="E1911" s="22">
        <f ca="1"/>
        <v>202.009995</v>
      </c>
      <c r="F1911" s="22">
        <f ca="1"/>
        <v>204.05999800000001</v>
      </c>
      <c r="G1911" s="22">
        <f ca="1"/>
        <v>199.479446</v>
      </c>
      <c r="H1911" s="69">
        <f ca="1"/>
        <v>19632600</v>
      </c>
      <c r="I1911" s="23" t="str">
        <f t="shared" ca="1" si="59"/>
        <v/>
      </c>
    </row>
    <row r="1912" spans="1:9" ht="13.8">
      <c r="A1912" s="20">
        <f t="shared" ca="1" si="58"/>
        <v>44042</v>
      </c>
      <c r="B1912" s="21" t="str">
        <f ca="1"/>
        <v>2020-07-30</v>
      </c>
      <c r="C1912" s="22">
        <f ca="1"/>
        <v>201</v>
      </c>
      <c r="D1912" s="22">
        <f ca="1"/>
        <v>204.46000699999999</v>
      </c>
      <c r="E1912" s="22">
        <f ca="1"/>
        <v>199.570007</v>
      </c>
      <c r="F1912" s="22">
        <f ca="1"/>
        <v>203.89999399999999</v>
      </c>
      <c r="G1912" s="22">
        <f ca="1"/>
        <v>199.32304400000001</v>
      </c>
      <c r="H1912" s="69">
        <f ca="1"/>
        <v>25079600</v>
      </c>
      <c r="I1912" s="23" t="str">
        <f t="shared" ca="1" si="59"/>
        <v/>
      </c>
    </row>
    <row r="1913" spans="1:9" ht="13.8">
      <c r="A1913" s="20">
        <f t="shared" ca="1" si="58"/>
        <v>44043</v>
      </c>
      <c r="B1913" s="21" t="str">
        <f ca="1"/>
        <v>2020-07-31</v>
      </c>
      <c r="C1913" s="22">
        <f ca="1"/>
        <v>204.39999399999999</v>
      </c>
      <c r="D1913" s="22">
        <f ca="1"/>
        <v>205.10000600000001</v>
      </c>
      <c r="E1913" s="22">
        <f ca="1"/>
        <v>199.009995</v>
      </c>
      <c r="F1913" s="22">
        <f ca="1"/>
        <v>205.009995</v>
      </c>
      <c r="G1913" s="22">
        <f ca="1"/>
        <v>200.408096</v>
      </c>
      <c r="H1913" s="69">
        <f ca="1"/>
        <v>51044000</v>
      </c>
      <c r="I1913" s="23" t="str">
        <f t="shared" ca="1" si="59"/>
        <v/>
      </c>
    </row>
    <row r="1914" spans="1:9" ht="13.8">
      <c r="A1914" s="20">
        <f t="shared" ca="1" si="58"/>
        <v>44046</v>
      </c>
      <c r="B1914" s="21" t="str">
        <f ca="1"/>
        <v>2020-08-03</v>
      </c>
      <c r="C1914" s="22">
        <f ca="1"/>
        <v>211.520004</v>
      </c>
      <c r="D1914" s="22">
        <f ca="1"/>
        <v>217.63999899999999</v>
      </c>
      <c r="E1914" s="22">
        <f ca="1"/>
        <v>210.44000199999999</v>
      </c>
      <c r="F1914" s="22">
        <f ca="1"/>
        <v>216.53999300000001</v>
      </c>
      <c r="G1914" s="22">
        <f ca="1"/>
        <v>211.67929100000001</v>
      </c>
      <c r="H1914" s="69">
        <f ca="1"/>
        <v>78983000</v>
      </c>
      <c r="I1914" s="23" t="str">
        <f t="shared" ca="1" si="59"/>
        <v/>
      </c>
    </row>
    <row r="1915" spans="1:9" ht="13.8">
      <c r="A1915" s="20">
        <f t="shared" ca="1" si="58"/>
        <v>44047</v>
      </c>
      <c r="B1915" s="21" t="str">
        <f ca="1"/>
        <v>2020-08-04</v>
      </c>
      <c r="C1915" s="22">
        <f ca="1"/>
        <v>214.16999799999999</v>
      </c>
      <c r="D1915" s="22">
        <f ca="1"/>
        <v>214.770004</v>
      </c>
      <c r="E1915" s="22">
        <f ca="1"/>
        <v>210.30999800000001</v>
      </c>
      <c r="F1915" s="22">
        <f ca="1"/>
        <v>213.28999300000001</v>
      </c>
      <c r="G1915" s="22">
        <f ca="1"/>
        <v>208.50225800000001</v>
      </c>
      <c r="H1915" s="69">
        <f ca="1"/>
        <v>49280100</v>
      </c>
      <c r="I1915" s="23" t="str">
        <f t="shared" ca="1" si="59"/>
        <v/>
      </c>
    </row>
    <row r="1916" spans="1:9" ht="13.8">
      <c r="A1916" s="20">
        <f t="shared" ca="1" si="58"/>
        <v>44048</v>
      </c>
      <c r="B1916" s="21" t="str">
        <f ca="1"/>
        <v>2020-08-05</v>
      </c>
      <c r="C1916" s="22">
        <f ca="1"/>
        <v>214.89999399999999</v>
      </c>
      <c r="D1916" s="22">
        <f ca="1"/>
        <v>215</v>
      </c>
      <c r="E1916" s="22">
        <f ca="1"/>
        <v>211.570007</v>
      </c>
      <c r="F1916" s="22">
        <f ca="1"/>
        <v>212.94000199999999</v>
      </c>
      <c r="G1916" s="22">
        <f ca="1"/>
        <v>208.16011</v>
      </c>
      <c r="H1916" s="69">
        <f ca="1"/>
        <v>28806400</v>
      </c>
      <c r="I1916" s="23" t="str">
        <f t="shared" ca="1" si="59"/>
        <v/>
      </c>
    </row>
    <row r="1917" spans="1:9" ht="13.8">
      <c r="A1917" s="20">
        <f t="shared" ca="1" si="58"/>
        <v>44049</v>
      </c>
      <c r="B1917" s="21" t="str">
        <f ca="1"/>
        <v>2020-08-06</v>
      </c>
      <c r="C1917" s="22">
        <f ca="1"/>
        <v>212.33999600000001</v>
      </c>
      <c r="D1917" s="22">
        <f ca="1"/>
        <v>216.36999499999999</v>
      </c>
      <c r="E1917" s="22">
        <f ca="1"/>
        <v>211.550003</v>
      </c>
      <c r="F1917" s="22">
        <f ca="1"/>
        <v>216.35000600000001</v>
      </c>
      <c r="G1917" s="22">
        <f ca="1"/>
        <v>211.49354600000001</v>
      </c>
      <c r="H1917" s="69">
        <f ca="1"/>
        <v>32656800</v>
      </c>
      <c r="I1917" s="23" t="str">
        <f t="shared" ca="1" si="59"/>
        <v/>
      </c>
    </row>
    <row r="1918" spans="1:9" ht="13.8">
      <c r="A1918" s="20">
        <f t="shared" ca="1" si="58"/>
        <v>44050</v>
      </c>
      <c r="B1918" s="21" t="str">
        <f ca="1"/>
        <v>2020-08-07</v>
      </c>
      <c r="C1918" s="22">
        <f ca="1"/>
        <v>214.85000600000001</v>
      </c>
      <c r="D1918" s="22">
        <f ca="1"/>
        <v>215.699997</v>
      </c>
      <c r="E1918" s="22">
        <f ca="1"/>
        <v>210.929993</v>
      </c>
      <c r="F1918" s="22">
        <f ca="1"/>
        <v>212.479996</v>
      </c>
      <c r="G1918" s="22">
        <f ca="1"/>
        <v>207.710419</v>
      </c>
      <c r="H1918" s="69">
        <f ca="1"/>
        <v>27820400</v>
      </c>
      <c r="I1918" s="23" t="str">
        <f t="shared" ca="1" si="59"/>
        <v/>
      </c>
    </row>
    <row r="1919" spans="1:9" ht="13.8">
      <c r="A1919" s="20">
        <f t="shared" ca="1" si="58"/>
        <v>44053</v>
      </c>
      <c r="B1919" s="21" t="str">
        <f ca="1"/>
        <v>2020-08-10</v>
      </c>
      <c r="C1919" s="22">
        <f ca="1"/>
        <v>211.66999799999999</v>
      </c>
      <c r="D1919" s="22">
        <f ca="1"/>
        <v>211.88000500000001</v>
      </c>
      <c r="E1919" s="22">
        <f ca="1"/>
        <v>206.35000600000001</v>
      </c>
      <c r="F1919" s="22">
        <f ca="1"/>
        <v>208.25</v>
      </c>
      <c r="G1919" s="22">
        <f ca="1"/>
        <v>203.57536300000001</v>
      </c>
      <c r="H1919" s="69">
        <f ca="1"/>
        <v>36716500</v>
      </c>
      <c r="I1919" s="23" t="str">
        <f t="shared" ca="1" si="59"/>
        <v/>
      </c>
    </row>
    <row r="1920" spans="1:9" ht="13.8">
      <c r="A1920" s="20">
        <f t="shared" ca="1" si="58"/>
        <v>44054</v>
      </c>
      <c r="B1920" s="21" t="str">
        <f ca="1"/>
        <v>2020-08-11</v>
      </c>
      <c r="C1920" s="22">
        <f ca="1"/>
        <v>207.16000399999999</v>
      </c>
      <c r="D1920" s="22">
        <f ca="1"/>
        <v>207.64999399999999</v>
      </c>
      <c r="E1920" s="22">
        <f ca="1"/>
        <v>203.13999899999999</v>
      </c>
      <c r="F1920" s="22">
        <f ca="1"/>
        <v>203.38000500000001</v>
      </c>
      <c r="G1920" s="22">
        <f ca="1"/>
        <v>198.81471300000001</v>
      </c>
      <c r="H1920" s="69">
        <f ca="1"/>
        <v>36446500</v>
      </c>
      <c r="I1920" s="23" t="str">
        <f t="shared" ca="1" si="59"/>
        <v/>
      </c>
    </row>
    <row r="1921" spans="1:9" ht="13.8">
      <c r="A1921" s="20">
        <f t="shared" ca="1" si="58"/>
        <v>44055</v>
      </c>
      <c r="B1921" s="21" t="str">
        <f ca="1"/>
        <v>2020-08-12</v>
      </c>
      <c r="C1921" s="22">
        <f ca="1"/>
        <v>205.28999300000001</v>
      </c>
      <c r="D1921" s="22">
        <f ca="1"/>
        <v>210.279999</v>
      </c>
      <c r="E1921" s="22">
        <f ca="1"/>
        <v>204.75</v>
      </c>
      <c r="F1921" s="22">
        <f ca="1"/>
        <v>209.19000199999999</v>
      </c>
      <c r="G1921" s="22">
        <f ca="1"/>
        <v>204.49427800000001</v>
      </c>
      <c r="H1921" s="69">
        <f ca="1"/>
        <v>28013100</v>
      </c>
      <c r="I1921" s="23" t="str">
        <f t="shared" ca="1" si="59"/>
        <v/>
      </c>
    </row>
    <row r="1922" spans="1:9" ht="13.8">
      <c r="A1922" s="20">
        <f t="shared" ca="1" si="58"/>
        <v>44056</v>
      </c>
      <c r="B1922" s="21" t="str">
        <f ca="1"/>
        <v>2020-08-13</v>
      </c>
      <c r="C1922" s="22">
        <f ca="1"/>
        <v>209.44000199999999</v>
      </c>
      <c r="D1922" s="22">
        <f ca="1"/>
        <v>211.35000600000001</v>
      </c>
      <c r="E1922" s="22">
        <f ca="1"/>
        <v>208.14999399999999</v>
      </c>
      <c r="F1922" s="22">
        <f ca="1"/>
        <v>208.699997</v>
      </c>
      <c r="G1922" s="22">
        <f ca="1"/>
        <v>204.01527400000001</v>
      </c>
      <c r="H1922" s="69">
        <f ca="1"/>
        <v>22588900</v>
      </c>
      <c r="I1922" s="23" t="str">
        <f t="shared" ca="1" si="59"/>
        <v/>
      </c>
    </row>
    <row r="1923" spans="1:9" ht="13.8">
      <c r="A1923" s="20">
        <f t="shared" ca="1" si="58"/>
        <v>44057</v>
      </c>
      <c r="B1923" s="21" t="str">
        <f ca="1"/>
        <v>2020-08-14</v>
      </c>
      <c r="C1923" s="22">
        <f ca="1"/>
        <v>208.759995</v>
      </c>
      <c r="D1923" s="22">
        <f ca="1"/>
        <v>209.58999600000001</v>
      </c>
      <c r="E1923" s="22">
        <f ca="1"/>
        <v>207.509995</v>
      </c>
      <c r="F1923" s="22">
        <f ca="1"/>
        <v>208.89999399999999</v>
      </c>
      <c r="G1923" s="22">
        <f ca="1"/>
        <v>204.21078499999999</v>
      </c>
      <c r="H1923" s="69">
        <f ca="1"/>
        <v>17958900</v>
      </c>
      <c r="I1923" s="23" t="str">
        <f t="shared" ca="1" si="59"/>
        <v/>
      </c>
    </row>
    <row r="1924" spans="1:9" ht="13.8">
      <c r="A1924" s="20">
        <f t="shared" ca="1" si="58"/>
        <v>44060</v>
      </c>
      <c r="B1924" s="21" t="str">
        <f ca="1"/>
        <v>2020-08-17</v>
      </c>
      <c r="C1924" s="22">
        <f ca="1"/>
        <v>209.60000600000001</v>
      </c>
      <c r="D1924" s="22">
        <f ca="1"/>
        <v>211.19000199999999</v>
      </c>
      <c r="E1924" s="22">
        <f ca="1"/>
        <v>208.91999799999999</v>
      </c>
      <c r="F1924" s="22">
        <f ca="1"/>
        <v>210.279999</v>
      </c>
      <c r="G1924" s="22">
        <f ca="1"/>
        <v>205.55981399999999</v>
      </c>
      <c r="H1924" s="69">
        <f ca="1"/>
        <v>20184800</v>
      </c>
      <c r="I1924" s="23" t="str">
        <f t="shared" ca="1" si="59"/>
        <v/>
      </c>
    </row>
    <row r="1925" spans="1:9" ht="13.8">
      <c r="A1925" s="20">
        <f t="shared" ca="1" si="58"/>
        <v>44061</v>
      </c>
      <c r="B1925" s="21" t="str">
        <f ca="1"/>
        <v>2020-08-18</v>
      </c>
      <c r="C1925" s="22">
        <f ca="1"/>
        <v>210.529999</v>
      </c>
      <c r="D1925" s="22">
        <f ca="1"/>
        <v>212.36000100000001</v>
      </c>
      <c r="E1925" s="22">
        <f ca="1"/>
        <v>209.21000699999999</v>
      </c>
      <c r="F1925" s="22">
        <f ca="1"/>
        <v>211.490005</v>
      </c>
      <c r="G1925" s="22">
        <f ca="1"/>
        <v>206.742661</v>
      </c>
      <c r="H1925" s="69">
        <f ca="1"/>
        <v>21336200</v>
      </c>
      <c r="I1925" s="23" t="str">
        <f t="shared" ca="1" si="59"/>
        <v/>
      </c>
    </row>
    <row r="1926" spans="1:9" ht="13.8">
      <c r="A1926" s="20">
        <f t="shared" ref="A1926:A1989" ca="1" si="60">IFERROR(DATEVALUE($B1926),"--")</f>
        <v>44062</v>
      </c>
      <c r="B1926" s="21" t="str">
        <f ca="1"/>
        <v>2020-08-19</v>
      </c>
      <c r="C1926" s="22">
        <f ca="1"/>
        <v>211.490005</v>
      </c>
      <c r="D1926" s="22">
        <f ca="1"/>
        <v>212.10000600000001</v>
      </c>
      <c r="E1926" s="22">
        <f ca="1"/>
        <v>209.25</v>
      </c>
      <c r="F1926" s="22">
        <f ca="1"/>
        <v>209.699997</v>
      </c>
      <c r="G1926" s="22">
        <f ca="1"/>
        <v>205.488373</v>
      </c>
      <c r="H1926" s="69">
        <f ca="1"/>
        <v>27627600</v>
      </c>
      <c r="I1926" s="23">
        <f t="shared" ref="I1926:I1989" ca="1" si="61">IFERROR(IF(Ticker&lt;&gt;$Q$2,"",INDEX($P:$P,MATCH($A1926,$O:$O,0))),"")</f>
        <v>0.51</v>
      </c>
    </row>
    <row r="1927" spans="1:9" ht="13.8">
      <c r="A1927" s="20">
        <f t="shared" ca="1" si="60"/>
        <v>44063</v>
      </c>
      <c r="B1927" s="21" t="str">
        <f ca="1"/>
        <v>2020-08-20</v>
      </c>
      <c r="C1927" s="22">
        <f ca="1"/>
        <v>209.53999300000001</v>
      </c>
      <c r="D1927" s="22">
        <f ca="1"/>
        <v>215</v>
      </c>
      <c r="E1927" s="22">
        <f ca="1"/>
        <v>208.91000399999999</v>
      </c>
      <c r="F1927" s="22">
        <f ca="1"/>
        <v>214.58000200000001</v>
      </c>
      <c r="G1927" s="22">
        <f ca="1"/>
        <v>210.270355</v>
      </c>
      <c r="H1927" s="69">
        <f ca="1"/>
        <v>26981500</v>
      </c>
      <c r="I1927" s="23" t="str">
        <f t="shared" ca="1" si="61"/>
        <v/>
      </c>
    </row>
    <row r="1928" spans="1:9" ht="13.8">
      <c r="A1928" s="20">
        <f t="shared" ca="1" si="60"/>
        <v>44064</v>
      </c>
      <c r="B1928" s="21" t="str">
        <f ca="1"/>
        <v>2020-08-21</v>
      </c>
      <c r="C1928" s="22">
        <f ca="1"/>
        <v>213.86000100000001</v>
      </c>
      <c r="D1928" s="22">
        <f ca="1"/>
        <v>216.25</v>
      </c>
      <c r="E1928" s="22">
        <f ca="1"/>
        <v>212.85000600000001</v>
      </c>
      <c r="F1928" s="22">
        <f ca="1"/>
        <v>213.020004</v>
      </c>
      <c r="G1928" s="22">
        <f ca="1"/>
        <v>208.74168399999999</v>
      </c>
      <c r="H1928" s="69">
        <f ca="1"/>
        <v>36249300</v>
      </c>
      <c r="I1928" s="23" t="str">
        <f t="shared" ca="1" si="61"/>
        <v/>
      </c>
    </row>
    <row r="1929" spans="1:9" ht="13.8">
      <c r="A1929" s="20">
        <f t="shared" ca="1" si="60"/>
        <v>44067</v>
      </c>
      <c r="B1929" s="21" t="str">
        <f ca="1"/>
        <v>2020-08-24</v>
      </c>
      <c r="C1929" s="22">
        <f ca="1"/>
        <v>214.78999300000001</v>
      </c>
      <c r="D1929" s="22">
        <f ca="1"/>
        <v>215.520004</v>
      </c>
      <c r="E1929" s="22">
        <f ca="1"/>
        <v>212.429993</v>
      </c>
      <c r="F1929" s="22">
        <f ca="1"/>
        <v>213.69000199999999</v>
      </c>
      <c r="G1929" s="22">
        <f ca="1"/>
        <v>209.398224</v>
      </c>
      <c r="H1929" s="69">
        <f ca="1"/>
        <v>25460100</v>
      </c>
      <c r="I1929" s="23" t="str">
        <f t="shared" ca="1" si="61"/>
        <v/>
      </c>
    </row>
    <row r="1930" spans="1:9" ht="13.8">
      <c r="A1930" s="20">
        <f t="shared" ca="1" si="60"/>
        <v>44068</v>
      </c>
      <c r="B1930" s="21" t="str">
        <f ca="1"/>
        <v>2020-08-25</v>
      </c>
      <c r="C1930" s="22">
        <f ca="1"/>
        <v>213.10000600000001</v>
      </c>
      <c r="D1930" s="22">
        <f ca="1"/>
        <v>216.61000100000001</v>
      </c>
      <c r="E1930" s="22">
        <f ca="1"/>
        <v>213.10000600000001</v>
      </c>
      <c r="F1930" s="22">
        <f ca="1"/>
        <v>216.470001</v>
      </c>
      <c r="G1930" s="22">
        <f ca="1"/>
        <v>212.12239099999999</v>
      </c>
      <c r="H1930" s="69">
        <f ca="1"/>
        <v>23043700</v>
      </c>
      <c r="I1930" s="23" t="str">
        <f t="shared" ca="1" si="61"/>
        <v/>
      </c>
    </row>
    <row r="1931" spans="1:9" ht="13.8">
      <c r="A1931" s="20">
        <f t="shared" ca="1" si="60"/>
        <v>44069</v>
      </c>
      <c r="B1931" s="21" t="str">
        <f ca="1"/>
        <v>2020-08-26</v>
      </c>
      <c r="C1931" s="22">
        <f ca="1"/>
        <v>217.88000500000001</v>
      </c>
      <c r="D1931" s="22">
        <f ca="1"/>
        <v>222.08999600000001</v>
      </c>
      <c r="E1931" s="22">
        <f ca="1"/>
        <v>217.36000100000001</v>
      </c>
      <c r="F1931" s="22">
        <f ca="1"/>
        <v>221.14999399999999</v>
      </c>
      <c r="G1931" s="22">
        <f ca="1"/>
        <v>216.708405</v>
      </c>
      <c r="H1931" s="69">
        <f ca="1"/>
        <v>39600800</v>
      </c>
      <c r="I1931" s="23" t="str">
        <f t="shared" ca="1" si="61"/>
        <v/>
      </c>
    </row>
    <row r="1932" spans="1:9" ht="13.8">
      <c r="A1932" s="20">
        <f t="shared" ca="1" si="60"/>
        <v>44070</v>
      </c>
      <c r="B1932" s="21" t="str">
        <f ca="1"/>
        <v>2020-08-27</v>
      </c>
      <c r="C1932" s="22">
        <f ca="1"/>
        <v>222.88999899999999</v>
      </c>
      <c r="D1932" s="22">
        <f ca="1"/>
        <v>231.14999399999999</v>
      </c>
      <c r="E1932" s="22">
        <f ca="1"/>
        <v>219.39999399999999</v>
      </c>
      <c r="F1932" s="22">
        <f ca="1"/>
        <v>226.58000200000001</v>
      </c>
      <c r="G1932" s="22">
        <f ca="1"/>
        <v>222.029358</v>
      </c>
      <c r="H1932" s="69">
        <f ca="1"/>
        <v>57602200</v>
      </c>
      <c r="I1932" s="23" t="str">
        <f t="shared" ca="1" si="61"/>
        <v/>
      </c>
    </row>
    <row r="1933" spans="1:9" ht="13.8">
      <c r="A1933" s="20">
        <f t="shared" ca="1" si="60"/>
        <v>44071</v>
      </c>
      <c r="B1933" s="21" t="str">
        <f ca="1"/>
        <v>2020-08-28</v>
      </c>
      <c r="C1933" s="22">
        <f ca="1"/>
        <v>228.179993</v>
      </c>
      <c r="D1933" s="22">
        <f ca="1"/>
        <v>230.63999899999999</v>
      </c>
      <c r="E1933" s="22">
        <f ca="1"/>
        <v>226.58000200000001</v>
      </c>
      <c r="F1933" s="22">
        <f ca="1"/>
        <v>228.91000399999999</v>
      </c>
      <c r="G1933" s="22">
        <f ca="1"/>
        <v>224.31256099999999</v>
      </c>
      <c r="H1933" s="69">
        <f ca="1"/>
        <v>26292900</v>
      </c>
      <c r="I1933" s="23" t="str">
        <f t="shared" ca="1" si="61"/>
        <v/>
      </c>
    </row>
    <row r="1934" spans="1:9" ht="13.8">
      <c r="A1934" s="20">
        <f t="shared" ca="1" si="60"/>
        <v>44074</v>
      </c>
      <c r="B1934" s="21" t="str">
        <f ca="1"/>
        <v>2020-08-31</v>
      </c>
      <c r="C1934" s="22">
        <f ca="1"/>
        <v>227</v>
      </c>
      <c r="D1934" s="22">
        <f ca="1"/>
        <v>228.699997</v>
      </c>
      <c r="E1934" s="22">
        <f ca="1"/>
        <v>224.30999800000001</v>
      </c>
      <c r="F1934" s="22">
        <f ca="1"/>
        <v>225.529999</v>
      </c>
      <c r="G1934" s="22">
        <f ca="1"/>
        <v>221.00044299999999</v>
      </c>
      <c r="H1934" s="69">
        <f ca="1"/>
        <v>28774200</v>
      </c>
      <c r="I1934" s="23" t="str">
        <f t="shared" ca="1" si="61"/>
        <v/>
      </c>
    </row>
    <row r="1935" spans="1:9" ht="13.8">
      <c r="A1935" s="20">
        <f t="shared" ca="1" si="60"/>
        <v>44075</v>
      </c>
      <c r="B1935" s="21" t="str">
        <f ca="1"/>
        <v>2020-09-01</v>
      </c>
      <c r="C1935" s="22">
        <f ca="1"/>
        <v>225.509995</v>
      </c>
      <c r="D1935" s="22">
        <f ca="1"/>
        <v>227.449997</v>
      </c>
      <c r="E1935" s="22">
        <f ca="1"/>
        <v>224.429993</v>
      </c>
      <c r="F1935" s="22">
        <f ca="1"/>
        <v>227.270004</v>
      </c>
      <c r="G1935" s="22">
        <f ca="1"/>
        <v>222.70547500000001</v>
      </c>
      <c r="H1935" s="69">
        <f ca="1"/>
        <v>25725500</v>
      </c>
      <c r="I1935" s="23" t="str">
        <f t="shared" ca="1" si="61"/>
        <v/>
      </c>
    </row>
    <row r="1936" spans="1:9" ht="13.8">
      <c r="A1936" s="20">
        <f t="shared" ca="1" si="60"/>
        <v>44076</v>
      </c>
      <c r="B1936" s="21" t="str">
        <f ca="1"/>
        <v>2020-09-02</v>
      </c>
      <c r="C1936" s="22">
        <f ca="1"/>
        <v>227.970001</v>
      </c>
      <c r="D1936" s="22">
        <f ca="1"/>
        <v>232.86000100000001</v>
      </c>
      <c r="E1936" s="22">
        <f ca="1"/>
        <v>227.35000600000001</v>
      </c>
      <c r="F1936" s="22">
        <f ca="1"/>
        <v>231.64999399999999</v>
      </c>
      <c r="G1936" s="22">
        <f ca="1"/>
        <v>226.997513</v>
      </c>
      <c r="H1936" s="69">
        <f ca="1"/>
        <v>34080800</v>
      </c>
      <c r="I1936" s="23" t="str">
        <f t="shared" ca="1" si="61"/>
        <v/>
      </c>
    </row>
    <row r="1937" spans="1:9" ht="13.8">
      <c r="A1937" s="20">
        <f t="shared" ca="1" si="60"/>
        <v>44077</v>
      </c>
      <c r="B1937" s="21" t="str">
        <f ca="1"/>
        <v>2020-09-03</v>
      </c>
      <c r="C1937" s="22">
        <f ca="1"/>
        <v>229.270004</v>
      </c>
      <c r="D1937" s="22">
        <f ca="1"/>
        <v>229.30999800000001</v>
      </c>
      <c r="E1937" s="22">
        <f ca="1"/>
        <v>214.96000699999999</v>
      </c>
      <c r="F1937" s="22">
        <f ca="1"/>
        <v>217.300003</v>
      </c>
      <c r="G1937" s="22">
        <f ca="1"/>
        <v>212.93573000000001</v>
      </c>
      <c r="H1937" s="69">
        <f ca="1"/>
        <v>58400300</v>
      </c>
      <c r="I1937" s="23" t="str">
        <f t="shared" ca="1" si="61"/>
        <v/>
      </c>
    </row>
    <row r="1938" spans="1:9" ht="13.8">
      <c r="A1938" s="20">
        <f t="shared" ca="1" si="60"/>
        <v>44078</v>
      </c>
      <c r="B1938" s="21" t="str">
        <f ca="1"/>
        <v>2020-09-04</v>
      </c>
      <c r="C1938" s="22">
        <f ca="1"/>
        <v>215.10000600000001</v>
      </c>
      <c r="D1938" s="22">
        <f ca="1"/>
        <v>218.36000100000001</v>
      </c>
      <c r="E1938" s="22">
        <f ca="1"/>
        <v>205.19000199999999</v>
      </c>
      <c r="F1938" s="22">
        <f ca="1"/>
        <v>214.25</v>
      </c>
      <c r="G1938" s="22">
        <f ca="1"/>
        <v>209.946991</v>
      </c>
      <c r="H1938" s="69">
        <f ca="1"/>
        <v>59664100</v>
      </c>
      <c r="I1938" s="23" t="str">
        <f t="shared" ca="1" si="61"/>
        <v/>
      </c>
    </row>
    <row r="1939" spans="1:9" ht="13.8">
      <c r="A1939" s="20">
        <f t="shared" ca="1" si="60"/>
        <v>44082</v>
      </c>
      <c r="B1939" s="21" t="str">
        <f ca="1"/>
        <v>2020-09-08</v>
      </c>
      <c r="C1939" s="22">
        <f ca="1"/>
        <v>206.5</v>
      </c>
      <c r="D1939" s="22">
        <f ca="1"/>
        <v>210.029999</v>
      </c>
      <c r="E1939" s="22">
        <f ca="1"/>
        <v>202.199997</v>
      </c>
      <c r="F1939" s="22">
        <f ca="1"/>
        <v>202.66000399999999</v>
      </c>
      <c r="G1939" s="22">
        <f ca="1"/>
        <v>198.58976699999999</v>
      </c>
      <c r="H1939" s="69">
        <f ca="1"/>
        <v>52924300</v>
      </c>
      <c r="I1939" s="23" t="str">
        <f t="shared" ca="1" si="61"/>
        <v/>
      </c>
    </row>
    <row r="1940" spans="1:9" ht="13.8">
      <c r="A1940" s="20">
        <f t="shared" ca="1" si="60"/>
        <v>44083</v>
      </c>
      <c r="B1940" s="21" t="str">
        <f ca="1"/>
        <v>2020-09-09</v>
      </c>
      <c r="C1940" s="22">
        <f ca="1"/>
        <v>207.60000600000001</v>
      </c>
      <c r="D1940" s="22">
        <f ca="1"/>
        <v>214.83999600000001</v>
      </c>
      <c r="E1940" s="22">
        <f ca="1"/>
        <v>206.699997</v>
      </c>
      <c r="F1940" s="22">
        <f ca="1"/>
        <v>211.28999300000001</v>
      </c>
      <c r="G1940" s="22">
        <f ca="1"/>
        <v>207.04641699999999</v>
      </c>
      <c r="H1940" s="69">
        <f ca="1"/>
        <v>45679000</v>
      </c>
      <c r="I1940" s="23" t="str">
        <f t="shared" ca="1" si="61"/>
        <v/>
      </c>
    </row>
    <row r="1941" spans="1:9" ht="13.8">
      <c r="A1941" s="20">
        <f t="shared" ca="1" si="60"/>
        <v>44084</v>
      </c>
      <c r="B1941" s="21" t="str">
        <f ca="1"/>
        <v>2020-09-10</v>
      </c>
      <c r="C1941" s="22">
        <f ca="1"/>
        <v>213.39999399999999</v>
      </c>
      <c r="D1941" s="22">
        <f ca="1"/>
        <v>214.740005</v>
      </c>
      <c r="E1941" s="22">
        <f ca="1"/>
        <v>204.11000100000001</v>
      </c>
      <c r="F1941" s="22">
        <f ca="1"/>
        <v>205.36999499999999</v>
      </c>
      <c r="G1941" s="22">
        <f ca="1"/>
        <v>201.245316</v>
      </c>
      <c r="H1941" s="69">
        <f ca="1"/>
        <v>35461500</v>
      </c>
      <c r="I1941" s="23" t="str">
        <f t="shared" ca="1" si="61"/>
        <v/>
      </c>
    </row>
    <row r="1942" spans="1:9" ht="13.8">
      <c r="A1942" s="20">
        <f t="shared" ca="1" si="60"/>
        <v>44085</v>
      </c>
      <c r="B1942" s="21" t="str">
        <f ca="1"/>
        <v>2020-09-11</v>
      </c>
      <c r="C1942" s="22">
        <f ca="1"/>
        <v>207.199997</v>
      </c>
      <c r="D1942" s="22">
        <f ca="1"/>
        <v>208.63000500000001</v>
      </c>
      <c r="E1942" s="22">
        <f ca="1"/>
        <v>201.240005</v>
      </c>
      <c r="F1942" s="22">
        <f ca="1"/>
        <v>204.029999</v>
      </c>
      <c r="G1942" s="22">
        <f ca="1"/>
        <v>199.93223599999999</v>
      </c>
      <c r="H1942" s="69">
        <f ca="1"/>
        <v>33620100</v>
      </c>
      <c r="I1942" s="23" t="str">
        <f t="shared" ca="1" si="61"/>
        <v/>
      </c>
    </row>
    <row r="1943" spans="1:9" ht="13.8">
      <c r="A1943" s="20">
        <f t="shared" ca="1" si="60"/>
        <v>44088</v>
      </c>
      <c r="B1943" s="21" t="str">
        <f ca="1"/>
        <v>2020-09-14</v>
      </c>
      <c r="C1943" s="22">
        <f ca="1"/>
        <v>204.240005</v>
      </c>
      <c r="D1943" s="22">
        <f ca="1"/>
        <v>209.199997</v>
      </c>
      <c r="E1943" s="22">
        <f ca="1"/>
        <v>204.029999</v>
      </c>
      <c r="F1943" s="22">
        <f ca="1"/>
        <v>205.41000399999999</v>
      </c>
      <c r="G1943" s="22">
        <f ca="1"/>
        <v>201.28453099999999</v>
      </c>
      <c r="H1943" s="69">
        <f ca="1"/>
        <v>30375800</v>
      </c>
      <c r="I1943" s="23" t="str">
        <f t="shared" ca="1" si="61"/>
        <v/>
      </c>
    </row>
    <row r="1944" spans="1:9" ht="13.8">
      <c r="A1944" s="20">
        <f t="shared" ca="1" si="60"/>
        <v>44089</v>
      </c>
      <c r="B1944" s="21" t="str">
        <f ca="1"/>
        <v>2020-09-15</v>
      </c>
      <c r="C1944" s="22">
        <f ca="1"/>
        <v>208.41999799999999</v>
      </c>
      <c r="D1944" s="22">
        <f ca="1"/>
        <v>209.779999</v>
      </c>
      <c r="E1944" s="22">
        <f ca="1"/>
        <v>206.929993</v>
      </c>
      <c r="F1944" s="22">
        <f ca="1"/>
        <v>208.779999</v>
      </c>
      <c r="G1944" s="22">
        <f ca="1"/>
        <v>204.58685299999999</v>
      </c>
      <c r="H1944" s="69">
        <f ca="1"/>
        <v>21823900</v>
      </c>
      <c r="I1944" s="23" t="str">
        <f t="shared" ca="1" si="61"/>
        <v/>
      </c>
    </row>
    <row r="1945" spans="1:9" ht="13.8">
      <c r="A1945" s="20">
        <f t="shared" ca="1" si="60"/>
        <v>44090</v>
      </c>
      <c r="B1945" s="21" t="str">
        <f ca="1"/>
        <v>2020-09-16</v>
      </c>
      <c r="C1945" s="22">
        <f ca="1"/>
        <v>210.61999499999999</v>
      </c>
      <c r="D1945" s="22">
        <f ca="1"/>
        <v>210.64999399999999</v>
      </c>
      <c r="E1945" s="22">
        <f ca="1"/>
        <v>204.63999899999999</v>
      </c>
      <c r="F1945" s="22">
        <f ca="1"/>
        <v>205.050003</v>
      </c>
      <c r="G1945" s="22">
        <f ca="1"/>
        <v>200.93177800000001</v>
      </c>
      <c r="H1945" s="69">
        <f ca="1"/>
        <v>26328100</v>
      </c>
      <c r="I1945" s="23" t="str">
        <f t="shared" ca="1" si="61"/>
        <v/>
      </c>
    </row>
    <row r="1946" spans="1:9" ht="13.8">
      <c r="A1946" s="20">
        <f t="shared" ca="1" si="60"/>
        <v>44091</v>
      </c>
      <c r="B1946" s="21" t="str">
        <f ca="1"/>
        <v>2020-09-17</v>
      </c>
      <c r="C1946" s="22">
        <f ca="1"/>
        <v>200.050003</v>
      </c>
      <c r="D1946" s="22">
        <f ca="1"/>
        <v>204.33000200000001</v>
      </c>
      <c r="E1946" s="22">
        <f ca="1"/>
        <v>199.96000699999999</v>
      </c>
      <c r="F1946" s="22">
        <f ca="1"/>
        <v>202.91000399999999</v>
      </c>
      <c r="G1946" s="22">
        <f ca="1"/>
        <v>198.834732</v>
      </c>
      <c r="H1946" s="69">
        <f ca="1"/>
        <v>34011300</v>
      </c>
      <c r="I1946" s="23" t="str">
        <f t="shared" ca="1" si="61"/>
        <v/>
      </c>
    </row>
    <row r="1947" spans="1:9" ht="13.8">
      <c r="A1947" s="20">
        <f t="shared" ca="1" si="60"/>
        <v>44092</v>
      </c>
      <c r="B1947" s="21" t="str">
        <f ca="1"/>
        <v>2020-09-18</v>
      </c>
      <c r="C1947" s="22">
        <f ca="1"/>
        <v>202.800003</v>
      </c>
      <c r="D1947" s="22">
        <f ca="1"/>
        <v>203.64999399999999</v>
      </c>
      <c r="E1947" s="22">
        <f ca="1"/>
        <v>196.25</v>
      </c>
      <c r="F1947" s="22">
        <f ca="1"/>
        <v>200.38999899999999</v>
      </c>
      <c r="G1947" s="22">
        <f ca="1"/>
        <v>196.36535599999999</v>
      </c>
      <c r="H1947" s="69">
        <f ca="1"/>
        <v>55225300</v>
      </c>
      <c r="I1947" s="23" t="str">
        <f t="shared" ca="1" si="61"/>
        <v/>
      </c>
    </row>
    <row r="1948" spans="1:9" ht="13.8">
      <c r="A1948" s="20">
        <f t="shared" ca="1" si="60"/>
        <v>44095</v>
      </c>
      <c r="B1948" s="21" t="str">
        <f ca="1"/>
        <v>2020-09-21</v>
      </c>
      <c r="C1948" s="22">
        <f ca="1"/>
        <v>197.19000199999999</v>
      </c>
      <c r="D1948" s="22">
        <f ca="1"/>
        <v>202.71000699999999</v>
      </c>
      <c r="E1948" s="22">
        <f ca="1"/>
        <v>196.38000500000001</v>
      </c>
      <c r="F1948" s="22">
        <f ca="1"/>
        <v>202.53999300000001</v>
      </c>
      <c r="G1948" s="22">
        <f ca="1"/>
        <v>198.47215299999999</v>
      </c>
      <c r="H1948" s="69">
        <f ca="1"/>
        <v>39839700</v>
      </c>
      <c r="I1948" s="23" t="str">
        <f t="shared" ca="1" si="61"/>
        <v/>
      </c>
    </row>
    <row r="1949" spans="1:9" ht="13.8">
      <c r="A1949" s="20">
        <f t="shared" ca="1" si="60"/>
        <v>44096</v>
      </c>
      <c r="B1949" s="21" t="str">
        <f ca="1"/>
        <v>2020-09-22</v>
      </c>
      <c r="C1949" s="22">
        <f ca="1"/>
        <v>205.05999800000001</v>
      </c>
      <c r="D1949" s="22">
        <f ca="1"/>
        <v>208.10000600000001</v>
      </c>
      <c r="E1949" s="22">
        <f ca="1"/>
        <v>202.08000200000001</v>
      </c>
      <c r="F1949" s="22">
        <f ca="1"/>
        <v>207.41999799999999</v>
      </c>
      <c r="G1949" s="22">
        <f ca="1"/>
        <v>203.25413499999999</v>
      </c>
      <c r="H1949" s="69">
        <f ca="1"/>
        <v>33517100</v>
      </c>
      <c r="I1949" s="23" t="str">
        <f t="shared" ca="1" si="61"/>
        <v/>
      </c>
    </row>
    <row r="1950" spans="1:9" ht="13.8">
      <c r="A1950" s="20">
        <f t="shared" ca="1" si="60"/>
        <v>44097</v>
      </c>
      <c r="B1950" s="21" t="str">
        <f ca="1"/>
        <v>2020-09-23</v>
      </c>
      <c r="C1950" s="22">
        <f ca="1"/>
        <v>207.89999399999999</v>
      </c>
      <c r="D1950" s="22">
        <f ca="1"/>
        <v>208.10000600000001</v>
      </c>
      <c r="E1950" s="22">
        <f ca="1"/>
        <v>200.029999</v>
      </c>
      <c r="F1950" s="22">
        <f ca="1"/>
        <v>200.58999600000001</v>
      </c>
      <c r="G1950" s="22">
        <f ca="1"/>
        <v>196.56132500000001</v>
      </c>
      <c r="H1950" s="69">
        <f ca="1"/>
        <v>30803800</v>
      </c>
      <c r="I1950" s="23" t="str">
        <f t="shared" ca="1" si="61"/>
        <v/>
      </c>
    </row>
    <row r="1951" spans="1:9" ht="13.8">
      <c r="A1951" s="20">
        <f t="shared" ca="1" si="60"/>
        <v>44098</v>
      </c>
      <c r="B1951" s="21" t="str">
        <f ca="1"/>
        <v>2020-09-24</v>
      </c>
      <c r="C1951" s="22">
        <f ca="1"/>
        <v>199.85000600000001</v>
      </c>
      <c r="D1951" s="22">
        <f ca="1"/>
        <v>205.570007</v>
      </c>
      <c r="E1951" s="22">
        <f ca="1"/>
        <v>199.199997</v>
      </c>
      <c r="F1951" s="22">
        <f ca="1"/>
        <v>203.19000199999999</v>
      </c>
      <c r="G1951" s="22">
        <f ca="1"/>
        <v>199.10910000000001</v>
      </c>
      <c r="H1951" s="69">
        <f ca="1"/>
        <v>31202500</v>
      </c>
      <c r="I1951" s="23" t="str">
        <f t="shared" ca="1" si="61"/>
        <v/>
      </c>
    </row>
    <row r="1952" spans="1:9" ht="13.8">
      <c r="A1952" s="20">
        <f t="shared" ca="1" si="60"/>
        <v>44099</v>
      </c>
      <c r="B1952" s="21" t="str">
        <f ca="1"/>
        <v>2020-09-25</v>
      </c>
      <c r="C1952" s="22">
        <f ca="1"/>
        <v>203.550003</v>
      </c>
      <c r="D1952" s="22">
        <f ca="1"/>
        <v>209.03999300000001</v>
      </c>
      <c r="E1952" s="22">
        <f ca="1"/>
        <v>202.53999300000001</v>
      </c>
      <c r="F1952" s="22">
        <f ca="1"/>
        <v>207.820007</v>
      </c>
      <c r="G1952" s="22">
        <f ca="1"/>
        <v>203.64613299999999</v>
      </c>
      <c r="H1952" s="69">
        <f ca="1"/>
        <v>29437300</v>
      </c>
      <c r="I1952" s="23" t="str">
        <f t="shared" ca="1" si="61"/>
        <v/>
      </c>
    </row>
    <row r="1953" spans="1:9" ht="13.8">
      <c r="A1953" s="20">
        <f t="shared" ca="1" si="60"/>
        <v>44102</v>
      </c>
      <c r="B1953" s="21" t="str">
        <f ca="1"/>
        <v>2020-09-28</v>
      </c>
      <c r="C1953" s="22">
        <f ca="1"/>
        <v>210.88000500000001</v>
      </c>
      <c r="D1953" s="22">
        <f ca="1"/>
        <v>212.570007</v>
      </c>
      <c r="E1953" s="22">
        <f ca="1"/>
        <v>208.05999800000001</v>
      </c>
      <c r="F1953" s="22">
        <f ca="1"/>
        <v>209.44000199999999</v>
      </c>
      <c r="G1953" s="22">
        <f ca="1"/>
        <v>205.23355100000001</v>
      </c>
      <c r="H1953" s="69">
        <f ca="1"/>
        <v>32004900</v>
      </c>
      <c r="I1953" s="23" t="str">
        <f t="shared" ca="1" si="61"/>
        <v/>
      </c>
    </row>
    <row r="1954" spans="1:9" ht="13.8">
      <c r="A1954" s="20">
        <f t="shared" ca="1" si="60"/>
        <v>44103</v>
      </c>
      <c r="B1954" s="21" t="str">
        <f ca="1"/>
        <v>2020-09-29</v>
      </c>
      <c r="C1954" s="22">
        <f ca="1"/>
        <v>209.35000600000001</v>
      </c>
      <c r="D1954" s="22">
        <f ca="1"/>
        <v>210.070007</v>
      </c>
      <c r="E1954" s="22">
        <f ca="1"/>
        <v>206.80999800000001</v>
      </c>
      <c r="F1954" s="22">
        <f ca="1"/>
        <v>207.259995</v>
      </c>
      <c r="G1954" s="22">
        <f ca="1"/>
        <v>203.09736599999999</v>
      </c>
      <c r="H1954" s="69">
        <f ca="1"/>
        <v>24221900</v>
      </c>
      <c r="I1954" s="23" t="str">
        <f t="shared" ca="1" si="61"/>
        <v/>
      </c>
    </row>
    <row r="1955" spans="1:9" ht="13.8">
      <c r="A1955" s="20">
        <f t="shared" ca="1" si="60"/>
        <v>44104</v>
      </c>
      <c r="B1955" s="21" t="str">
        <f ca="1"/>
        <v>2020-09-30</v>
      </c>
      <c r="C1955" s="22">
        <f ca="1"/>
        <v>207.729996</v>
      </c>
      <c r="D1955" s="22">
        <f ca="1"/>
        <v>211.979996</v>
      </c>
      <c r="E1955" s="22">
        <f ca="1"/>
        <v>206.53999300000001</v>
      </c>
      <c r="F1955" s="22">
        <f ca="1"/>
        <v>210.33000200000001</v>
      </c>
      <c r="G1955" s="22">
        <f ca="1"/>
        <v>206.10569799999999</v>
      </c>
      <c r="H1955" s="69">
        <f ca="1"/>
        <v>33829100</v>
      </c>
      <c r="I1955" s="23" t="str">
        <f t="shared" ca="1" si="61"/>
        <v/>
      </c>
    </row>
    <row r="1956" spans="1:9" ht="13.8">
      <c r="A1956" s="20">
        <f t="shared" ca="1" si="60"/>
        <v>44105</v>
      </c>
      <c r="B1956" s="21" t="str">
        <f ca="1"/>
        <v>2020-10-01</v>
      </c>
      <c r="C1956" s="22">
        <f ca="1"/>
        <v>213.490005</v>
      </c>
      <c r="D1956" s="22">
        <f ca="1"/>
        <v>213.990005</v>
      </c>
      <c r="E1956" s="22">
        <f ca="1"/>
        <v>211.320007</v>
      </c>
      <c r="F1956" s="22">
        <f ca="1"/>
        <v>212.46000699999999</v>
      </c>
      <c r="G1956" s="22">
        <f ca="1"/>
        <v>208.19291699999999</v>
      </c>
      <c r="H1956" s="69">
        <f ca="1"/>
        <v>27158400</v>
      </c>
      <c r="I1956" s="23" t="str">
        <f t="shared" ca="1" si="61"/>
        <v/>
      </c>
    </row>
    <row r="1957" spans="1:9" ht="13.8">
      <c r="A1957" s="20">
        <f t="shared" ca="1" si="60"/>
        <v>44106</v>
      </c>
      <c r="B1957" s="21" t="str">
        <f ca="1"/>
        <v>2020-10-02</v>
      </c>
      <c r="C1957" s="22">
        <f ca="1"/>
        <v>208</v>
      </c>
      <c r="D1957" s="22">
        <f ca="1"/>
        <v>210.990005</v>
      </c>
      <c r="E1957" s="22">
        <f ca="1"/>
        <v>205.53999300000001</v>
      </c>
      <c r="F1957" s="22">
        <f ca="1"/>
        <v>206.19000199999999</v>
      </c>
      <c r="G1957" s="22">
        <f ca="1"/>
        <v>202.04882799999999</v>
      </c>
      <c r="H1957" s="69">
        <f ca="1"/>
        <v>33154800</v>
      </c>
      <c r="I1957" s="23" t="str">
        <f t="shared" ca="1" si="61"/>
        <v/>
      </c>
    </row>
    <row r="1958" spans="1:9" ht="13.8">
      <c r="A1958" s="20">
        <f t="shared" ca="1" si="60"/>
        <v>44109</v>
      </c>
      <c r="B1958" s="21" t="str">
        <f ca="1"/>
        <v>2020-10-05</v>
      </c>
      <c r="C1958" s="22">
        <f ca="1"/>
        <v>207.220001</v>
      </c>
      <c r="D1958" s="22">
        <f ca="1"/>
        <v>210.41000399999999</v>
      </c>
      <c r="E1958" s="22">
        <f ca="1"/>
        <v>206.979996</v>
      </c>
      <c r="F1958" s="22">
        <f ca="1"/>
        <v>210.38000500000001</v>
      </c>
      <c r="G1958" s="22">
        <f ca="1"/>
        <v>206.15469400000001</v>
      </c>
      <c r="H1958" s="69">
        <f ca="1"/>
        <v>21331600</v>
      </c>
      <c r="I1958" s="23" t="str">
        <f t="shared" ca="1" si="61"/>
        <v/>
      </c>
    </row>
    <row r="1959" spans="1:9" ht="13.8">
      <c r="A1959" s="20">
        <f t="shared" ca="1" si="60"/>
        <v>44110</v>
      </c>
      <c r="B1959" s="21" t="str">
        <f ca="1"/>
        <v>2020-10-06</v>
      </c>
      <c r="C1959" s="22">
        <f ca="1"/>
        <v>208.820007</v>
      </c>
      <c r="D1959" s="22">
        <f ca="1"/>
        <v>210.179993</v>
      </c>
      <c r="E1959" s="22">
        <f ca="1"/>
        <v>204.820007</v>
      </c>
      <c r="F1959" s="22">
        <f ca="1"/>
        <v>205.91000399999999</v>
      </c>
      <c r="G1959" s="22">
        <f ca="1"/>
        <v>201.774475</v>
      </c>
      <c r="H1959" s="69">
        <f ca="1"/>
        <v>28554300</v>
      </c>
      <c r="I1959" s="23" t="str">
        <f t="shared" ca="1" si="61"/>
        <v/>
      </c>
    </row>
    <row r="1960" spans="1:9" ht="13.8">
      <c r="A1960" s="20">
        <f t="shared" ca="1" si="60"/>
        <v>44111</v>
      </c>
      <c r="B1960" s="21" t="str">
        <f ca="1"/>
        <v>2020-10-07</v>
      </c>
      <c r="C1960" s="22">
        <f ca="1"/>
        <v>207.05999800000001</v>
      </c>
      <c r="D1960" s="22">
        <f ca="1"/>
        <v>210.11000100000001</v>
      </c>
      <c r="E1960" s="22">
        <f ca="1"/>
        <v>206.720001</v>
      </c>
      <c r="F1960" s="22">
        <f ca="1"/>
        <v>209.83000200000001</v>
      </c>
      <c r="G1960" s="22">
        <f ca="1"/>
        <v>205.61575300000001</v>
      </c>
      <c r="H1960" s="69">
        <f ca="1"/>
        <v>25681100</v>
      </c>
      <c r="I1960" s="23" t="str">
        <f t="shared" ca="1" si="61"/>
        <v/>
      </c>
    </row>
    <row r="1961" spans="1:9" ht="13.8">
      <c r="A1961" s="20">
        <f t="shared" ca="1" si="60"/>
        <v>44112</v>
      </c>
      <c r="B1961" s="21" t="str">
        <f ca="1"/>
        <v>2020-10-08</v>
      </c>
      <c r="C1961" s="22">
        <f ca="1"/>
        <v>210.509995</v>
      </c>
      <c r="D1961" s="22">
        <f ca="1"/>
        <v>211.19000199999999</v>
      </c>
      <c r="E1961" s="22">
        <f ca="1"/>
        <v>208.320007</v>
      </c>
      <c r="F1961" s="22">
        <f ca="1"/>
        <v>210.58000200000001</v>
      </c>
      <c r="G1961" s="22">
        <f ca="1"/>
        <v>206.35069300000001</v>
      </c>
      <c r="H1961" s="69">
        <f ca="1"/>
        <v>19925800</v>
      </c>
      <c r="I1961" s="23" t="str">
        <f t="shared" ca="1" si="61"/>
        <v/>
      </c>
    </row>
    <row r="1962" spans="1:9" ht="13.8">
      <c r="A1962" s="20">
        <f t="shared" ca="1" si="60"/>
        <v>44113</v>
      </c>
      <c r="B1962" s="21" t="str">
        <f ca="1"/>
        <v>2020-10-09</v>
      </c>
      <c r="C1962" s="22">
        <f ca="1"/>
        <v>211.229996</v>
      </c>
      <c r="D1962" s="22">
        <f ca="1"/>
        <v>215.86000100000001</v>
      </c>
      <c r="E1962" s="22">
        <f ca="1"/>
        <v>211.229996</v>
      </c>
      <c r="F1962" s="22">
        <f ca="1"/>
        <v>215.80999800000001</v>
      </c>
      <c r="G1962" s="22">
        <f ca="1"/>
        <v>211.47563199999999</v>
      </c>
      <c r="H1962" s="69">
        <f ca="1"/>
        <v>26458000</v>
      </c>
      <c r="I1962" s="23" t="str">
        <f t="shared" ca="1" si="61"/>
        <v/>
      </c>
    </row>
    <row r="1963" spans="1:9" ht="13.8">
      <c r="A1963" s="20">
        <f t="shared" ca="1" si="60"/>
        <v>44116</v>
      </c>
      <c r="B1963" s="21" t="str">
        <f ca="1"/>
        <v>2020-10-12</v>
      </c>
      <c r="C1963" s="22">
        <f ca="1"/>
        <v>218.78999300000001</v>
      </c>
      <c r="D1963" s="22">
        <f ca="1"/>
        <v>223.86000100000001</v>
      </c>
      <c r="E1963" s="22">
        <f ca="1"/>
        <v>216.80999800000001</v>
      </c>
      <c r="F1963" s="22">
        <f ca="1"/>
        <v>221.39999399999999</v>
      </c>
      <c r="G1963" s="22">
        <f ca="1"/>
        <v>216.95336900000001</v>
      </c>
      <c r="H1963" s="69">
        <f ca="1"/>
        <v>40461400</v>
      </c>
      <c r="I1963" s="23" t="str">
        <f t="shared" ca="1" si="61"/>
        <v/>
      </c>
    </row>
    <row r="1964" spans="1:9" ht="13.8">
      <c r="A1964" s="20">
        <f t="shared" ca="1" si="60"/>
        <v>44117</v>
      </c>
      <c r="B1964" s="21" t="str">
        <f ca="1"/>
        <v>2020-10-13</v>
      </c>
      <c r="C1964" s="22">
        <f ca="1"/>
        <v>222.720001</v>
      </c>
      <c r="D1964" s="22">
        <f ca="1"/>
        <v>225.21000699999999</v>
      </c>
      <c r="E1964" s="22">
        <f ca="1"/>
        <v>220.429993</v>
      </c>
      <c r="F1964" s="22">
        <f ca="1"/>
        <v>222.86000100000001</v>
      </c>
      <c r="G1964" s="22">
        <f ca="1"/>
        <v>218.38404800000001</v>
      </c>
      <c r="H1964" s="69">
        <f ca="1"/>
        <v>28950800</v>
      </c>
      <c r="I1964" s="23" t="str">
        <f t="shared" ca="1" si="61"/>
        <v/>
      </c>
    </row>
    <row r="1965" spans="1:9" ht="13.8">
      <c r="A1965" s="20">
        <f t="shared" ca="1" si="60"/>
        <v>44118</v>
      </c>
      <c r="B1965" s="21" t="str">
        <f ca="1"/>
        <v>2020-10-14</v>
      </c>
      <c r="C1965" s="22">
        <f ca="1"/>
        <v>223</v>
      </c>
      <c r="D1965" s="22">
        <f ca="1"/>
        <v>224.220001</v>
      </c>
      <c r="E1965" s="22">
        <f ca="1"/>
        <v>219.13000500000001</v>
      </c>
      <c r="F1965" s="22">
        <f ca="1"/>
        <v>220.86000100000001</v>
      </c>
      <c r="G1965" s="22">
        <f ca="1"/>
        <v>216.42420999999999</v>
      </c>
      <c r="H1965" s="69">
        <f ca="1"/>
        <v>23421700</v>
      </c>
      <c r="I1965" s="23" t="str">
        <f t="shared" ca="1" si="61"/>
        <v/>
      </c>
    </row>
    <row r="1966" spans="1:9" ht="13.8">
      <c r="A1966" s="20">
        <f t="shared" ca="1" si="60"/>
        <v>44119</v>
      </c>
      <c r="B1966" s="21" t="str">
        <f ca="1"/>
        <v>2020-10-15</v>
      </c>
      <c r="C1966" s="22">
        <f ca="1"/>
        <v>217.10000600000001</v>
      </c>
      <c r="D1966" s="22">
        <f ca="1"/>
        <v>220.36000100000001</v>
      </c>
      <c r="E1966" s="22">
        <f ca="1"/>
        <v>216.009995</v>
      </c>
      <c r="F1966" s="22">
        <f ca="1"/>
        <v>219.66000399999999</v>
      </c>
      <c r="G1966" s="22">
        <f ca="1"/>
        <v>215.24833699999999</v>
      </c>
      <c r="H1966" s="69">
        <f ca="1"/>
        <v>22733100</v>
      </c>
      <c r="I1966" s="23" t="str">
        <f t="shared" ca="1" si="61"/>
        <v/>
      </c>
    </row>
    <row r="1967" spans="1:9" ht="13.8">
      <c r="A1967" s="20">
        <f t="shared" ca="1" si="60"/>
        <v>44120</v>
      </c>
      <c r="B1967" s="21" t="str">
        <f ca="1"/>
        <v>2020-10-16</v>
      </c>
      <c r="C1967" s="22">
        <f ca="1"/>
        <v>220.14999399999999</v>
      </c>
      <c r="D1967" s="22">
        <f ca="1"/>
        <v>222.28999300000001</v>
      </c>
      <c r="E1967" s="22">
        <f ca="1"/>
        <v>219.320007</v>
      </c>
      <c r="F1967" s="22">
        <f ca="1"/>
        <v>219.66000399999999</v>
      </c>
      <c r="G1967" s="22">
        <f ca="1"/>
        <v>215.24833699999999</v>
      </c>
      <c r="H1967" s="69">
        <f ca="1"/>
        <v>26057900</v>
      </c>
      <c r="I1967" s="23" t="str">
        <f t="shared" ca="1" si="61"/>
        <v/>
      </c>
    </row>
    <row r="1968" spans="1:9" ht="13.8">
      <c r="A1968" s="20">
        <f t="shared" ca="1" si="60"/>
        <v>44123</v>
      </c>
      <c r="B1968" s="21" t="str">
        <f ca="1"/>
        <v>2020-10-19</v>
      </c>
      <c r="C1968" s="22">
        <f ca="1"/>
        <v>220.41999799999999</v>
      </c>
      <c r="D1968" s="22">
        <f ca="1"/>
        <v>222.300003</v>
      </c>
      <c r="E1968" s="22">
        <f ca="1"/>
        <v>213.720001</v>
      </c>
      <c r="F1968" s="22">
        <f ca="1"/>
        <v>214.220001</v>
      </c>
      <c r="G1968" s="22">
        <f ca="1"/>
        <v>209.917587</v>
      </c>
      <c r="H1968" s="69">
        <f ca="1"/>
        <v>27625800</v>
      </c>
      <c r="I1968" s="23" t="str">
        <f t="shared" ca="1" si="61"/>
        <v/>
      </c>
    </row>
    <row r="1969" spans="1:9" ht="13.8">
      <c r="A1969" s="20">
        <f t="shared" ca="1" si="60"/>
        <v>44124</v>
      </c>
      <c r="B1969" s="21" t="str">
        <f ca="1"/>
        <v>2020-10-20</v>
      </c>
      <c r="C1969" s="22">
        <f ca="1"/>
        <v>215.800003</v>
      </c>
      <c r="D1969" s="22">
        <f ca="1"/>
        <v>217.36999499999999</v>
      </c>
      <c r="E1969" s="22">
        <f ca="1"/>
        <v>213.08999600000001</v>
      </c>
      <c r="F1969" s="22">
        <f ca="1"/>
        <v>214.64999399999999</v>
      </c>
      <c r="G1969" s="22">
        <f ca="1"/>
        <v>210.33895899999999</v>
      </c>
      <c r="H1969" s="69">
        <f ca="1"/>
        <v>22753500</v>
      </c>
      <c r="I1969" s="23" t="str">
        <f t="shared" ca="1" si="61"/>
        <v/>
      </c>
    </row>
    <row r="1970" spans="1:9" ht="13.8">
      <c r="A1970" s="20">
        <f t="shared" ca="1" si="60"/>
        <v>44125</v>
      </c>
      <c r="B1970" s="21" t="str">
        <f ca="1"/>
        <v>2020-10-21</v>
      </c>
      <c r="C1970" s="22">
        <f ca="1"/>
        <v>213.11999499999999</v>
      </c>
      <c r="D1970" s="22">
        <f ca="1"/>
        <v>216.91999799999999</v>
      </c>
      <c r="E1970" s="22">
        <f ca="1"/>
        <v>213.11999499999999</v>
      </c>
      <c r="F1970" s="22">
        <f ca="1"/>
        <v>214.800003</v>
      </c>
      <c r="G1970" s="22">
        <f ca="1"/>
        <v>210.48594700000001</v>
      </c>
      <c r="H1970" s="69">
        <f ca="1"/>
        <v>22724900</v>
      </c>
      <c r="I1970" s="23" t="str">
        <f t="shared" ca="1" si="61"/>
        <v/>
      </c>
    </row>
    <row r="1971" spans="1:9" ht="13.8">
      <c r="A1971" s="20">
        <f t="shared" ca="1" si="60"/>
        <v>44126</v>
      </c>
      <c r="B1971" s="21" t="str">
        <f ca="1"/>
        <v>2020-10-22</v>
      </c>
      <c r="C1971" s="22">
        <f ca="1"/>
        <v>213.929993</v>
      </c>
      <c r="D1971" s="22">
        <f ca="1"/>
        <v>216.05999800000001</v>
      </c>
      <c r="E1971" s="22">
        <f ca="1"/>
        <v>211.699997</v>
      </c>
      <c r="F1971" s="22">
        <f ca="1"/>
        <v>214.88999899999999</v>
      </c>
      <c r="G1971" s="22">
        <f ca="1"/>
        <v>210.57414199999999</v>
      </c>
      <c r="H1971" s="69">
        <f ca="1"/>
        <v>22351500</v>
      </c>
      <c r="I1971" s="23" t="str">
        <f t="shared" ca="1" si="61"/>
        <v/>
      </c>
    </row>
    <row r="1972" spans="1:9" ht="13.8">
      <c r="A1972" s="20">
        <f t="shared" ca="1" si="60"/>
        <v>44127</v>
      </c>
      <c r="B1972" s="21" t="str">
        <f ca="1"/>
        <v>2020-10-23</v>
      </c>
      <c r="C1972" s="22">
        <f ca="1"/>
        <v>215.029999</v>
      </c>
      <c r="D1972" s="22">
        <f ca="1"/>
        <v>216.279999</v>
      </c>
      <c r="E1972" s="22">
        <f ca="1"/>
        <v>213.16000399999999</v>
      </c>
      <c r="F1972" s="22">
        <f ca="1"/>
        <v>216.229996</v>
      </c>
      <c r="G1972" s="22">
        <f ca="1"/>
        <v>211.88720699999999</v>
      </c>
      <c r="H1972" s="69">
        <f ca="1"/>
        <v>18879600</v>
      </c>
      <c r="I1972" s="23" t="str">
        <f t="shared" ca="1" si="61"/>
        <v/>
      </c>
    </row>
    <row r="1973" spans="1:9" ht="13.8">
      <c r="A1973" s="20">
        <f t="shared" ca="1" si="60"/>
        <v>44130</v>
      </c>
      <c r="B1973" s="21" t="str">
        <f ca="1"/>
        <v>2020-10-26</v>
      </c>
      <c r="C1973" s="22">
        <f ca="1"/>
        <v>213.85000600000001</v>
      </c>
      <c r="D1973" s="22">
        <f ca="1"/>
        <v>216.33999600000001</v>
      </c>
      <c r="E1973" s="22">
        <f ca="1"/>
        <v>208.10000600000001</v>
      </c>
      <c r="F1973" s="22">
        <f ca="1"/>
        <v>210.08000200000001</v>
      </c>
      <c r="G1973" s="22">
        <f ca="1"/>
        <v>205.86073300000001</v>
      </c>
      <c r="H1973" s="69">
        <f ca="1"/>
        <v>37111600</v>
      </c>
      <c r="I1973" s="23" t="str">
        <f t="shared" ca="1" si="61"/>
        <v/>
      </c>
    </row>
    <row r="1974" spans="1:9" ht="13.8">
      <c r="A1974" s="20">
        <f t="shared" ca="1" si="60"/>
        <v>44131</v>
      </c>
      <c r="B1974" s="21" t="str">
        <f ca="1"/>
        <v>2020-10-27</v>
      </c>
      <c r="C1974" s="22">
        <f ca="1"/>
        <v>211.58999600000001</v>
      </c>
      <c r="D1974" s="22">
        <f ca="1"/>
        <v>214.66999799999999</v>
      </c>
      <c r="E1974" s="22">
        <f ca="1"/>
        <v>210.33000200000001</v>
      </c>
      <c r="F1974" s="22">
        <f ca="1"/>
        <v>213.25</v>
      </c>
      <c r="G1974" s="22">
        <f ca="1"/>
        <v>208.967072</v>
      </c>
      <c r="H1974" s="69">
        <f ca="1"/>
        <v>36700300</v>
      </c>
      <c r="I1974" s="23" t="str">
        <f t="shared" ca="1" si="61"/>
        <v/>
      </c>
    </row>
    <row r="1975" spans="1:9" ht="13.8">
      <c r="A1975" s="20">
        <f t="shared" ca="1" si="60"/>
        <v>44132</v>
      </c>
      <c r="B1975" s="21" t="str">
        <f ca="1"/>
        <v>2020-10-28</v>
      </c>
      <c r="C1975" s="22">
        <f ca="1"/>
        <v>207.66999799999999</v>
      </c>
      <c r="D1975" s="22">
        <f ca="1"/>
        <v>208.83999600000001</v>
      </c>
      <c r="E1975" s="22">
        <f ca="1"/>
        <v>202.10000600000001</v>
      </c>
      <c r="F1975" s="22">
        <f ca="1"/>
        <v>202.679993</v>
      </c>
      <c r="G1975" s="22">
        <f ca="1"/>
        <v>198.609375</v>
      </c>
      <c r="H1975" s="69">
        <f ca="1"/>
        <v>51195600</v>
      </c>
      <c r="I1975" s="23" t="str">
        <f t="shared" ca="1" si="61"/>
        <v/>
      </c>
    </row>
    <row r="1976" spans="1:9" ht="13.8">
      <c r="A1976" s="20">
        <f t="shared" ca="1" si="60"/>
        <v>44133</v>
      </c>
      <c r="B1976" s="21" t="str">
        <f ca="1"/>
        <v>2020-10-29</v>
      </c>
      <c r="C1976" s="22">
        <f ca="1"/>
        <v>204.070007</v>
      </c>
      <c r="D1976" s="22">
        <f ca="1"/>
        <v>207.36000100000001</v>
      </c>
      <c r="E1976" s="22">
        <f ca="1"/>
        <v>203.36999499999999</v>
      </c>
      <c r="F1976" s="22">
        <f ca="1"/>
        <v>204.720001</v>
      </c>
      <c r="G1976" s="22">
        <f ca="1"/>
        <v>200.60836800000001</v>
      </c>
      <c r="H1976" s="69">
        <f ca="1"/>
        <v>31432600</v>
      </c>
      <c r="I1976" s="23" t="str">
        <f t="shared" ca="1" si="61"/>
        <v/>
      </c>
    </row>
    <row r="1977" spans="1:9" ht="13.8">
      <c r="A1977" s="20">
        <f t="shared" ca="1" si="60"/>
        <v>44134</v>
      </c>
      <c r="B1977" s="21" t="str">
        <f ca="1"/>
        <v>2020-10-30</v>
      </c>
      <c r="C1977" s="22">
        <f ca="1"/>
        <v>203.5</v>
      </c>
      <c r="D1977" s="22">
        <f ca="1"/>
        <v>204.28999300000001</v>
      </c>
      <c r="E1977" s="22">
        <f ca="1"/>
        <v>199.61999499999999</v>
      </c>
      <c r="F1977" s="22">
        <f ca="1"/>
        <v>202.470001</v>
      </c>
      <c r="G1977" s="22">
        <f ca="1"/>
        <v>198.40358000000001</v>
      </c>
      <c r="H1977" s="69">
        <f ca="1"/>
        <v>36953700</v>
      </c>
      <c r="I1977" s="23" t="str">
        <f t="shared" ca="1" si="61"/>
        <v/>
      </c>
    </row>
    <row r="1978" spans="1:9" ht="13.8">
      <c r="A1978" s="20">
        <f t="shared" ca="1" si="60"/>
        <v>44137</v>
      </c>
      <c r="B1978" s="21" t="str">
        <f ca="1"/>
        <v>2020-11-02</v>
      </c>
      <c r="C1978" s="22">
        <f ca="1"/>
        <v>204.28999300000001</v>
      </c>
      <c r="D1978" s="22">
        <f ca="1"/>
        <v>205.279999</v>
      </c>
      <c r="E1978" s="22">
        <f ca="1"/>
        <v>200.11999499999999</v>
      </c>
      <c r="F1978" s="22">
        <f ca="1"/>
        <v>202.33000200000001</v>
      </c>
      <c r="G1978" s="22">
        <f ca="1"/>
        <v>198.26637299999999</v>
      </c>
      <c r="H1978" s="69">
        <f ca="1"/>
        <v>30842200</v>
      </c>
      <c r="I1978" s="23" t="str">
        <f t="shared" ca="1" si="61"/>
        <v/>
      </c>
    </row>
    <row r="1979" spans="1:9" ht="13.8">
      <c r="A1979" s="20">
        <f t="shared" ca="1" si="60"/>
        <v>44138</v>
      </c>
      <c r="B1979" s="21" t="str">
        <f ca="1"/>
        <v>2020-11-03</v>
      </c>
      <c r="C1979" s="22">
        <f ca="1"/>
        <v>203.88999899999999</v>
      </c>
      <c r="D1979" s="22">
        <f ca="1"/>
        <v>208.11999499999999</v>
      </c>
      <c r="E1979" s="22">
        <f ca="1"/>
        <v>203.11999499999999</v>
      </c>
      <c r="F1979" s="22">
        <f ca="1"/>
        <v>206.429993</v>
      </c>
      <c r="G1979" s="22">
        <f ca="1"/>
        <v>202.28402700000001</v>
      </c>
      <c r="H1979" s="69">
        <f ca="1"/>
        <v>27512000</v>
      </c>
      <c r="I1979" s="23" t="str">
        <f t="shared" ca="1" si="61"/>
        <v/>
      </c>
    </row>
    <row r="1980" spans="1:9" ht="13.8">
      <c r="A1980" s="20">
        <f t="shared" ca="1" si="60"/>
        <v>44139</v>
      </c>
      <c r="B1980" s="21" t="str">
        <f ca="1"/>
        <v>2020-11-04</v>
      </c>
      <c r="C1980" s="22">
        <f ca="1"/>
        <v>214.020004</v>
      </c>
      <c r="D1980" s="22">
        <f ca="1"/>
        <v>218.320007</v>
      </c>
      <c r="E1980" s="22">
        <f ca="1"/>
        <v>212.41999799999999</v>
      </c>
      <c r="F1980" s="22">
        <f ca="1"/>
        <v>216.38999899999999</v>
      </c>
      <c r="G1980" s="22">
        <f ca="1"/>
        <v>212.04399100000001</v>
      </c>
      <c r="H1980" s="69">
        <f ca="1"/>
        <v>42311800</v>
      </c>
      <c r="I1980" s="23" t="str">
        <f t="shared" ca="1" si="61"/>
        <v/>
      </c>
    </row>
    <row r="1981" spans="1:9" ht="13.8">
      <c r="A1981" s="20">
        <f t="shared" ca="1" si="60"/>
        <v>44140</v>
      </c>
      <c r="B1981" s="21" t="str">
        <f ca="1"/>
        <v>2020-11-05</v>
      </c>
      <c r="C1981" s="22">
        <f ca="1"/>
        <v>222.03999300000001</v>
      </c>
      <c r="D1981" s="22">
        <f ca="1"/>
        <v>224.11999499999999</v>
      </c>
      <c r="E1981" s="22">
        <f ca="1"/>
        <v>221.14999399999999</v>
      </c>
      <c r="F1981" s="22">
        <f ca="1"/>
        <v>223.28999300000001</v>
      </c>
      <c r="G1981" s="22">
        <f ca="1"/>
        <v>218.80540500000001</v>
      </c>
      <c r="H1981" s="69">
        <f ca="1"/>
        <v>36080100</v>
      </c>
      <c r="I1981" s="23" t="str">
        <f t="shared" ca="1" si="61"/>
        <v/>
      </c>
    </row>
    <row r="1982" spans="1:9" ht="13.8">
      <c r="A1982" s="20">
        <f t="shared" ca="1" si="60"/>
        <v>44141</v>
      </c>
      <c r="B1982" s="21" t="str">
        <f ca="1"/>
        <v>2020-11-06</v>
      </c>
      <c r="C1982" s="22">
        <f ca="1"/>
        <v>222.259995</v>
      </c>
      <c r="D1982" s="22">
        <f ca="1"/>
        <v>224.36000100000001</v>
      </c>
      <c r="E1982" s="22">
        <f ca="1"/>
        <v>218.029999</v>
      </c>
      <c r="F1982" s="22">
        <f ca="1"/>
        <v>223.720001</v>
      </c>
      <c r="G1982" s="22">
        <f ca="1"/>
        <v>219.226776</v>
      </c>
      <c r="H1982" s="69">
        <f ca="1"/>
        <v>25231900</v>
      </c>
      <c r="I1982" s="23" t="str">
        <f t="shared" ca="1" si="61"/>
        <v/>
      </c>
    </row>
    <row r="1983" spans="1:9" ht="13.8">
      <c r="A1983" s="20">
        <f t="shared" ca="1" si="60"/>
        <v>44144</v>
      </c>
      <c r="B1983" s="21" t="str">
        <f ca="1"/>
        <v>2020-11-09</v>
      </c>
      <c r="C1983" s="22">
        <f ca="1"/>
        <v>224.44000199999999</v>
      </c>
      <c r="D1983" s="22">
        <f ca="1"/>
        <v>228.11999499999999</v>
      </c>
      <c r="E1983" s="22">
        <f ca="1"/>
        <v>217.88000500000001</v>
      </c>
      <c r="F1983" s="22">
        <f ca="1"/>
        <v>218.38999899999999</v>
      </c>
      <c r="G1983" s="22">
        <f ca="1"/>
        <v>214.00382999999999</v>
      </c>
      <c r="H1983" s="69">
        <f ca="1"/>
        <v>44395000</v>
      </c>
      <c r="I1983" s="23" t="str">
        <f t="shared" ca="1" si="61"/>
        <v/>
      </c>
    </row>
    <row r="1984" spans="1:9" ht="13.8">
      <c r="A1984" s="20">
        <f t="shared" ca="1" si="60"/>
        <v>44145</v>
      </c>
      <c r="B1984" s="21" t="str">
        <f ca="1"/>
        <v>2020-11-10</v>
      </c>
      <c r="C1984" s="22">
        <f ca="1"/>
        <v>214.5</v>
      </c>
      <c r="D1984" s="22">
        <f ca="1"/>
        <v>216.5</v>
      </c>
      <c r="E1984" s="22">
        <f ca="1"/>
        <v>209.720001</v>
      </c>
      <c r="F1984" s="22">
        <f ca="1"/>
        <v>211.009995</v>
      </c>
      <c r="G1984" s="22">
        <f ca="1"/>
        <v>206.77204900000001</v>
      </c>
      <c r="H1984" s="69">
        <f ca="1"/>
        <v>44045100</v>
      </c>
      <c r="I1984" s="23" t="str">
        <f t="shared" ca="1" si="61"/>
        <v/>
      </c>
    </row>
    <row r="1985" spans="1:9" ht="13.8">
      <c r="A1985" s="20">
        <f t="shared" ca="1" si="60"/>
        <v>44146</v>
      </c>
      <c r="B1985" s="21" t="str">
        <f ca="1"/>
        <v>2020-11-11</v>
      </c>
      <c r="C1985" s="22">
        <f ca="1"/>
        <v>212.38999899999999</v>
      </c>
      <c r="D1985" s="22">
        <f ca="1"/>
        <v>218.03999300000001</v>
      </c>
      <c r="E1985" s="22">
        <f ca="1"/>
        <v>212.199997</v>
      </c>
      <c r="F1985" s="22">
        <f ca="1"/>
        <v>216.550003</v>
      </c>
      <c r="G1985" s="22">
        <f ca="1"/>
        <v>212.20079000000001</v>
      </c>
      <c r="H1985" s="69">
        <f ca="1"/>
        <v>29440800</v>
      </c>
      <c r="I1985" s="23" t="str">
        <f t="shared" ca="1" si="61"/>
        <v/>
      </c>
    </row>
    <row r="1986" spans="1:9" ht="13.8">
      <c r="A1986" s="20">
        <f t="shared" ca="1" si="60"/>
        <v>44147</v>
      </c>
      <c r="B1986" s="21" t="str">
        <f ca="1"/>
        <v>2020-11-12</v>
      </c>
      <c r="C1986" s="22">
        <f ca="1"/>
        <v>217.21000699999999</v>
      </c>
      <c r="D1986" s="22">
        <f ca="1"/>
        <v>219.11000100000001</v>
      </c>
      <c r="E1986" s="22">
        <f ca="1"/>
        <v>214.46000699999999</v>
      </c>
      <c r="F1986" s="22">
        <f ca="1"/>
        <v>215.44000199999999</v>
      </c>
      <c r="G1986" s="22">
        <f ca="1"/>
        <v>211.11309800000001</v>
      </c>
      <c r="H1986" s="69">
        <f ca="1"/>
        <v>21593900</v>
      </c>
      <c r="I1986" s="23" t="str">
        <f t="shared" ca="1" si="61"/>
        <v/>
      </c>
    </row>
    <row r="1987" spans="1:9" ht="13.8">
      <c r="A1987" s="20">
        <f t="shared" ca="1" si="60"/>
        <v>44148</v>
      </c>
      <c r="B1987" s="21" t="str">
        <f ca="1"/>
        <v>2020-11-13</v>
      </c>
      <c r="C1987" s="22">
        <f ca="1"/>
        <v>216.36000100000001</v>
      </c>
      <c r="D1987" s="22">
        <f ca="1"/>
        <v>217.41999799999999</v>
      </c>
      <c r="E1987" s="22">
        <f ca="1"/>
        <v>214.16000399999999</v>
      </c>
      <c r="F1987" s="22">
        <f ca="1"/>
        <v>216.509995</v>
      </c>
      <c r="G1987" s="22">
        <f ca="1"/>
        <v>212.16160600000001</v>
      </c>
      <c r="H1987" s="69">
        <f ca="1"/>
        <v>18621100</v>
      </c>
      <c r="I1987" s="23" t="str">
        <f t="shared" ca="1" si="61"/>
        <v/>
      </c>
    </row>
    <row r="1988" spans="1:9" ht="13.8">
      <c r="A1988" s="20">
        <f t="shared" ca="1" si="60"/>
        <v>44151</v>
      </c>
      <c r="B1988" s="21" t="str">
        <f ca="1"/>
        <v>2020-11-16</v>
      </c>
      <c r="C1988" s="22">
        <f ca="1"/>
        <v>214.86999499999999</v>
      </c>
      <c r="D1988" s="22">
        <f ca="1"/>
        <v>217.740005</v>
      </c>
      <c r="E1988" s="22">
        <f ca="1"/>
        <v>214.520004</v>
      </c>
      <c r="F1988" s="22">
        <f ca="1"/>
        <v>217.229996</v>
      </c>
      <c r="G1988" s="22">
        <f ca="1"/>
        <v>212.86711099999999</v>
      </c>
      <c r="H1988" s="69">
        <f ca="1"/>
        <v>24953300</v>
      </c>
      <c r="I1988" s="23" t="str">
        <f t="shared" ca="1" si="61"/>
        <v/>
      </c>
    </row>
    <row r="1989" spans="1:9" ht="13.8">
      <c r="A1989" s="20">
        <f t="shared" ca="1" si="60"/>
        <v>44152</v>
      </c>
      <c r="B1989" s="21" t="str">
        <f ca="1"/>
        <v>2020-11-17</v>
      </c>
      <c r="C1989" s="22">
        <f ca="1"/>
        <v>216.10000600000001</v>
      </c>
      <c r="D1989" s="22">
        <f ca="1"/>
        <v>217.679993</v>
      </c>
      <c r="E1989" s="22">
        <f ca="1"/>
        <v>214.08000200000001</v>
      </c>
      <c r="F1989" s="22">
        <f ca="1"/>
        <v>214.46000699999999</v>
      </c>
      <c r="G1989" s="22">
        <f ca="1"/>
        <v>210.15278599999999</v>
      </c>
      <c r="H1989" s="69">
        <f ca="1"/>
        <v>24154100</v>
      </c>
      <c r="I1989" s="23" t="str">
        <f t="shared" ca="1" si="61"/>
        <v/>
      </c>
    </row>
    <row r="1990" spans="1:9" ht="13.8">
      <c r="A1990" s="20">
        <f t="shared" ref="A1990:A2053" ca="1" si="62">IFERROR(DATEVALUE($B1990),"--")</f>
        <v>44153</v>
      </c>
      <c r="B1990" s="21" t="str">
        <f ca="1"/>
        <v>2020-11-18</v>
      </c>
      <c r="C1990" s="22">
        <f ca="1"/>
        <v>213.64999399999999</v>
      </c>
      <c r="D1990" s="22">
        <f ca="1"/>
        <v>215.16999799999999</v>
      </c>
      <c r="E1990" s="22">
        <f ca="1"/>
        <v>210.929993</v>
      </c>
      <c r="F1990" s="22">
        <f ca="1"/>
        <v>211.08000200000001</v>
      </c>
      <c r="G1990" s="22">
        <f ca="1"/>
        <v>207.382172</v>
      </c>
      <c r="H1990" s="69">
        <f ca="1"/>
        <v>28372800</v>
      </c>
      <c r="I1990" s="23">
        <f t="shared" ref="I1990:I2053" ca="1" si="63">IFERROR(IF(Ticker&lt;&gt;$Q$2,"",INDEX($P:$P,MATCH($A1990,$O:$O,0))),"")</f>
        <v>0.56000000000000005</v>
      </c>
    </row>
    <row r="1991" spans="1:9" ht="13.8">
      <c r="A1991" s="20">
        <f t="shared" ca="1" si="62"/>
        <v>44154</v>
      </c>
      <c r="B1991" s="21" t="str">
        <f ca="1"/>
        <v>2020-11-19</v>
      </c>
      <c r="C1991" s="22">
        <f ca="1"/>
        <v>211.38000500000001</v>
      </c>
      <c r="D1991" s="22">
        <f ca="1"/>
        <v>213.029999</v>
      </c>
      <c r="E1991" s="22">
        <f ca="1"/>
        <v>209.929993</v>
      </c>
      <c r="F1991" s="22">
        <f ca="1"/>
        <v>212.41999799999999</v>
      </c>
      <c r="G1991" s="22">
        <f ca="1"/>
        <v>208.6987</v>
      </c>
      <c r="H1991" s="69">
        <f ca="1"/>
        <v>24792700</v>
      </c>
      <c r="I1991" s="23" t="str">
        <f t="shared" ca="1" si="63"/>
        <v/>
      </c>
    </row>
    <row r="1992" spans="1:9" ht="13.8">
      <c r="A1992" s="20">
        <f t="shared" ca="1" si="62"/>
        <v>44155</v>
      </c>
      <c r="B1992" s="21" t="str">
        <f ca="1"/>
        <v>2020-11-20</v>
      </c>
      <c r="C1992" s="22">
        <f ca="1"/>
        <v>212.199997</v>
      </c>
      <c r="D1992" s="22">
        <f ca="1"/>
        <v>213.28999300000001</v>
      </c>
      <c r="E1992" s="22">
        <f ca="1"/>
        <v>210</v>
      </c>
      <c r="F1992" s="22">
        <f ca="1"/>
        <v>210.38999899999999</v>
      </c>
      <c r="G1992" s="22">
        <f ca="1"/>
        <v>206.70426900000001</v>
      </c>
      <c r="H1992" s="69">
        <f ca="1"/>
        <v>22843100</v>
      </c>
      <c r="I1992" s="23" t="str">
        <f t="shared" ca="1" si="63"/>
        <v/>
      </c>
    </row>
    <row r="1993" spans="1:9" ht="13.8">
      <c r="A1993" s="20">
        <f t="shared" ca="1" si="62"/>
        <v>44158</v>
      </c>
      <c r="B1993" s="21" t="str">
        <f ca="1"/>
        <v>2020-11-23</v>
      </c>
      <c r="C1993" s="22">
        <f ca="1"/>
        <v>210.949997</v>
      </c>
      <c r="D1993" s="22">
        <f ca="1"/>
        <v>212.28999300000001</v>
      </c>
      <c r="E1993" s="22">
        <f ca="1"/>
        <v>208.16000399999999</v>
      </c>
      <c r="F1993" s="22">
        <f ca="1"/>
        <v>210.11000100000001</v>
      </c>
      <c r="G1993" s="22">
        <f ca="1"/>
        <v>206.42915300000001</v>
      </c>
      <c r="H1993" s="69">
        <f ca="1"/>
        <v>25683500</v>
      </c>
      <c r="I1993" s="23" t="str">
        <f t="shared" ca="1" si="63"/>
        <v/>
      </c>
    </row>
    <row r="1994" spans="1:9" ht="13.8">
      <c r="A1994" s="20">
        <f t="shared" ca="1" si="62"/>
        <v>44159</v>
      </c>
      <c r="B1994" s="21" t="str">
        <f ca="1"/>
        <v>2020-11-24</v>
      </c>
      <c r="C1994" s="22">
        <f ca="1"/>
        <v>209.58999600000001</v>
      </c>
      <c r="D1994" s="22">
        <f ca="1"/>
        <v>214.25</v>
      </c>
      <c r="E1994" s="22">
        <f ca="1"/>
        <v>208.86000100000001</v>
      </c>
      <c r="F1994" s="22">
        <f ca="1"/>
        <v>213.86000100000001</v>
      </c>
      <c r="G1994" s="22">
        <f ca="1"/>
        <v>210.11346399999999</v>
      </c>
      <c r="H1994" s="69">
        <f ca="1"/>
        <v>33979700</v>
      </c>
      <c r="I1994" s="23" t="str">
        <f t="shared" ca="1" si="63"/>
        <v/>
      </c>
    </row>
    <row r="1995" spans="1:9" ht="13.8">
      <c r="A1995" s="20">
        <f t="shared" ca="1" si="62"/>
        <v>44160</v>
      </c>
      <c r="B1995" s="21" t="str">
        <f ca="1"/>
        <v>2020-11-25</v>
      </c>
      <c r="C1995" s="22">
        <f ca="1"/>
        <v>215.11000100000001</v>
      </c>
      <c r="D1995" s="22">
        <f ca="1"/>
        <v>215.28999300000001</v>
      </c>
      <c r="E1995" s="22">
        <f ca="1"/>
        <v>212.46000699999999</v>
      </c>
      <c r="F1995" s="22">
        <f ca="1"/>
        <v>213.86999499999999</v>
      </c>
      <c r="G1995" s="22">
        <f ca="1"/>
        <v>210.123276</v>
      </c>
      <c r="H1995" s="69">
        <f ca="1"/>
        <v>21012900</v>
      </c>
      <c r="I1995" s="23" t="str">
        <f t="shared" ca="1" si="63"/>
        <v/>
      </c>
    </row>
    <row r="1996" spans="1:9" ht="13.8">
      <c r="A1996" s="20">
        <f t="shared" ca="1" si="62"/>
        <v>44162</v>
      </c>
      <c r="B1996" s="21" t="str">
        <f ca="1"/>
        <v>2020-11-27</v>
      </c>
      <c r="C1996" s="22">
        <f ca="1"/>
        <v>214.85000600000001</v>
      </c>
      <c r="D1996" s="22">
        <f ca="1"/>
        <v>216.270004</v>
      </c>
      <c r="E1996" s="22">
        <f ca="1"/>
        <v>214.03999300000001</v>
      </c>
      <c r="F1996" s="22">
        <f ca="1"/>
        <v>215.229996</v>
      </c>
      <c r="G1996" s="22">
        <f ca="1"/>
        <v>211.45945699999999</v>
      </c>
      <c r="H1996" s="69">
        <f ca="1"/>
        <v>14512200</v>
      </c>
      <c r="I1996" s="23" t="str">
        <f t="shared" ca="1" si="63"/>
        <v/>
      </c>
    </row>
    <row r="1997" spans="1:9" ht="13.8">
      <c r="A1997" s="20">
        <f t="shared" ca="1" si="62"/>
        <v>44165</v>
      </c>
      <c r="B1997" s="21" t="str">
        <f ca="1"/>
        <v>2020-11-30</v>
      </c>
      <c r="C1997" s="22">
        <f ca="1"/>
        <v>214.10000600000001</v>
      </c>
      <c r="D1997" s="22">
        <f ca="1"/>
        <v>214.759995</v>
      </c>
      <c r="E1997" s="22">
        <f ca="1"/>
        <v>210.83999600000001</v>
      </c>
      <c r="F1997" s="22">
        <f ca="1"/>
        <v>214.070007</v>
      </c>
      <c r="G1997" s="22">
        <f ca="1"/>
        <v>210.319794</v>
      </c>
      <c r="H1997" s="69">
        <f ca="1"/>
        <v>33064800</v>
      </c>
      <c r="I1997" s="23" t="str">
        <f t="shared" ca="1" si="63"/>
        <v/>
      </c>
    </row>
    <row r="1998" spans="1:9" ht="13.8">
      <c r="A1998" s="20">
        <f t="shared" ca="1" si="62"/>
        <v>44166</v>
      </c>
      <c r="B1998" s="21" t="str">
        <f ca="1"/>
        <v>2020-12-01</v>
      </c>
      <c r="C1998" s="22">
        <f ca="1"/>
        <v>214.509995</v>
      </c>
      <c r="D1998" s="22">
        <f ca="1"/>
        <v>217.320007</v>
      </c>
      <c r="E1998" s="22">
        <f ca="1"/>
        <v>213.35000600000001</v>
      </c>
      <c r="F1998" s="22">
        <f ca="1"/>
        <v>216.21000699999999</v>
      </c>
      <c r="G1998" s="22">
        <f ca="1"/>
        <v>212.422302</v>
      </c>
      <c r="H1998" s="69">
        <f ca="1"/>
        <v>30904500</v>
      </c>
      <c r="I1998" s="23" t="str">
        <f t="shared" ca="1" si="63"/>
        <v/>
      </c>
    </row>
    <row r="1999" spans="1:9" ht="13.8">
      <c r="A1999" s="20">
        <f t="shared" ca="1" si="62"/>
        <v>44167</v>
      </c>
      <c r="B1999" s="21" t="str">
        <f ca="1"/>
        <v>2020-12-02</v>
      </c>
      <c r="C1999" s="22">
        <f ca="1"/>
        <v>214.88000500000001</v>
      </c>
      <c r="D1999" s="22">
        <f ca="1"/>
        <v>215.470001</v>
      </c>
      <c r="E1999" s="22">
        <f ca="1"/>
        <v>212.800003</v>
      </c>
      <c r="F1999" s="22">
        <f ca="1"/>
        <v>215.36999499999999</v>
      </c>
      <c r="G1999" s="22">
        <f ca="1"/>
        <v>211.59700000000001</v>
      </c>
      <c r="H1999" s="69">
        <f ca="1"/>
        <v>23724500</v>
      </c>
      <c r="I1999" s="23" t="str">
        <f t="shared" ca="1" si="63"/>
        <v/>
      </c>
    </row>
    <row r="2000" spans="1:9" ht="13.8">
      <c r="A2000" s="20">
        <f t="shared" ca="1" si="62"/>
        <v>44168</v>
      </c>
      <c r="B2000" s="21" t="str">
        <f ca="1"/>
        <v>2020-12-03</v>
      </c>
      <c r="C2000" s="22">
        <f ca="1"/>
        <v>214.61000100000001</v>
      </c>
      <c r="D2000" s="22">
        <f ca="1"/>
        <v>216.38000500000001</v>
      </c>
      <c r="E2000" s="22">
        <f ca="1"/>
        <v>213.64999399999999</v>
      </c>
      <c r="F2000" s="22">
        <f ca="1"/>
        <v>214.240005</v>
      </c>
      <c r="G2000" s="22">
        <f ca="1"/>
        <v>210.48680100000001</v>
      </c>
      <c r="H2000" s="69">
        <f ca="1"/>
        <v>25120900</v>
      </c>
      <c r="I2000" s="23" t="str">
        <f t="shared" ca="1" si="63"/>
        <v/>
      </c>
    </row>
    <row r="2001" spans="1:9" ht="13.8">
      <c r="A2001" s="20">
        <f t="shared" ca="1" si="62"/>
        <v>44169</v>
      </c>
      <c r="B2001" s="21" t="str">
        <f ca="1"/>
        <v>2020-12-04</v>
      </c>
      <c r="C2001" s="22">
        <f ca="1"/>
        <v>214.220001</v>
      </c>
      <c r="D2001" s="22">
        <f ca="1"/>
        <v>215.38000500000001</v>
      </c>
      <c r="E2001" s="22">
        <f ca="1"/>
        <v>213.179993</v>
      </c>
      <c r="F2001" s="22">
        <f ca="1"/>
        <v>214.36000100000001</v>
      </c>
      <c r="G2001" s="22">
        <f ca="1"/>
        <v>210.604691</v>
      </c>
      <c r="H2001" s="69">
        <f ca="1"/>
        <v>24666000</v>
      </c>
      <c r="I2001" s="23" t="str">
        <f t="shared" ca="1" si="63"/>
        <v/>
      </c>
    </row>
    <row r="2002" spans="1:9" ht="13.8">
      <c r="A2002" s="20">
        <f t="shared" ca="1" si="62"/>
        <v>44172</v>
      </c>
      <c r="B2002" s="21" t="str">
        <f ca="1"/>
        <v>2020-12-07</v>
      </c>
      <c r="C2002" s="22">
        <f ca="1"/>
        <v>214.36999499999999</v>
      </c>
      <c r="D2002" s="22">
        <f ca="1"/>
        <v>215.53999300000001</v>
      </c>
      <c r="E2002" s="22">
        <f ca="1"/>
        <v>212.990005</v>
      </c>
      <c r="F2002" s="22">
        <f ca="1"/>
        <v>214.28999300000001</v>
      </c>
      <c r="G2002" s="22">
        <f ca="1"/>
        <v>210.53595000000001</v>
      </c>
      <c r="H2002" s="69">
        <f ca="1"/>
        <v>24620000</v>
      </c>
      <c r="I2002" s="23" t="str">
        <f t="shared" ca="1" si="63"/>
        <v/>
      </c>
    </row>
    <row r="2003" spans="1:9" ht="13.8">
      <c r="A2003" s="20">
        <f t="shared" ca="1" si="62"/>
        <v>44173</v>
      </c>
      <c r="B2003" s="21" t="str">
        <f ca="1"/>
        <v>2020-12-08</v>
      </c>
      <c r="C2003" s="22">
        <f ca="1"/>
        <v>213.970001</v>
      </c>
      <c r="D2003" s="22">
        <f ca="1"/>
        <v>216.949997</v>
      </c>
      <c r="E2003" s="22">
        <f ca="1"/>
        <v>212.88999899999999</v>
      </c>
      <c r="F2003" s="22">
        <f ca="1"/>
        <v>216.009995</v>
      </c>
      <c r="G2003" s="22">
        <f ca="1"/>
        <v>212.22579999999999</v>
      </c>
      <c r="H2003" s="69">
        <f ca="1"/>
        <v>23284100</v>
      </c>
      <c r="I2003" s="23" t="str">
        <f t="shared" ca="1" si="63"/>
        <v/>
      </c>
    </row>
    <row r="2004" spans="1:9" ht="13.8">
      <c r="A2004" s="20">
        <f t="shared" ca="1" si="62"/>
        <v>44174</v>
      </c>
      <c r="B2004" s="21" t="str">
        <f ca="1"/>
        <v>2020-12-09</v>
      </c>
      <c r="C2004" s="22">
        <f ca="1"/>
        <v>215.16000399999999</v>
      </c>
      <c r="D2004" s="22">
        <f ca="1"/>
        <v>215.229996</v>
      </c>
      <c r="E2004" s="22">
        <f ca="1"/>
        <v>211.21000699999999</v>
      </c>
      <c r="F2004" s="22">
        <f ca="1"/>
        <v>211.800003</v>
      </c>
      <c r="G2004" s="22">
        <f ca="1"/>
        <v>208.089539</v>
      </c>
      <c r="H2004" s="69">
        <f ca="1"/>
        <v>32440600</v>
      </c>
      <c r="I2004" s="23" t="str">
        <f t="shared" ca="1" si="63"/>
        <v/>
      </c>
    </row>
    <row r="2005" spans="1:9" ht="13.8">
      <c r="A2005" s="20">
        <f t="shared" ca="1" si="62"/>
        <v>44175</v>
      </c>
      <c r="B2005" s="21" t="str">
        <f ca="1"/>
        <v>2020-12-10</v>
      </c>
      <c r="C2005" s="22">
        <f ca="1"/>
        <v>211.770004</v>
      </c>
      <c r="D2005" s="22">
        <f ca="1"/>
        <v>213.08000200000001</v>
      </c>
      <c r="E2005" s="22">
        <f ca="1"/>
        <v>210.36000100000001</v>
      </c>
      <c r="F2005" s="22">
        <f ca="1"/>
        <v>210.520004</v>
      </c>
      <c r="G2005" s="22">
        <f ca="1"/>
        <v>206.83200099999999</v>
      </c>
      <c r="H2005" s="69">
        <f ca="1"/>
        <v>26733300</v>
      </c>
      <c r="I2005" s="23" t="str">
        <f t="shared" ca="1" si="63"/>
        <v/>
      </c>
    </row>
    <row r="2006" spans="1:9" ht="13.8">
      <c r="A2006" s="20">
        <f t="shared" ca="1" si="62"/>
        <v>44176</v>
      </c>
      <c r="B2006" s="21" t="str">
        <f ca="1"/>
        <v>2020-12-11</v>
      </c>
      <c r="C2006" s="22">
        <f ca="1"/>
        <v>210.050003</v>
      </c>
      <c r="D2006" s="22">
        <f ca="1"/>
        <v>213.320007</v>
      </c>
      <c r="E2006" s="22">
        <f ca="1"/>
        <v>209.11000100000001</v>
      </c>
      <c r="F2006" s="22">
        <f ca="1"/>
        <v>213.259995</v>
      </c>
      <c r="G2006" s="22">
        <f ca="1"/>
        <v>209.52397199999999</v>
      </c>
      <c r="H2006" s="69">
        <f ca="1"/>
        <v>30979400</v>
      </c>
      <c r="I2006" s="23" t="str">
        <f t="shared" ca="1" si="63"/>
        <v/>
      </c>
    </row>
    <row r="2007" spans="1:9" ht="13.8">
      <c r="A2007" s="20">
        <f t="shared" ca="1" si="62"/>
        <v>44179</v>
      </c>
      <c r="B2007" s="21" t="str">
        <f ca="1"/>
        <v>2020-12-14</v>
      </c>
      <c r="C2007" s="22">
        <f ca="1"/>
        <v>213.10000600000001</v>
      </c>
      <c r="D2007" s="22">
        <f ca="1"/>
        <v>216.21000699999999</v>
      </c>
      <c r="E2007" s="22">
        <f ca="1"/>
        <v>212.88000500000001</v>
      </c>
      <c r="F2007" s="22">
        <f ca="1"/>
        <v>214.199997</v>
      </c>
      <c r="G2007" s="22">
        <f ca="1"/>
        <v>210.447495</v>
      </c>
      <c r="H2007" s="69">
        <f ca="1"/>
        <v>28798400</v>
      </c>
      <c r="I2007" s="23" t="str">
        <f t="shared" ca="1" si="63"/>
        <v/>
      </c>
    </row>
    <row r="2008" spans="1:9" ht="13.8">
      <c r="A2008" s="20">
        <f t="shared" ca="1" si="62"/>
        <v>44180</v>
      </c>
      <c r="B2008" s="21" t="str">
        <f ca="1"/>
        <v>2020-12-15</v>
      </c>
      <c r="C2008" s="22">
        <f ca="1"/>
        <v>215.16999799999999</v>
      </c>
      <c r="D2008" s="22">
        <f ca="1"/>
        <v>215.41999799999999</v>
      </c>
      <c r="E2008" s="22">
        <f ca="1"/>
        <v>212.240005</v>
      </c>
      <c r="F2008" s="22">
        <f ca="1"/>
        <v>214.13000500000001</v>
      </c>
      <c r="G2008" s="22">
        <f ca="1"/>
        <v>210.378738</v>
      </c>
      <c r="H2008" s="69">
        <f ca="1"/>
        <v>27000600</v>
      </c>
      <c r="I2008" s="23" t="str">
        <f t="shared" ca="1" si="63"/>
        <v/>
      </c>
    </row>
    <row r="2009" spans="1:9" ht="13.8">
      <c r="A2009" s="20">
        <f t="shared" ca="1" si="62"/>
        <v>44181</v>
      </c>
      <c r="B2009" s="21" t="str">
        <f ca="1"/>
        <v>2020-12-16</v>
      </c>
      <c r="C2009" s="22">
        <f ca="1"/>
        <v>214.75</v>
      </c>
      <c r="D2009" s="22">
        <f ca="1"/>
        <v>220.11000100000001</v>
      </c>
      <c r="E2009" s="22">
        <f ca="1"/>
        <v>214.720001</v>
      </c>
      <c r="F2009" s="22">
        <f ca="1"/>
        <v>219.279999</v>
      </c>
      <c r="G2009" s="22">
        <f ca="1"/>
        <v>215.43852200000001</v>
      </c>
      <c r="H2009" s="69">
        <f ca="1"/>
        <v>35023300</v>
      </c>
      <c r="I2009" s="23" t="str">
        <f t="shared" ca="1" si="63"/>
        <v/>
      </c>
    </row>
    <row r="2010" spans="1:9" ht="13.8">
      <c r="A2010" s="20">
        <f t="shared" ca="1" si="62"/>
        <v>44182</v>
      </c>
      <c r="B2010" s="21" t="str">
        <f ca="1"/>
        <v>2020-12-17</v>
      </c>
      <c r="C2010" s="22">
        <f ca="1"/>
        <v>219.86999499999999</v>
      </c>
      <c r="D2010" s="22">
        <f ca="1"/>
        <v>220.88999899999999</v>
      </c>
      <c r="E2010" s="22">
        <f ca="1"/>
        <v>217.91999799999999</v>
      </c>
      <c r="F2010" s="22">
        <f ca="1"/>
        <v>219.41999799999999</v>
      </c>
      <c r="G2010" s="22">
        <f ca="1"/>
        <v>215.57607999999999</v>
      </c>
      <c r="H2010" s="69">
        <f ca="1"/>
        <v>32515800</v>
      </c>
      <c r="I2010" s="23" t="str">
        <f t="shared" ca="1" si="63"/>
        <v/>
      </c>
    </row>
    <row r="2011" spans="1:9" ht="13.8">
      <c r="A2011" s="20">
        <f t="shared" ca="1" si="62"/>
        <v>44183</v>
      </c>
      <c r="B2011" s="21" t="str">
        <f ca="1"/>
        <v>2020-12-18</v>
      </c>
      <c r="C2011" s="22">
        <f ca="1"/>
        <v>218.58999600000001</v>
      </c>
      <c r="D2011" s="22">
        <f ca="1"/>
        <v>219.69000199999999</v>
      </c>
      <c r="E2011" s="22">
        <f ca="1"/>
        <v>216.020004</v>
      </c>
      <c r="F2011" s="22">
        <f ca="1"/>
        <v>218.58999600000001</v>
      </c>
      <c r="G2011" s="22">
        <f ca="1"/>
        <v>214.76061999999999</v>
      </c>
      <c r="H2011" s="69">
        <f ca="1"/>
        <v>63354900</v>
      </c>
      <c r="I2011" s="23" t="str">
        <f t="shared" ca="1" si="63"/>
        <v/>
      </c>
    </row>
    <row r="2012" spans="1:9" ht="13.8">
      <c r="A2012" s="20">
        <f t="shared" ca="1" si="62"/>
        <v>44186</v>
      </c>
      <c r="B2012" s="21" t="str">
        <f ca="1"/>
        <v>2020-12-21</v>
      </c>
      <c r="C2012" s="22">
        <f ca="1"/>
        <v>217.550003</v>
      </c>
      <c r="D2012" s="22">
        <f ca="1"/>
        <v>224</v>
      </c>
      <c r="E2012" s="22">
        <f ca="1"/>
        <v>217.279999</v>
      </c>
      <c r="F2012" s="22">
        <f ca="1"/>
        <v>222.58999600000001</v>
      </c>
      <c r="G2012" s="22">
        <f ca="1"/>
        <v>218.69053600000001</v>
      </c>
      <c r="H2012" s="69">
        <f ca="1"/>
        <v>37181900</v>
      </c>
      <c r="I2012" s="23" t="str">
        <f t="shared" ca="1" si="63"/>
        <v/>
      </c>
    </row>
    <row r="2013" spans="1:9" ht="13.8">
      <c r="A2013" s="20">
        <f t="shared" ca="1" si="62"/>
        <v>44187</v>
      </c>
      <c r="B2013" s="21" t="str">
        <f ca="1"/>
        <v>2020-12-22</v>
      </c>
      <c r="C2013" s="22">
        <f ca="1"/>
        <v>222.69000199999999</v>
      </c>
      <c r="D2013" s="22">
        <f ca="1"/>
        <v>225.63000500000001</v>
      </c>
      <c r="E2013" s="22">
        <f ca="1"/>
        <v>221.85000600000001</v>
      </c>
      <c r="F2013" s="22">
        <f ca="1"/>
        <v>223.94000199999999</v>
      </c>
      <c r="G2013" s="22">
        <f ca="1"/>
        <v>220.01686100000001</v>
      </c>
      <c r="H2013" s="69">
        <f ca="1"/>
        <v>22612200</v>
      </c>
      <c r="I2013" s="23" t="str">
        <f t="shared" ca="1" si="63"/>
        <v/>
      </c>
    </row>
    <row r="2014" spans="1:9" ht="13.8">
      <c r="A2014" s="20">
        <f t="shared" ca="1" si="62"/>
        <v>44188</v>
      </c>
      <c r="B2014" s="21" t="str">
        <f ca="1"/>
        <v>2020-12-23</v>
      </c>
      <c r="C2014" s="22">
        <f ca="1"/>
        <v>223.11000100000001</v>
      </c>
      <c r="D2014" s="22">
        <f ca="1"/>
        <v>223.55999800000001</v>
      </c>
      <c r="E2014" s="22">
        <f ca="1"/>
        <v>220.800003</v>
      </c>
      <c r="F2014" s="22">
        <f ca="1"/>
        <v>221.020004</v>
      </c>
      <c r="G2014" s="22">
        <f ca="1"/>
        <v>217.14804100000001</v>
      </c>
      <c r="H2014" s="69">
        <f ca="1"/>
        <v>18699600</v>
      </c>
      <c r="I2014" s="23" t="str">
        <f t="shared" ca="1" si="63"/>
        <v/>
      </c>
    </row>
    <row r="2015" spans="1:9" ht="13.8">
      <c r="A2015" s="20">
        <f t="shared" ca="1" si="62"/>
        <v>44189</v>
      </c>
      <c r="B2015" s="21" t="str">
        <f ca="1"/>
        <v>2020-12-24</v>
      </c>
      <c r="C2015" s="22">
        <f ca="1"/>
        <v>221.41999799999999</v>
      </c>
      <c r="D2015" s="22">
        <f ca="1"/>
        <v>223.61000100000001</v>
      </c>
      <c r="E2015" s="22">
        <f ca="1"/>
        <v>221.199997</v>
      </c>
      <c r="F2015" s="22">
        <f ca="1"/>
        <v>222.75</v>
      </c>
      <c r="G2015" s="22">
        <f ca="1"/>
        <v>218.847702</v>
      </c>
      <c r="H2015" s="69">
        <f ca="1"/>
        <v>10550600</v>
      </c>
      <c r="I2015" s="23" t="str">
        <f t="shared" ca="1" si="63"/>
        <v/>
      </c>
    </row>
    <row r="2016" spans="1:9" ht="13.8">
      <c r="A2016" s="20">
        <f t="shared" ca="1" si="62"/>
        <v>44193</v>
      </c>
      <c r="B2016" s="21" t="str">
        <f ca="1"/>
        <v>2020-12-28</v>
      </c>
      <c r="C2016" s="22">
        <f ca="1"/>
        <v>224.449997</v>
      </c>
      <c r="D2016" s="22">
        <f ca="1"/>
        <v>226.029999</v>
      </c>
      <c r="E2016" s="22">
        <f ca="1"/>
        <v>223.020004</v>
      </c>
      <c r="F2016" s="22">
        <f ca="1"/>
        <v>224.96000699999999</v>
      </c>
      <c r="G2016" s="22">
        <f ca="1"/>
        <v>221.019012</v>
      </c>
      <c r="H2016" s="69">
        <f ca="1"/>
        <v>17933500</v>
      </c>
      <c r="I2016" s="23" t="str">
        <f t="shared" ca="1" si="63"/>
        <v/>
      </c>
    </row>
    <row r="2017" spans="1:9" ht="13.8">
      <c r="A2017" s="20">
        <f t="shared" ca="1" si="62"/>
        <v>44194</v>
      </c>
      <c r="B2017" s="21" t="str">
        <f ca="1"/>
        <v>2020-12-29</v>
      </c>
      <c r="C2017" s="22">
        <f ca="1"/>
        <v>226.30999800000001</v>
      </c>
      <c r="D2017" s="22">
        <f ca="1"/>
        <v>227.179993</v>
      </c>
      <c r="E2017" s="22">
        <f ca="1"/>
        <v>223.58000200000001</v>
      </c>
      <c r="F2017" s="22">
        <f ca="1"/>
        <v>224.14999399999999</v>
      </c>
      <c r="G2017" s="22">
        <f ca="1"/>
        <v>220.223175</v>
      </c>
      <c r="H2017" s="69">
        <f ca="1"/>
        <v>17403200</v>
      </c>
      <c r="I2017" s="23" t="str">
        <f t="shared" ca="1" si="63"/>
        <v/>
      </c>
    </row>
    <row r="2018" spans="1:9" ht="13.8">
      <c r="A2018" s="20">
        <f t="shared" ca="1" si="62"/>
        <v>44195</v>
      </c>
      <c r="B2018" s="21" t="str">
        <f ca="1"/>
        <v>2020-12-30</v>
      </c>
      <c r="C2018" s="22">
        <f ca="1"/>
        <v>225.229996</v>
      </c>
      <c r="D2018" s="22">
        <f ca="1"/>
        <v>225.63000500000001</v>
      </c>
      <c r="E2018" s="22">
        <f ca="1"/>
        <v>221.470001</v>
      </c>
      <c r="F2018" s="22">
        <f ca="1"/>
        <v>221.679993</v>
      </c>
      <c r="G2018" s="22">
        <f ca="1"/>
        <v>217.796448</v>
      </c>
      <c r="H2018" s="69">
        <f ca="1"/>
        <v>20272300</v>
      </c>
      <c r="I2018" s="23" t="str">
        <f t="shared" ca="1" si="63"/>
        <v/>
      </c>
    </row>
    <row r="2019" spans="1:9" ht="13.8">
      <c r="A2019" s="20">
        <f t="shared" ca="1" si="62"/>
        <v>44196</v>
      </c>
      <c r="B2019" s="21" t="str">
        <f ca="1"/>
        <v>2020-12-31</v>
      </c>
      <c r="C2019" s="22">
        <f ca="1"/>
        <v>221.699997</v>
      </c>
      <c r="D2019" s="22">
        <f ca="1"/>
        <v>223</v>
      </c>
      <c r="E2019" s="22">
        <f ca="1"/>
        <v>219.679993</v>
      </c>
      <c r="F2019" s="22">
        <f ca="1"/>
        <v>222.41999799999999</v>
      </c>
      <c r="G2019" s="22">
        <f ca="1"/>
        <v>218.52349899999999</v>
      </c>
      <c r="H2019" s="69">
        <f ca="1"/>
        <v>20942100</v>
      </c>
      <c r="I2019" s="23" t="str">
        <f t="shared" ca="1" si="63"/>
        <v/>
      </c>
    </row>
    <row r="2020" spans="1:9" ht="13.8">
      <c r="A2020" s="20">
        <f t="shared" ca="1" si="62"/>
        <v>44200</v>
      </c>
      <c r="B2020" s="21" t="str">
        <f ca="1"/>
        <v>2021-01-04</v>
      </c>
      <c r="C2020" s="22">
        <f ca="1"/>
        <v>222.529999</v>
      </c>
      <c r="D2020" s="22">
        <f ca="1"/>
        <v>223</v>
      </c>
      <c r="E2020" s="22">
        <f ca="1"/>
        <v>214.80999800000001</v>
      </c>
      <c r="F2020" s="22">
        <f ca="1"/>
        <v>217.69000199999999</v>
      </c>
      <c r="G2020" s="22">
        <f ca="1"/>
        <v>213.876373</v>
      </c>
      <c r="H2020" s="69">
        <f ca="1"/>
        <v>37130100</v>
      </c>
      <c r="I2020" s="23" t="str">
        <f t="shared" ca="1" si="63"/>
        <v/>
      </c>
    </row>
    <row r="2021" spans="1:9" ht="13.8">
      <c r="A2021" s="20">
        <f t="shared" ca="1" si="62"/>
        <v>44201</v>
      </c>
      <c r="B2021" s="21" t="str">
        <f ca="1"/>
        <v>2021-01-05</v>
      </c>
      <c r="C2021" s="22">
        <f ca="1"/>
        <v>217.259995</v>
      </c>
      <c r="D2021" s="22">
        <f ca="1"/>
        <v>218.520004</v>
      </c>
      <c r="E2021" s="22">
        <f ca="1"/>
        <v>215.699997</v>
      </c>
      <c r="F2021" s="22">
        <f ca="1"/>
        <v>217.89999399999999</v>
      </c>
      <c r="G2021" s="22">
        <f ca="1"/>
        <v>214.08268699999999</v>
      </c>
      <c r="H2021" s="69">
        <f ca="1"/>
        <v>23823000</v>
      </c>
      <c r="I2021" s="23" t="str">
        <f t="shared" ca="1" si="63"/>
        <v/>
      </c>
    </row>
    <row r="2022" spans="1:9" ht="13.8">
      <c r="A2022" s="20">
        <f t="shared" ca="1" si="62"/>
        <v>44202</v>
      </c>
      <c r="B2022" s="21" t="str">
        <f ca="1"/>
        <v>2021-01-06</v>
      </c>
      <c r="C2022" s="22">
        <f ca="1"/>
        <v>212.16999799999999</v>
      </c>
      <c r="D2022" s="22">
        <f ca="1"/>
        <v>216.490005</v>
      </c>
      <c r="E2022" s="22">
        <f ca="1"/>
        <v>211.94000199999999</v>
      </c>
      <c r="F2022" s="22">
        <f ca="1"/>
        <v>212.25</v>
      </c>
      <c r="G2022" s="22">
        <f ca="1"/>
        <v>208.53166200000001</v>
      </c>
      <c r="H2022" s="69">
        <f ca="1"/>
        <v>35930700</v>
      </c>
      <c r="I2022" s="23" t="str">
        <f t="shared" ca="1" si="63"/>
        <v/>
      </c>
    </row>
    <row r="2023" spans="1:9" ht="13.8">
      <c r="A2023" s="20">
        <f t="shared" ca="1" si="62"/>
        <v>44203</v>
      </c>
      <c r="B2023" s="21" t="str">
        <f ca="1"/>
        <v>2021-01-07</v>
      </c>
      <c r="C2023" s="22">
        <f ca="1"/>
        <v>214.03999300000001</v>
      </c>
      <c r="D2023" s="22">
        <f ca="1"/>
        <v>219.33999600000001</v>
      </c>
      <c r="E2023" s="22">
        <f ca="1"/>
        <v>213.71000699999999</v>
      </c>
      <c r="F2023" s="22">
        <f ca="1"/>
        <v>218.28999300000001</v>
      </c>
      <c r="G2023" s="22">
        <f ca="1"/>
        <v>214.46586600000001</v>
      </c>
      <c r="H2023" s="69">
        <f ca="1"/>
        <v>27694500</v>
      </c>
      <c r="I2023" s="23" t="str">
        <f t="shared" ca="1" si="63"/>
        <v/>
      </c>
    </row>
    <row r="2024" spans="1:9" ht="13.8">
      <c r="A2024" s="20">
        <f t="shared" ca="1" si="62"/>
        <v>44204</v>
      </c>
      <c r="B2024" s="21" t="str">
        <f ca="1"/>
        <v>2021-01-08</v>
      </c>
      <c r="C2024" s="22">
        <f ca="1"/>
        <v>218.679993</v>
      </c>
      <c r="D2024" s="22">
        <f ca="1"/>
        <v>220.58000200000001</v>
      </c>
      <c r="E2024" s="22">
        <f ca="1"/>
        <v>217.029999</v>
      </c>
      <c r="F2024" s="22">
        <f ca="1"/>
        <v>219.61999499999999</v>
      </c>
      <c r="G2024" s="22">
        <f ca="1"/>
        <v>215.77256800000001</v>
      </c>
      <c r="H2024" s="69">
        <f ca="1"/>
        <v>22956200</v>
      </c>
      <c r="I2024" s="23" t="str">
        <f t="shared" ca="1" si="63"/>
        <v/>
      </c>
    </row>
    <row r="2025" spans="1:9" ht="13.8">
      <c r="A2025" s="20">
        <f t="shared" ca="1" si="62"/>
        <v>44207</v>
      </c>
      <c r="B2025" s="21" t="str">
        <f ca="1"/>
        <v>2021-01-11</v>
      </c>
      <c r="C2025" s="22">
        <f ca="1"/>
        <v>218.470001</v>
      </c>
      <c r="D2025" s="22">
        <f ca="1"/>
        <v>218.91000399999999</v>
      </c>
      <c r="E2025" s="22">
        <f ca="1"/>
        <v>216.729996</v>
      </c>
      <c r="F2025" s="22">
        <f ca="1"/>
        <v>217.490005</v>
      </c>
      <c r="G2025" s="22">
        <f ca="1"/>
        <v>213.679901</v>
      </c>
      <c r="H2025" s="69">
        <f ca="1"/>
        <v>23031300</v>
      </c>
      <c r="I2025" s="23" t="str">
        <f t="shared" ca="1" si="63"/>
        <v/>
      </c>
    </row>
    <row r="2026" spans="1:9" ht="13.8">
      <c r="A2026" s="20">
        <f t="shared" ca="1" si="62"/>
        <v>44208</v>
      </c>
      <c r="B2026" s="21" t="str">
        <f ca="1"/>
        <v>2021-01-12</v>
      </c>
      <c r="C2026" s="22">
        <f ca="1"/>
        <v>216.5</v>
      </c>
      <c r="D2026" s="22">
        <f ca="1"/>
        <v>217.10000600000001</v>
      </c>
      <c r="E2026" s="22">
        <f ca="1"/>
        <v>213.320007</v>
      </c>
      <c r="F2026" s="22">
        <f ca="1"/>
        <v>214.929993</v>
      </c>
      <c r="G2026" s="22">
        <f ca="1"/>
        <v>211.164703</v>
      </c>
      <c r="H2026" s="69">
        <f ca="1"/>
        <v>23249300</v>
      </c>
      <c r="I2026" s="23" t="str">
        <f t="shared" ca="1" si="63"/>
        <v/>
      </c>
    </row>
    <row r="2027" spans="1:9" ht="13.8">
      <c r="A2027" s="20">
        <f t="shared" ca="1" si="62"/>
        <v>44209</v>
      </c>
      <c r="B2027" s="21" t="str">
        <f ca="1"/>
        <v>2021-01-13</v>
      </c>
      <c r="C2027" s="22">
        <f ca="1"/>
        <v>214.020004</v>
      </c>
      <c r="D2027" s="22">
        <f ca="1"/>
        <v>216.759995</v>
      </c>
      <c r="E2027" s="22">
        <f ca="1"/>
        <v>213.929993</v>
      </c>
      <c r="F2027" s="22">
        <f ca="1"/>
        <v>216.33999600000001</v>
      </c>
      <c r="G2027" s="22">
        <f ca="1"/>
        <v>212.55003400000001</v>
      </c>
      <c r="H2027" s="69">
        <f ca="1"/>
        <v>20087100</v>
      </c>
      <c r="I2027" s="23" t="str">
        <f t="shared" ca="1" si="63"/>
        <v/>
      </c>
    </row>
    <row r="2028" spans="1:9" ht="13.8">
      <c r="A2028" s="20">
        <f t="shared" ca="1" si="62"/>
        <v>44210</v>
      </c>
      <c r="B2028" s="21" t="str">
        <f ca="1"/>
        <v>2021-01-14</v>
      </c>
      <c r="C2028" s="22">
        <f ca="1"/>
        <v>215.91000399999999</v>
      </c>
      <c r="D2028" s="22">
        <f ca="1"/>
        <v>217.46000699999999</v>
      </c>
      <c r="E2028" s="22">
        <f ca="1"/>
        <v>212.740005</v>
      </c>
      <c r="F2028" s="22">
        <f ca="1"/>
        <v>213.020004</v>
      </c>
      <c r="G2028" s="22">
        <f ca="1"/>
        <v>209.28817699999999</v>
      </c>
      <c r="H2028" s="69">
        <f ca="1"/>
        <v>29480800</v>
      </c>
      <c r="I2028" s="23" t="str">
        <f t="shared" ca="1" si="63"/>
        <v/>
      </c>
    </row>
    <row r="2029" spans="1:9" ht="13.8">
      <c r="A2029" s="20">
        <f t="shared" ca="1" si="62"/>
        <v>44211</v>
      </c>
      <c r="B2029" s="21" t="str">
        <f ca="1"/>
        <v>2021-01-15</v>
      </c>
      <c r="C2029" s="22">
        <f ca="1"/>
        <v>213.520004</v>
      </c>
      <c r="D2029" s="22">
        <f ca="1"/>
        <v>214.509995</v>
      </c>
      <c r="E2029" s="22">
        <f ca="1"/>
        <v>212.029999</v>
      </c>
      <c r="F2029" s="22">
        <f ca="1"/>
        <v>212.64999399999999</v>
      </c>
      <c r="G2029" s="22">
        <f ca="1"/>
        <v>208.92468299999999</v>
      </c>
      <c r="H2029" s="69">
        <f ca="1"/>
        <v>31746500</v>
      </c>
      <c r="I2029" s="23" t="str">
        <f t="shared" ca="1" si="63"/>
        <v/>
      </c>
    </row>
    <row r="2030" spans="1:9" ht="13.8">
      <c r="A2030" s="20">
        <f t="shared" ca="1" si="62"/>
        <v>44215</v>
      </c>
      <c r="B2030" s="21" t="str">
        <f ca="1"/>
        <v>2021-01-19</v>
      </c>
      <c r="C2030" s="22">
        <f ca="1"/>
        <v>213.75</v>
      </c>
      <c r="D2030" s="22">
        <f ca="1"/>
        <v>216.979996</v>
      </c>
      <c r="E2030" s="22">
        <f ca="1"/>
        <v>212.63000500000001</v>
      </c>
      <c r="F2030" s="22">
        <f ca="1"/>
        <v>216.44000199999999</v>
      </c>
      <c r="G2030" s="22">
        <f ca="1"/>
        <v>212.64827</v>
      </c>
      <c r="H2030" s="69">
        <f ca="1"/>
        <v>30480900</v>
      </c>
      <c r="I2030" s="23" t="str">
        <f t="shared" ca="1" si="63"/>
        <v/>
      </c>
    </row>
    <row r="2031" spans="1:9" ht="13.8">
      <c r="A2031" s="20">
        <f t="shared" ca="1" si="62"/>
        <v>44216</v>
      </c>
      <c r="B2031" s="21" t="str">
        <f ca="1"/>
        <v>2021-01-20</v>
      </c>
      <c r="C2031" s="22">
        <f ca="1"/>
        <v>217.699997</v>
      </c>
      <c r="D2031" s="22">
        <f ca="1"/>
        <v>225.78999300000001</v>
      </c>
      <c r="E2031" s="22">
        <f ca="1"/>
        <v>217.28999300000001</v>
      </c>
      <c r="F2031" s="22">
        <f ca="1"/>
        <v>224.33999600000001</v>
      </c>
      <c r="G2031" s="22">
        <f ca="1"/>
        <v>220.409851</v>
      </c>
      <c r="H2031" s="69">
        <f ca="1"/>
        <v>37777300</v>
      </c>
      <c r="I2031" s="23" t="str">
        <f t="shared" ca="1" si="63"/>
        <v/>
      </c>
    </row>
    <row r="2032" spans="1:9" ht="13.8">
      <c r="A2032" s="20">
        <f t="shared" ca="1" si="62"/>
        <v>44217</v>
      </c>
      <c r="B2032" s="21" t="str">
        <f ca="1"/>
        <v>2021-01-21</v>
      </c>
      <c r="C2032" s="22">
        <f ca="1"/>
        <v>224.699997</v>
      </c>
      <c r="D2032" s="22">
        <f ca="1"/>
        <v>226.300003</v>
      </c>
      <c r="E2032" s="22">
        <f ca="1"/>
        <v>222.41999799999999</v>
      </c>
      <c r="F2032" s="22">
        <f ca="1"/>
        <v>224.970001</v>
      </c>
      <c r="G2032" s="22">
        <f ca="1"/>
        <v>221.02882399999999</v>
      </c>
      <c r="H2032" s="69">
        <f ca="1"/>
        <v>30709400</v>
      </c>
      <c r="I2032" s="23" t="str">
        <f t="shared" ca="1" si="63"/>
        <v/>
      </c>
    </row>
    <row r="2033" spans="1:9" ht="13.8">
      <c r="A2033" s="20">
        <f t="shared" ca="1" si="62"/>
        <v>44218</v>
      </c>
      <c r="B2033" s="21" t="str">
        <f ca="1"/>
        <v>2021-01-22</v>
      </c>
      <c r="C2033" s="22">
        <f ca="1"/>
        <v>227.08000200000001</v>
      </c>
      <c r="D2033" s="22">
        <f ca="1"/>
        <v>230.070007</v>
      </c>
      <c r="E2033" s="22">
        <f ca="1"/>
        <v>225.800003</v>
      </c>
      <c r="F2033" s="22">
        <f ca="1"/>
        <v>225.949997</v>
      </c>
      <c r="G2033" s="22">
        <f ca="1"/>
        <v>221.99163799999999</v>
      </c>
      <c r="H2033" s="69">
        <f ca="1"/>
        <v>30172700</v>
      </c>
      <c r="I2033" s="23" t="str">
        <f t="shared" ca="1" si="63"/>
        <v/>
      </c>
    </row>
    <row r="2034" spans="1:9" ht="13.8">
      <c r="A2034" s="20">
        <f t="shared" ca="1" si="62"/>
        <v>44221</v>
      </c>
      <c r="B2034" s="21" t="str">
        <f ca="1"/>
        <v>2021-01-25</v>
      </c>
      <c r="C2034" s="22">
        <f ca="1"/>
        <v>229.11999499999999</v>
      </c>
      <c r="D2034" s="22">
        <f ca="1"/>
        <v>229.779999</v>
      </c>
      <c r="E2034" s="22">
        <f ca="1"/>
        <v>224.220001</v>
      </c>
      <c r="F2034" s="22">
        <f ca="1"/>
        <v>229.529999</v>
      </c>
      <c r="G2034" s="22">
        <f ca="1"/>
        <v>225.50894199999999</v>
      </c>
      <c r="H2034" s="69">
        <f ca="1"/>
        <v>33152100</v>
      </c>
      <c r="I2034" s="23" t="str">
        <f t="shared" ca="1" si="63"/>
        <v/>
      </c>
    </row>
    <row r="2035" spans="1:9" ht="13.8">
      <c r="A2035" s="20">
        <f t="shared" ca="1" si="62"/>
        <v>44222</v>
      </c>
      <c r="B2035" s="21" t="str">
        <f ca="1"/>
        <v>2021-01-26</v>
      </c>
      <c r="C2035" s="22">
        <f ca="1"/>
        <v>231.86000100000001</v>
      </c>
      <c r="D2035" s="22">
        <f ca="1"/>
        <v>234.179993</v>
      </c>
      <c r="E2035" s="22">
        <f ca="1"/>
        <v>230.08000200000001</v>
      </c>
      <c r="F2035" s="22">
        <f ca="1"/>
        <v>232.33000200000001</v>
      </c>
      <c r="G2035" s="22">
        <f ca="1"/>
        <v>228.25988799999999</v>
      </c>
      <c r="H2035" s="69">
        <f ca="1"/>
        <v>49169600</v>
      </c>
      <c r="I2035" s="23" t="str">
        <f t="shared" ca="1" si="63"/>
        <v/>
      </c>
    </row>
    <row r="2036" spans="1:9" ht="13.8">
      <c r="A2036" s="20">
        <f t="shared" ca="1" si="62"/>
        <v>44223</v>
      </c>
      <c r="B2036" s="21" t="str">
        <f ca="1"/>
        <v>2021-01-27</v>
      </c>
      <c r="C2036" s="22">
        <f ca="1"/>
        <v>238</v>
      </c>
      <c r="D2036" s="22">
        <f ca="1"/>
        <v>240.44000199999999</v>
      </c>
      <c r="E2036" s="22">
        <f ca="1"/>
        <v>230.13999899999999</v>
      </c>
      <c r="F2036" s="22">
        <f ca="1"/>
        <v>232.89999399999999</v>
      </c>
      <c r="G2036" s="22">
        <f ca="1"/>
        <v>228.81991600000001</v>
      </c>
      <c r="H2036" s="69">
        <f ca="1"/>
        <v>69870600</v>
      </c>
      <c r="I2036" s="23" t="str">
        <f t="shared" ca="1" si="63"/>
        <v/>
      </c>
    </row>
    <row r="2037" spans="1:9" ht="13.8">
      <c r="A2037" s="20">
        <f t="shared" ca="1" si="62"/>
        <v>44224</v>
      </c>
      <c r="B2037" s="21" t="str">
        <f ca="1"/>
        <v>2021-01-28</v>
      </c>
      <c r="C2037" s="22">
        <f ca="1"/>
        <v>235.61000100000001</v>
      </c>
      <c r="D2037" s="22">
        <f ca="1"/>
        <v>242.63999899999999</v>
      </c>
      <c r="E2037" s="22">
        <f ca="1"/>
        <v>235.08999600000001</v>
      </c>
      <c r="F2037" s="22">
        <f ca="1"/>
        <v>238.929993</v>
      </c>
      <c r="G2037" s="22">
        <f ca="1"/>
        <v>234.74427800000001</v>
      </c>
      <c r="H2037" s="69">
        <f ca="1"/>
        <v>49111200</v>
      </c>
      <c r="I2037" s="23" t="str">
        <f t="shared" ca="1" si="63"/>
        <v/>
      </c>
    </row>
    <row r="2038" spans="1:9" ht="13.8">
      <c r="A2038" s="20">
        <f t="shared" ca="1" si="62"/>
        <v>44225</v>
      </c>
      <c r="B2038" s="21" t="str">
        <f ca="1"/>
        <v>2021-01-29</v>
      </c>
      <c r="C2038" s="22">
        <f ca="1"/>
        <v>235.990005</v>
      </c>
      <c r="D2038" s="22">
        <f ca="1"/>
        <v>238.020004</v>
      </c>
      <c r="E2038" s="22">
        <f ca="1"/>
        <v>231.35000600000001</v>
      </c>
      <c r="F2038" s="22">
        <f ca="1"/>
        <v>231.96000699999999</v>
      </c>
      <c r="G2038" s="22">
        <f ca="1"/>
        <v>227.89640800000001</v>
      </c>
      <c r="H2038" s="69">
        <f ca="1"/>
        <v>42503100</v>
      </c>
      <c r="I2038" s="23" t="str">
        <f t="shared" ca="1" si="63"/>
        <v/>
      </c>
    </row>
    <row r="2039" spans="1:9" ht="13.8">
      <c r="A2039" s="20">
        <f t="shared" ca="1" si="62"/>
        <v>44228</v>
      </c>
      <c r="B2039" s="21" t="str">
        <f ca="1"/>
        <v>2021-02-01</v>
      </c>
      <c r="C2039" s="22">
        <f ca="1"/>
        <v>235.05999800000001</v>
      </c>
      <c r="D2039" s="22">
        <f ca="1"/>
        <v>242.5</v>
      </c>
      <c r="E2039" s="22">
        <f ca="1"/>
        <v>232.429993</v>
      </c>
      <c r="F2039" s="22">
        <f ca="1"/>
        <v>239.64999399999999</v>
      </c>
      <c r="G2039" s="22">
        <f ca="1"/>
        <v>235.45166</v>
      </c>
      <c r="H2039" s="69">
        <f ca="1"/>
        <v>33314200</v>
      </c>
      <c r="I2039" s="23" t="str">
        <f t="shared" ca="1" si="63"/>
        <v/>
      </c>
    </row>
    <row r="2040" spans="1:9" ht="13.8">
      <c r="A2040" s="20">
        <f t="shared" ca="1" si="62"/>
        <v>44229</v>
      </c>
      <c r="B2040" s="21" t="str">
        <f ca="1"/>
        <v>2021-02-02</v>
      </c>
      <c r="C2040" s="22">
        <f ca="1"/>
        <v>241.300003</v>
      </c>
      <c r="D2040" s="22">
        <f ca="1"/>
        <v>242.30999800000001</v>
      </c>
      <c r="E2040" s="22">
        <f ca="1"/>
        <v>238.69000199999999</v>
      </c>
      <c r="F2040" s="22">
        <f ca="1"/>
        <v>239.509995</v>
      </c>
      <c r="G2040" s="22">
        <f ca="1"/>
        <v>235.31411700000001</v>
      </c>
      <c r="H2040" s="69">
        <f ca="1"/>
        <v>25916300</v>
      </c>
      <c r="I2040" s="23" t="str">
        <f t="shared" ca="1" si="63"/>
        <v/>
      </c>
    </row>
    <row r="2041" spans="1:9" ht="13.8">
      <c r="A2041" s="20">
        <f t="shared" ca="1" si="62"/>
        <v>44230</v>
      </c>
      <c r="B2041" s="21" t="str">
        <f ca="1"/>
        <v>2021-02-03</v>
      </c>
      <c r="C2041" s="22">
        <f ca="1"/>
        <v>239.570007</v>
      </c>
      <c r="D2041" s="22">
        <f ca="1"/>
        <v>245.08999600000001</v>
      </c>
      <c r="E2041" s="22">
        <f ca="1"/>
        <v>239.259995</v>
      </c>
      <c r="F2041" s="22">
        <f ca="1"/>
        <v>243</v>
      </c>
      <c r="G2041" s="22">
        <f ca="1"/>
        <v>238.74298099999999</v>
      </c>
      <c r="H2041" s="69">
        <f ca="1"/>
        <v>27158100</v>
      </c>
      <c r="I2041" s="23" t="str">
        <f t="shared" ca="1" si="63"/>
        <v/>
      </c>
    </row>
    <row r="2042" spans="1:9" ht="13.8">
      <c r="A2042" s="20">
        <f t="shared" ca="1" si="62"/>
        <v>44231</v>
      </c>
      <c r="B2042" s="21" t="str">
        <f ca="1"/>
        <v>2021-02-04</v>
      </c>
      <c r="C2042" s="22">
        <f ca="1"/>
        <v>242.66000399999999</v>
      </c>
      <c r="D2042" s="22">
        <f ca="1"/>
        <v>243.240005</v>
      </c>
      <c r="E2042" s="22">
        <f ca="1"/>
        <v>240.36999499999999</v>
      </c>
      <c r="F2042" s="22">
        <f ca="1"/>
        <v>242.009995</v>
      </c>
      <c r="G2042" s="22">
        <f ca="1"/>
        <v>237.77029400000001</v>
      </c>
      <c r="H2042" s="69">
        <f ca="1"/>
        <v>25296100</v>
      </c>
      <c r="I2042" s="23" t="str">
        <f t="shared" ca="1" si="63"/>
        <v/>
      </c>
    </row>
    <row r="2043" spans="1:9" ht="13.8">
      <c r="A2043" s="20">
        <f t="shared" ca="1" si="62"/>
        <v>44232</v>
      </c>
      <c r="B2043" s="21" t="str">
        <f ca="1"/>
        <v>2021-02-05</v>
      </c>
      <c r="C2043" s="22">
        <f ca="1"/>
        <v>242.229996</v>
      </c>
      <c r="D2043" s="22">
        <f ca="1"/>
        <v>243.279999</v>
      </c>
      <c r="E2043" s="22">
        <f ca="1"/>
        <v>240.41999799999999</v>
      </c>
      <c r="F2043" s="22">
        <f ca="1"/>
        <v>242.199997</v>
      </c>
      <c r="G2043" s="22">
        <f ca="1"/>
        <v>237.95701600000001</v>
      </c>
      <c r="H2043" s="69">
        <f ca="1"/>
        <v>18054800</v>
      </c>
      <c r="I2043" s="23" t="str">
        <f t="shared" ca="1" si="63"/>
        <v/>
      </c>
    </row>
    <row r="2044" spans="1:9" ht="13.8">
      <c r="A2044" s="20">
        <f t="shared" ca="1" si="62"/>
        <v>44235</v>
      </c>
      <c r="B2044" s="21" t="str">
        <f ca="1"/>
        <v>2021-02-08</v>
      </c>
      <c r="C2044" s="22">
        <f ca="1"/>
        <v>243.14999399999999</v>
      </c>
      <c r="D2044" s="22">
        <f ca="1"/>
        <v>243.679993</v>
      </c>
      <c r="E2044" s="22">
        <f ca="1"/>
        <v>240.80999800000001</v>
      </c>
      <c r="F2044" s="22">
        <f ca="1"/>
        <v>242.470001</v>
      </c>
      <c r="G2044" s="22">
        <f ca="1"/>
        <v>238.222275</v>
      </c>
      <c r="H2044" s="69">
        <f ca="1"/>
        <v>22211900</v>
      </c>
      <c r="I2044" s="23" t="str">
        <f t="shared" ca="1" si="63"/>
        <v/>
      </c>
    </row>
    <row r="2045" spans="1:9" ht="13.8">
      <c r="A2045" s="20">
        <f t="shared" ca="1" si="62"/>
        <v>44236</v>
      </c>
      <c r="B2045" s="21" t="str">
        <f ca="1"/>
        <v>2021-02-09</v>
      </c>
      <c r="C2045" s="22">
        <f ca="1"/>
        <v>241.86999499999999</v>
      </c>
      <c r="D2045" s="22">
        <f ca="1"/>
        <v>244.759995</v>
      </c>
      <c r="E2045" s="22">
        <f ca="1"/>
        <v>241.38000500000001</v>
      </c>
      <c r="F2045" s="22">
        <f ca="1"/>
        <v>243.770004</v>
      </c>
      <c r="G2045" s="22">
        <f ca="1"/>
        <v>239.49949599999999</v>
      </c>
      <c r="H2045" s="69">
        <f ca="1"/>
        <v>23565000</v>
      </c>
      <c r="I2045" s="23" t="str">
        <f t="shared" ca="1" si="63"/>
        <v/>
      </c>
    </row>
    <row r="2046" spans="1:9" ht="13.8">
      <c r="A2046" s="20">
        <f t="shared" ca="1" si="62"/>
        <v>44237</v>
      </c>
      <c r="B2046" s="21" t="str">
        <f ca="1"/>
        <v>2021-02-10</v>
      </c>
      <c r="C2046" s="22">
        <f ca="1"/>
        <v>245</v>
      </c>
      <c r="D2046" s="22">
        <f ca="1"/>
        <v>245.91999799999999</v>
      </c>
      <c r="E2046" s="22">
        <f ca="1"/>
        <v>240.88999899999999</v>
      </c>
      <c r="F2046" s="22">
        <f ca="1"/>
        <v>242.820007</v>
      </c>
      <c r="G2046" s="22">
        <f ca="1"/>
        <v>238.56613200000001</v>
      </c>
      <c r="H2046" s="69">
        <f ca="1"/>
        <v>22186700</v>
      </c>
      <c r="I2046" s="23" t="str">
        <f t="shared" ca="1" si="63"/>
        <v/>
      </c>
    </row>
    <row r="2047" spans="1:9" ht="13.8">
      <c r="A2047" s="20">
        <f t="shared" ca="1" si="62"/>
        <v>44238</v>
      </c>
      <c r="B2047" s="21" t="str">
        <f ca="1"/>
        <v>2021-02-11</v>
      </c>
      <c r="C2047" s="22">
        <f ca="1"/>
        <v>244.779999</v>
      </c>
      <c r="D2047" s="22">
        <f ca="1"/>
        <v>245.14999399999999</v>
      </c>
      <c r="E2047" s="22">
        <f ca="1"/>
        <v>242.14999399999999</v>
      </c>
      <c r="F2047" s="22">
        <f ca="1"/>
        <v>244.490005</v>
      </c>
      <c r="G2047" s="22">
        <f ca="1"/>
        <v>240.20689400000001</v>
      </c>
      <c r="H2047" s="69">
        <f ca="1"/>
        <v>15751100</v>
      </c>
      <c r="I2047" s="23" t="str">
        <f t="shared" ca="1" si="63"/>
        <v/>
      </c>
    </row>
    <row r="2048" spans="1:9" ht="13.8">
      <c r="A2048" s="20">
        <f t="shared" ca="1" si="62"/>
        <v>44239</v>
      </c>
      <c r="B2048" s="21" t="str">
        <f ca="1"/>
        <v>2021-02-12</v>
      </c>
      <c r="C2048" s="22">
        <f ca="1"/>
        <v>243.929993</v>
      </c>
      <c r="D2048" s="22">
        <f ca="1"/>
        <v>245.300003</v>
      </c>
      <c r="E2048" s="22">
        <f ca="1"/>
        <v>242.729996</v>
      </c>
      <c r="F2048" s="22">
        <f ca="1"/>
        <v>244.990005</v>
      </c>
      <c r="G2048" s="22">
        <f ca="1"/>
        <v>240.69809000000001</v>
      </c>
      <c r="H2048" s="69">
        <f ca="1"/>
        <v>16561100</v>
      </c>
      <c r="I2048" s="23" t="str">
        <f t="shared" ca="1" si="63"/>
        <v/>
      </c>
    </row>
    <row r="2049" spans="1:9" ht="13.8">
      <c r="A2049" s="20">
        <f t="shared" ca="1" si="62"/>
        <v>44243</v>
      </c>
      <c r="B2049" s="21" t="str">
        <f ca="1"/>
        <v>2021-02-16</v>
      </c>
      <c r="C2049" s="22">
        <f ca="1"/>
        <v>245.029999</v>
      </c>
      <c r="D2049" s="22">
        <f ca="1"/>
        <v>246.13000500000001</v>
      </c>
      <c r="E2049" s="22">
        <f ca="1"/>
        <v>242.91999799999999</v>
      </c>
      <c r="F2049" s="22">
        <f ca="1"/>
        <v>243.699997</v>
      </c>
      <c r="G2049" s="22">
        <f ca="1"/>
        <v>239.43069499999999</v>
      </c>
      <c r="H2049" s="69">
        <f ca="1"/>
        <v>26728500</v>
      </c>
      <c r="I2049" s="23" t="str">
        <f t="shared" ca="1" si="63"/>
        <v/>
      </c>
    </row>
    <row r="2050" spans="1:9" ht="13.8">
      <c r="A2050" s="20">
        <f t="shared" ca="1" si="62"/>
        <v>44244</v>
      </c>
      <c r="B2050" s="21" t="str">
        <f ca="1"/>
        <v>2021-02-17</v>
      </c>
      <c r="C2050" s="22">
        <f ca="1"/>
        <v>241.320007</v>
      </c>
      <c r="D2050" s="22">
        <f ca="1"/>
        <v>244.30999800000001</v>
      </c>
      <c r="E2050" s="22">
        <f ca="1"/>
        <v>240.94000199999999</v>
      </c>
      <c r="F2050" s="22">
        <f ca="1"/>
        <v>244.199997</v>
      </c>
      <c r="G2050" s="22">
        <f ca="1"/>
        <v>240.47451799999999</v>
      </c>
      <c r="H2050" s="69">
        <f ca="1"/>
        <v>21653500</v>
      </c>
      <c r="I2050" s="23">
        <f t="shared" ca="1" si="63"/>
        <v>0.56000000000000005</v>
      </c>
    </row>
    <row r="2051" spans="1:9" ht="13.8">
      <c r="A2051" s="20">
        <f t="shared" ca="1" si="62"/>
        <v>44245</v>
      </c>
      <c r="B2051" s="21" t="str">
        <f ca="1"/>
        <v>2021-02-18</v>
      </c>
      <c r="C2051" s="22">
        <f ca="1"/>
        <v>241.800003</v>
      </c>
      <c r="D2051" s="22">
        <f ca="1"/>
        <v>243.929993</v>
      </c>
      <c r="E2051" s="22">
        <f ca="1"/>
        <v>240.86000100000001</v>
      </c>
      <c r="F2051" s="22">
        <f ca="1"/>
        <v>243.78999300000001</v>
      </c>
      <c r="G2051" s="22">
        <f ca="1"/>
        <v>240.07077000000001</v>
      </c>
      <c r="H2051" s="69">
        <f ca="1"/>
        <v>16925600</v>
      </c>
      <c r="I2051" s="23" t="str">
        <f t="shared" ca="1" si="63"/>
        <v/>
      </c>
    </row>
    <row r="2052" spans="1:9" ht="13.8">
      <c r="A2052" s="20">
        <f t="shared" ca="1" si="62"/>
        <v>44246</v>
      </c>
      <c r="B2052" s="21" t="str">
        <f ca="1"/>
        <v>2021-02-19</v>
      </c>
      <c r="C2052" s="22">
        <f ca="1"/>
        <v>243.75</v>
      </c>
      <c r="D2052" s="22">
        <f ca="1"/>
        <v>243.86000100000001</v>
      </c>
      <c r="E2052" s="22">
        <f ca="1"/>
        <v>240.179993</v>
      </c>
      <c r="F2052" s="22">
        <f ca="1"/>
        <v>240.970001</v>
      </c>
      <c r="G2052" s="22">
        <f ca="1"/>
        <v>237.293823</v>
      </c>
      <c r="H2052" s="69">
        <f ca="1"/>
        <v>25262600</v>
      </c>
      <c r="I2052" s="23" t="str">
        <f t="shared" ca="1" si="63"/>
        <v/>
      </c>
    </row>
    <row r="2053" spans="1:9" ht="13.8">
      <c r="A2053" s="20">
        <f t="shared" ca="1" si="62"/>
        <v>44249</v>
      </c>
      <c r="B2053" s="21" t="str">
        <f ca="1"/>
        <v>2021-02-22</v>
      </c>
      <c r="C2053" s="22">
        <f ca="1"/>
        <v>237.41999799999999</v>
      </c>
      <c r="D2053" s="22">
        <f ca="1"/>
        <v>237.929993</v>
      </c>
      <c r="E2053" s="22">
        <f ca="1"/>
        <v>232.39999399999999</v>
      </c>
      <c r="F2053" s="22">
        <f ca="1"/>
        <v>234.509995</v>
      </c>
      <c r="G2053" s="22">
        <f ca="1"/>
        <v>230.93237300000001</v>
      </c>
      <c r="H2053" s="69">
        <f ca="1"/>
        <v>36446900</v>
      </c>
      <c r="I2053" s="23" t="str">
        <f t="shared" ca="1" si="63"/>
        <v/>
      </c>
    </row>
    <row r="2054" spans="1:9" ht="13.8">
      <c r="A2054" s="20">
        <f t="shared" ref="A2054:A2117" ca="1" si="64">IFERROR(DATEVALUE($B2054),"--")</f>
        <v>44250</v>
      </c>
      <c r="B2054" s="21" t="str">
        <f ca="1"/>
        <v>2021-02-23</v>
      </c>
      <c r="C2054" s="22">
        <f ca="1"/>
        <v>230.33000200000001</v>
      </c>
      <c r="D2054" s="22">
        <f ca="1"/>
        <v>234.83000200000001</v>
      </c>
      <c r="E2054" s="22">
        <f ca="1"/>
        <v>228.729996</v>
      </c>
      <c r="F2054" s="22">
        <f ca="1"/>
        <v>233.270004</v>
      </c>
      <c r="G2054" s="22">
        <f ca="1"/>
        <v>229.71125799999999</v>
      </c>
      <c r="H2054" s="69">
        <f ca="1"/>
        <v>30228700</v>
      </c>
      <c r="I2054" s="23" t="str">
        <f t="shared" ref="I2054:I2117" ca="1" si="65">IFERROR(IF(Ticker&lt;&gt;$Q$2,"",INDEX($P:$P,MATCH($A2054,$O:$O,0))),"")</f>
        <v/>
      </c>
    </row>
    <row r="2055" spans="1:9" ht="13.8">
      <c r="A2055" s="20">
        <f t="shared" ca="1" si="64"/>
        <v>44251</v>
      </c>
      <c r="B2055" s="21" t="str">
        <f ca="1"/>
        <v>2021-02-24</v>
      </c>
      <c r="C2055" s="22">
        <f ca="1"/>
        <v>230.009995</v>
      </c>
      <c r="D2055" s="22">
        <f ca="1"/>
        <v>235.199997</v>
      </c>
      <c r="E2055" s="22">
        <f ca="1"/>
        <v>229</v>
      </c>
      <c r="F2055" s="22">
        <f ca="1"/>
        <v>234.550003</v>
      </c>
      <c r="G2055" s="22">
        <f ca="1"/>
        <v>230.97177099999999</v>
      </c>
      <c r="H2055" s="69">
        <f ca="1"/>
        <v>26339700</v>
      </c>
      <c r="I2055" s="23" t="str">
        <f t="shared" ca="1" si="65"/>
        <v/>
      </c>
    </row>
    <row r="2056" spans="1:9" ht="13.8">
      <c r="A2056" s="20">
        <f t="shared" ca="1" si="64"/>
        <v>44252</v>
      </c>
      <c r="B2056" s="21" t="str">
        <f ca="1"/>
        <v>2021-02-25</v>
      </c>
      <c r="C2056" s="22">
        <f ca="1"/>
        <v>232.08000200000001</v>
      </c>
      <c r="D2056" s="22">
        <f ca="1"/>
        <v>234.58999600000001</v>
      </c>
      <c r="E2056" s="22">
        <f ca="1"/>
        <v>227.88000500000001</v>
      </c>
      <c r="F2056" s="22">
        <f ca="1"/>
        <v>228.990005</v>
      </c>
      <c r="G2056" s="22">
        <f ca="1"/>
        <v>225.496567</v>
      </c>
      <c r="H2056" s="69">
        <f ca="1"/>
        <v>39542200</v>
      </c>
      <c r="I2056" s="23" t="str">
        <f t="shared" ca="1" si="65"/>
        <v/>
      </c>
    </row>
    <row r="2057" spans="1:9" ht="13.8">
      <c r="A2057" s="20">
        <f t="shared" ca="1" si="64"/>
        <v>44253</v>
      </c>
      <c r="B2057" s="21" t="str">
        <f ca="1"/>
        <v>2021-02-26</v>
      </c>
      <c r="C2057" s="22">
        <f ca="1"/>
        <v>231.529999</v>
      </c>
      <c r="D2057" s="22">
        <f ca="1"/>
        <v>235.36999499999999</v>
      </c>
      <c r="E2057" s="22">
        <f ca="1"/>
        <v>229.53999300000001</v>
      </c>
      <c r="F2057" s="22">
        <f ca="1"/>
        <v>232.38000500000001</v>
      </c>
      <c r="G2057" s="22">
        <f ca="1"/>
        <v>228.834869</v>
      </c>
      <c r="H2057" s="69">
        <f ca="1"/>
        <v>37819200</v>
      </c>
      <c r="I2057" s="23" t="str">
        <f t="shared" ca="1" si="65"/>
        <v/>
      </c>
    </row>
    <row r="2058" spans="1:9" ht="13.8">
      <c r="A2058" s="20">
        <f t="shared" ca="1" si="64"/>
        <v>44256</v>
      </c>
      <c r="B2058" s="21" t="str">
        <f ca="1"/>
        <v>2021-03-01</v>
      </c>
      <c r="C2058" s="22">
        <f ca="1"/>
        <v>235.89999399999999</v>
      </c>
      <c r="D2058" s="22">
        <f ca="1"/>
        <v>237.470001</v>
      </c>
      <c r="E2058" s="22">
        <f ca="1"/>
        <v>233.14999399999999</v>
      </c>
      <c r="F2058" s="22">
        <f ca="1"/>
        <v>236.94000199999999</v>
      </c>
      <c r="G2058" s="22">
        <f ca="1"/>
        <v>233.325287</v>
      </c>
      <c r="H2058" s="69">
        <f ca="1"/>
        <v>25324000</v>
      </c>
      <c r="I2058" s="23" t="str">
        <f t="shared" ca="1" si="65"/>
        <v/>
      </c>
    </row>
    <row r="2059" spans="1:9" ht="13.8">
      <c r="A2059" s="20">
        <f t="shared" ca="1" si="64"/>
        <v>44257</v>
      </c>
      <c r="B2059" s="21" t="str">
        <f ca="1"/>
        <v>2021-03-02</v>
      </c>
      <c r="C2059" s="22">
        <f ca="1"/>
        <v>237.009995</v>
      </c>
      <c r="D2059" s="22">
        <f ca="1"/>
        <v>237.300003</v>
      </c>
      <c r="E2059" s="22">
        <f ca="1"/>
        <v>233.449997</v>
      </c>
      <c r="F2059" s="22">
        <f ca="1"/>
        <v>233.86999499999999</v>
      </c>
      <c r="G2059" s="22">
        <f ca="1"/>
        <v>230.302109</v>
      </c>
      <c r="H2059" s="69">
        <f ca="1"/>
        <v>22812500</v>
      </c>
      <c r="I2059" s="23" t="str">
        <f t="shared" ca="1" si="65"/>
        <v/>
      </c>
    </row>
    <row r="2060" spans="1:9" ht="13.8">
      <c r="A2060" s="20">
        <f t="shared" ca="1" si="64"/>
        <v>44258</v>
      </c>
      <c r="B2060" s="21" t="str">
        <f ca="1"/>
        <v>2021-03-03</v>
      </c>
      <c r="C2060" s="22">
        <f ca="1"/>
        <v>232.16000399999999</v>
      </c>
      <c r="D2060" s="22">
        <f ca="1"/>
        <v>233.58000200000001</v>
      </c>
      <c r="E2060" s="22">
        <f ca="1"/>
        <v>227.259995</v>
      </c>
      <c r="F2060" s="22">
        <f ca="1"/>
        <v>227.55999800000001</v>
      </c>
      <c r="G2060" s="22">
        <f ca="1"/>
        <v>224.088379</v>
      </c>
      <c r="H2060" s="69">
        <f ca="1"/>
        <v>34029500</v>
      </c>
      <c r="I2060" s="23" t="str">
        <f t="shared" ca="1" si="65"/>
        <v/>
      </c>
    </row>
    <row r="2061" spans="1:9" ht="13.8">
      <c r="A2061" s="20">
        <f t="shared" ca="1" si="64"/>
        <v>44259</v>
      </c>
      <c r="B2061" s="21" t="str">
        <f ca="1"/>
        <v>2021-03-04</v>
      </c>
      <c r="C2061" s="22">
        <f ca="1"/>
        <v>226.740005</v>
      </c>
      <c r="D2061" s="22">
        <f ca="1"/>
        <v>232.490005</v>
      </c>
      <c r="E2061" s="22">
        <f ca="1"/>
        <v>224.259995</v>
      </c>
      <c r="F2061" s="22">
        <f ca="1"/>
        <v>226.729996</v>
      </c>
      <c r="G2061" s="22">
        <f ca="1"/>
        <v>223.271027</v>
      </c>
      <c r="H2061" s="69">
        <f ca="1"/>
        <v>44727800</v>
      </c>
      <c r="I2061" s="23" t="str">
        <f t="shared" ca="1" si="65"/>
        <v/>
      </c>
    </row>
    <row r="2062" spans="1:9" ht="13.8">
      <c r="A2062" s="20">
        <f t="shared" ca="1" si="64"/>
        <v>44260</v>
      </c>
      <c r="B2062" s="21" t="str">
        <f ca="1"/>
        <v>2021-03-05</v>
      </c>
      <c r="C2062" s="22">
        <f ca="1"/>
        <v>229.520004</v>
      </c>
      <c r="D2062" s="22">
        <f ca="1"/>
        <v>233.270004</v>
      </c>
      <c r="E2062" s="22">
        <f ca="1"/>
        <v>226.46000699999999</v>
      </c>
      <c r="F2062" s="22">
        <f ca="1"/>
        <v>231.60000600000001</v>
      </c>
      <c r="G2062" s="22">
        <f ca="1"/>
        <v>228.06677199999999</v>
      </c>
      <c r="H2062" s="69">
        <f ca="1"/>
        <v>41872800</v>
      </c>
      <c r="I2062" s="23" t="str">
        <f t="shared" ca="1" si="65"/>
        <v/>
      </c>
    </row>
    <row r="2063" spans="1:9" ht="13.8">
      <c r="A2063" s="20">
        <f t="shared" ca="1" si="64"/>
        <v>44263</v>
      </c>
      <c r="B2063" s="21" t="str">
        <f ca="1"/>
        <v>2021-03-08</v>
      </c>
      <c r="C2063" s="22">
        <f ca="1"/>
        <v>231.36999499999999</v>
      </c>
      <c r="D2063" s="22">
        <f ca="1"/>
        <v>233.36999499999999</v>
      </c>
      <c r="E2063" s="22">
        <f ca="1"/>
        <v>227.13000500000001</v>
      </c>
      <c r="F2063" s="22">
        <f ca="1"/>
        <v>227.38999899999999</v>
      </c>
      <c r="G2063" s="22">
        <f ca="1"/>
        <v>223.92098999999999</v>
      </c>
      <c r="H2063" s="69">
        <f ca="1"/>
        <v>35267400</v>
      </c>
      <c r="I2063" s="23" t="str">
        <f t="shared" ca="1" si="65"/>
        <v/>
      </c>
    </row>
    <row r="2064" spans="1:9" ht="13.8">
      <c r="A2064" s="20">
        <f t="shared" ca="1" si="64"/>
        <v>44264</v>
      </c>
      <c r="B2064" s="21" t="str">
        <f ca="1"/>
        <v>2021-03-09</v>
      </c>
      <c r="C2064" s="22">
        <f ca="1"/>
        <v>232.88000500000001</v>
      </c>
      <c r="D2064" s="22">
        <f ca="1"/>
        <v>235.38000500000001</v>
      </c>
      <c r="E2064" s="22">
        <f ca="1"/>
        <v>231.66999799999999</v>
      </c>
      <c r="F2064" s="22">
        <f ca="1"/>
        <v>233.779999</v>
      </c>
      <c r="G2064" s="22">
        <f ca="1"/>
        <v>230.21350100000001</v>
      </c>
      <c r="H2064" s="69">
        <f ca="1"/>
        <v>33080500</v>
      </c>
      <c r="I2064" s="23" t="str">
        <f t="shared" ca="1" si="65"/>
        <v/>
      </c>
    </row>
    <row r="2065" spans="1:9" ht="13.8">
      <c r="A2065" s="20">
        <f t="shared" ca="1" si="64"/>
        <v>44265</v>
      </c>
      <c r="B2065" s="21" t="str">
        <f ca="1"/>
        <v>2021-03-10</v>
      </c>
      <c r="C2065" s="22">
        <f ca="1"/>
        <v>237</v>
      </c>
      <c r="D2065" s="22">
        <f ca="1"/>
        <v>237</v>
      </c>
      <c r="E2065" s="22">
        <f ca="1"/>
        <v>232.03999300000001</v>
      </c>
      <c r="F2065" s="22">
        <f ca="1"/>
        <v>232.41999799999999</v>
      </c>
      <c r="G2065" s="22">
        <f ca="1"/>
        <v>228.87425200000001</v>
      </c>
      <c r="H2065" s="69">
        <f ca="1"/>
        <v>29746800</v>
      </c>
      <c r="I2065" s="23" t="str">
        <f t="shared" ca="1" si="65"/>
        <v/>
      </c>
    </row>
    <row r="2066" spans="1:9" ht="13.8">
      <c r="A2066" s="20">
        <f t="shared" ca="1" si="64"/>
        <v>44266</v>
      </c>
      <c r="B2066" s="21" t="str">
        <f ca="1"/>
        <v>2021-03-11</v>
      </c>
      <c r="C2066" s="22">
        <f ca="1"/>
        <v>234.96000699999999</v>
      </c>
      <c r="D2066" s="22">
        <f ca="1"/>
        <v>239.16999799999999</v>
      </c>
      <c r="E2066" s="22">
        <f ca="1"/>
        <v>234.30999800000001</v>
      </c>
      <c r="F2066" s="22">
        <f ca="1"/>
        <v>237.13000500000001</v>
      </c>
      <c r="G2066" s="22">
        <f ca="1"/>
        <v>233.512405</v>
      </c>
      <c r="H2066" s="69">
        <f ca="1"/>
        <v>29907600</v>
      </c>
      <c r="I2066" s="23" t="str">
        <f t="shared" ca="1" si="65"/>
        <v/>
      </c>
    </row>
    <row r="2067" spans="1:9" ht="13.8">
      <c r="A2067" s="20">
        <f t="shared" ca="1" si="64"/>
        <v>44267</v>
      </c>
      <c r="B2067" s="21" t="str">
        <f ca="1"/>
        <v>2021-03-12</v>
      </c>
      <c r="C2067" s="22">
        <f ca="1"/>
        <v>234.009995</v>
      </c>
      <c r="D2067" s="22">
        <f ca="1"/>
        <v>235.820007</v>
      </c>
      <c r="E2067" s="22">
        <f ca="1"/>
        <v>233.229996</v>
      </c>
      <c r="F2067" s="22">
        <f ca="1"/>
        <v>235.75</v>
      </c>
      <c r="G2067" s="22">
        <f ca="1"/>
        <v>232.15342699999999</v>
      </c>
      <c r="H2067" s="69">
        <f ca="1"/>
        <v>22653700</v>
      </c>
      <c r="I2067" s="23" t="str">
        <f t="shared" ca="1" si="65"/>
        <v/>
      </c>
    </row>
    <row r="2068" spans="1:9" ht="13.8">
      <c r="A2068" s="20">
        <f t="shared" ca="1" si="64"/>
        <v>44270</v>
      </c>
      <c r="B2068" s="21" t="str">
        <f ca="1"/>
        <v>2021-03-15</v>
      </c>
      <c r="C2068" s="22">
        <f ca="1"/>
        <v>234.96000699999999</v>
      </c>
      <c r="D2068" s="22">
        <f ca="1"/>
        <v>235.19000199999999</v>
      </c>
      <c r="E2068" s="22">
        <f ca="1"/>
        <v>231.80999800000001</v>
      </c>
      <c r="F2068" s="22">
        <f ca="1"/>
        <v>234.80999800000001</v>
      </c>
      <c r="G2068" s="22">
        <f ca="1"/>
        <v>231.227768</v>
      </c>
      <c r="H2068" s="69">
        <f ca="1"/>
        <v>26034900</v>
      </c>
      <c r="I2068" s="23" t="str">
        <f t="shared" ca="1" si="65"/>
        <v/>
      </c>
    </row>
    <row r="2069" spans="1:9" ht="13.8">
      <c r="A2069" s="20">
        <f t="shared" ca="1" si="64"/>
        <v>44271</v>
      </c>
      <c r="B2069" s="21" t="str">
        <f ca="1"/>
        <v>2021-03-16</v>
      </c>
      <c r="C2069" s="22">
        <f ca="1"/>
        <v>236.279999</v>
      </c>
      <c r="D2069" s="22">
        <f ca="1"/>
        <v>240.05999800000001</v>
      </c>
      <c r="E2069" s="22">
        <f ca="1"/>
        <v>235.94000199999999</v>
      </c>
      <c r="F2069" s="22">
        <f ca="1"/>
        <v>237.71000699999999</v>
      </c>
      <c r="G2069" s="22">
        <f ca="1"/>
        <v>234.08355700000001</v>
      </c>
      <c r="H2069" s="69">
        <f ca="1"/>
        <v>28092200</v>
      </c>
      <c r="I2069" s="23" t="str">
        <f t="shared" ca="1" si="65"/>
        <v/>
      </c>
    </row>
    <row r="2070" spans="1:9" ht="13.8">
      <c r="A2070" s="20">
        <f t="shared" ca="1" si="64"/>
        <v>44272</v>
      </c>
      <c r="B2070" s="21" t="str">
        <f ca="1"/>
        <v>2021-03-17</v>
      </c>
      <c r="C2070" s="22">
        <f ca="1"/>
        <v>236.14999399999999</v>
      </c>
      <c r="D2070" s="22">
        <f ca="1"/>
        <v>238.550003</v>
      </c>
      <c r="E2070" s="22">
        <f ca="1"/>
        <v>233.229996</v>
      </c>
      <c r="F2070" s="22">
        <f ca="1"/>
        <v>237.03999300000001</v>
      </c>
      <c r="G2070" s="22">
        <f ca="1"/>
        <v>233.42375200000001</v>
      </c>
      <c r="H2070" s="69">
        <f ca="1"/>
        <v>29562100</v>
      </c>
      <c r="I2070" s="23" t="str">
        <f t="shared" ca="1" si="65"/>
        <v/>
      </c>
    </row>
    <row r="2071" spans="1:9" ht="13.8">
      <c r="A2071" s="20">
        <f t="shared" ca="1" si="64"/>
        <v>44273</v>
      </c>
      <c r="B2071" s="21" t="str">
        <f ca="1"/>
        <v>2021-03-18</v>
      </c>
      <c r="C2071" s="22">
        <f ca="1"/>
        <v>232.55999800000001</v>
      </c>
      <c r="D2071" s="22">
        <f ca="1"/>
        <v>234.19000199999999</v>
      </c>
      <c r="E2071" s="22">
        <f ca="1"/>
        <v>230.33000200000001</v>
      </c>
      <c r="F2071" s="22">
        <f ca="1"/>
        <v>230.720001</v>
      </c>
      <c r="G2071" s="22">
        <f ca="1"/>
        <v>227.20017999999999</v>
      </c>
      <c r="H2071" s="69">
        <f ca="1"/>
        <v>34833000</v>
      </c>
      <c r="I2071" s="23" t="str">
        <f t="shared" ca="1" si="65"/>
        <v/>
      </c>
    </row>
    <row r="2072" spans="1:9" ht="13.8">
      <c r="A2072" s="20">
        <f t="shared" ca="1" si="64"/>
        <v>44274</v>
      </c>
      <c r="B2072" s="21" t="str">
        <f ca="1"/>
        <v>2021-03-19</v>
      </c>
      <c r="C2072" s="22">
        <f ca="1"/>
        <v>231.020004</v>
      </c>
      <c r="D2072" s="22">
        <f ca="1"/>
        <v>232.470001</v>
      </c>
      <c r="E2072" s="22">
        <f ca="1"/>
        <v>229.35000600000001</v>
      </c>
      <c r="F2072" s="22">
        <f ca="1"/>
        <v>230.35000600000001</v>
      </c>
      <c r="G2072" s="22">
        <f ca="1"/>
        <v>226.83583100000001</v>
      </c>
      <c r="H2072" s="69">
        <f ca="1"/>
        <v>46430700</v>
      </c>
      <c r="I2072" s="23" t="str">
        <f t="shared" ca="1" si="65"/>
        <v/>
      </c>
    </row>
    <row r="2073" spans="1:9" ht="13.8">
      <c r="A2073" s="20">
        <f t="shared" ca="1" si="64"/>
        <v>44277</v>
      </c>
      <c r="B2073" s="21" t="str">
        <f ca="1"/>
        <v>2021-03-22</v>
      </c>
      <c r="C2073" s="22">
        <f ca="1"/>
        <v>230.270004</v>
      </c>
      <c r="D2073" s="22">
        <f ca="1"/>
        <v>236.89999399999999</v>
      </c>
      <c r="E2073" s="22">
        <f ca="1"/>
        <v>230.13999899999999</v>
      </c>
      <c r="F2073" s="22">
        <f ca="1"/>
        <v>235.990005</v>
      </c>
      <c r="G2073" s="22">
        <f ca="1"/>
        <v>232.38978599999999</v>
      </c>
      <c r="H2073" s="69">
        <f ca="1"/>
        <v>30127000</v>
      </c>
      <c r="I2073" s="23" t="str">
        <f t="shared" ca="1" si="65"/>
        <v/>
      </c>
    </row>
    <row r="2074" spans="1:9" ht="13.8">
      <c r="A2074" s="20">
        <f t="shared" ca="1" si="64"/>
        <v>44278</v>
      </c>
      <c r="B2074" s="21" t="str">
        <f ca="1"/>
        <v>2021-03-23</v>
      </c>
      <c r="C2074" s="22">
        <f ca="1"/>
        <v>237.490005</v>
      </c>
      <c r="D2074" s="22">
        <f ca="1"/>
        <v>241.050003</v>
      </c>
      <c r="E2074" s="22">
        <f ca="1"/>
        <v>237.070007</v>
      </c>
      <c r="F2074" s="22">
        <f ca="1"/>
        <v>237.58000200000001</v>
      </c>
      <c r="G2074" s="22">
        <f ca="1"/>
        <v>233.955536</v>
      </c>
      <c r="H2074" s="69">
        <f ca="1"/>
        <v>31638400</v>
      </c>
      <c r="I2074" s="23" t="str">
        <f t="shared" ca="1" si="65"/>
        <v/>
      </c>
    </row>
    <row r="2075" spans="1:9" ht="13.8">
      <c r="A2075" s="20">
        <f t="shared" ca="1" si="64"/>
        <v>44279</v>
      </c>
      <c r="B2075" s="21" t="str">
        <f ca="1"/>
        <v>2021-03-24</v>
      </c>
      <c r="C2075" s="22">
        <f ca="1"/>
        <v>237.85000600000001</v>
      </c>
      <c r="D2075" s="22">
        <f ca="1"/>
        <v>238</v>
      </c>
      <c r="E2075" s="22">
        <f ca="1"/>
        <v>235.320007</v>
      </c>
      <c r="F2075" s="22">
        <f ca="1"/>
        <v>235.46000699999999</v>
      </c>
      <c r="G2075" s="22">
        <f ca="1"/>
        <v>231.867874</v>
      </c>
      <c r="H2075" s="69">
        <f ca="1"/>
        <v>25620100</v>
      </c>
      <c r="I2075" s="23" t="str">
        <f t="shared" ca="1" si="65"/>
        <v/>
      </c>
    </row>
    <row r="2076" spans="1:9" ht="13.8">
      <c r="A2076" s="20">
        <f t="shared" ca="1" si="64"/>
        <v>44280</v>
      </c>
      <c r="B2076" s="21" t="str">
        <f ca="1"/>
        <v>2021-03-25</v>
      </c>
      <c r="C2076" s="22">
        <f ca="1"/>
        <v>235.300003</v>
      </c>
      <c r="D2076" s="22">
        <f ca="1"/>
        <v>236.94000199999999</v>
      </c>
      <c r="E2076" s="22">
        <f ca="1"/>
        <v>231.570007</v>
      </c>
      <c r="F2076" s="22">
        <f ca="1"/>
        <v>232.33999600000001</v>
      </c>
      <c r="G2076" s="22">
        <f ca="1"/>
        <v>228.79548600000001</v>
      </c>
      <c r="H2076" s="69">
        <f ca="1"/>
        <v>34061900</v>
      </c>
      <c r="I2076" s="23" t="str">
        <f t="shared" ca="1" si="65"/>
        <v/>
      </c>
    </row>
    <row r="2077" spans="1:9" ht="13.8">
      <c r="A2077" s="20">
        <f t="shared" ca="1" si="64"/>
        <v>44281</v>
      </c>
      <c r="B2077" s="21" t="str">
        <f ca="1"/>
        <v>2021-03-26</v>
      </c>
      <c r="C2077" s="22">
        <f ca="1"/>
        <v>231.550003</v>
      </c>
      <c r="D2077" s="22">
        <f ca="1"/>
        <v>236.71000699999999</v>
      </c>
      <c r="E2077" s="22">
        <f ca="1"/>
        <v>231.550003</v>
      </c>
      <c r="F2077" s="22">
        <f ca="1"/>
        <v>236.479996</v>
      </c>
      <c r="G2077" s="22">
        <f ca="1"/>
        <v>232.87233000000001</v>
      </c>
      <c r="H2077" s="69">
        <f ca="1"/>
        <v>25479900</v>
      </c>
      <c r="I2077" s="23" t="str">
        <f t="shared" ca="1" si="65"/>
        <v/>
      </c>
    </row>
    <row r="2078" spans="1:9" ht="13.8">
      <c r="A2078" s="20">
        <f t="shared" ca="1" si="64"/>
        <v>44284</v>
      </c>
      <c r="B2078" s="21" t="str">
        <f ca="1"/>
        <v>2021-03-29</v>
      </c>
      <c r="C2078" s="22">
        <f ca="1"/>
        <v>236.58999600000001</v>
      </c>
      <c r="D2078" s="22">
        <f ca="1"/>
        <v>236.800003</v>
      </c>
      <c r="E2078" s="22">
        <f ca="1"/>
        <v>231.88000500000001</v>
      </c>
      <c r="F2078" s="22">
        <f ca="1"/>
        <v>235.240005</v>
      </c>
      <c r="G2078" s="22">
        <f ca="1"/>
        <v>231.65121500000001</v>
      </c>
      <c r="H2078" s="69">
        <f ca="1"/>
        <v>25227500</v>
      </c>
      <c r="I2078" s="23" t="str">
        <f t="shared" ca="1" si="65"/>
        <v/>
      </c>
    </row>
    <row r="2079" spans="1:9" ht="13.8">
      <c r="A2079" s="20">
        <f t="shared" ca="1" si="64"/>
        <v>44285</v>
      </c>
      <c r="B2079" s="21" t="str">
        <f ca="1"/>
        <v>2021-03-30</v>
      </c>
      <c r="C2079" s="22">
        <f ca="1"/>
        <v>233.529999</v>
      </c>
      <c r="D2079" s="22">
        <f ca="1"/>
        <v>233.85000600000001</v>
      </c>
      <c r="E2079" s="22">
        <f ca="1"/>
        <v>231.10000600000001</v>
      </c>
      <c r="F2079" s="22">
        <f ca="1"/>
        <v>231.85000600000001</v>
      </c>
      <c r="G2079" s="22">
        <f ca="1"/>
        <v>228.31295800000001</v>
      </c>
      <c r="H2079" s="69">
        <f ca="1"/>
        <v>24792000</v>
      </c>
      <c r="I2079" s="23" t="str">
        <f t="shared" ca="1" si="65"/>
        <v/>
      </c>
    </row>
    <row r="2080" spans="1:9" ht="13.8">
      <c r="A2080" s="20">
        <f t="shared" ca="1" si="64"/>
        <v>44286</v>
      </c>
      <c r="B2080" s="21" t="str">
        <f ca="1"/>
        <v>2021-03-31</v>
      </c>
      <c r="C2080" s="22">
        <f ca="1"/>
        <v>232.91000399999999</v>
      </c>
      <c r="D2080" s="22">
        <f ca="1"/>
        <v>239.10000600000001</v>
      </c>
      <c r="E2080" s="22">
        <f ca="1"/>
        <v>232.38999899999999</v>
      </c>
      <c r="F2080" s="22">
        <f ca="1"/>
        <v>235.770004</v>
      </c>
      <c r="G2080" s="22">
        <f ca="1"/>
        <v>232.173157</v>
      </c>
      <c r="H2080" s="69">
        <f ca="1"/>
        <v>43623500</v>
      </c>
      <c r="I2080" s="23" t="str">
        <f t="shared" ca="1" si="65"/>
        <v/>
      </c>
    </row>
    <row r="2081" spans="1:9" ht="13.8">
      <c r="A2081" s="20">
        <f t="shared" ca="1" si="64"/>
        <v>44287</v>
      </c>
      <c r="B2081" s="21" t="str">
        <f ca="1"/>
        <v>2021-04-01</v>
      </c>
      <c r="C2081" s="22">
        <f ca="1"/>
        <v>238.470001</v>
      </c>
      <c r="D2081" s="22">
        <f ca="1"/>
        <v>242.83999600000001</v>
      </c>
      <c r="E2081" s="22">
        <f ca="1"/>
        <v>238.050003</v>
      </c>
      <c r="F2081" s="22">
        <f ca="1"/>
        <v>242.35000600000001</v>
      </c>
      <c r="G2081" s="22">
        <f ca="1"/>
        <v>238.652771</v>
      </c>
      <c r="H2081" s="69">
        <f ca="1"/>
        <v>30338000</v>
      </c>
      <c r="I2081" s="23" t="str">
        <f t="shared" ca="1" si="65"/>
        <v/>
      </c>
    </row>
    <row r="2082" spans="1:9" ht="13.8">
      <c r="A2082" s="20">
        <f t="shared" ca="1" si="64"/>
        <v>44291</v>
      </c>
      <c r="B2082" s="21" t="str">
        <f ca="1"/>
        <v>2021-04-05</v>
      </c>
      <c r="C2082" s="22">
        <f ca="1"/>
        <v>242.759995</v>
      </c>
      <c r="D2082" s="22">
        <f ca="1"/>
        <v>249.96000699999999</v>
      </c>
      <c r="E2082" s="22">
        <f ca="1"/>
        <v>242.699997</v>
      </c>
      <c r="F2082" s="22">
        <f ca="1"/>
        <v>249.070007</v>
      </c>
      <c r="G2082" s="22">
        <f ca="1"/>
        <v>245.27024800000001</v>
      </c>
      <c r="H2082" s="69">
        <f ca="1"/>
        <v>36910600</v>
      </c>
      <c r="I2082" s="23" t="str">
        <f t="shared" ca="1" si="65"/>
        <v/>
      </c>
    </row>
    <row r="2083" spans="1:9" ht="13.8">
      <c r="A2083" s="20">
        <f t="shared" ca="1" si="64"/>
        <v>44292</v>
      </c>
      <c r="B2083" s="21" t="str">
        <f ca="1"/>
        <v>2021-04-06</v>
      </c>
      <c r="C2083" s="22">
        <f ca="1"/>
        <v>247.61000100000001</v>
      </c>
      <c r="D2083" s="22">
        <f ca="1"/>
        <v>249.39999399999999</v>
      </c>
      <c r="E2083" s="22">
        <f ca="1"/>
        <v>246.88000500000001</v>
      </c>
      <c r="F2083" s="22">
        <f ca="1"/>
        <v>247.86000100000001</v>
      </c>
      <c r="G2083" s="22">
        <f ca="1"/>
        <v>244.07870500000001</v>
      </c>
      <c r="H2083" s="69">
        <f ca="1"/>
        <v>22931900</v>
      </c>
      <c r="I2083" s="23" t="str">
        <f t="shared" ca="1" si="65"/>
        <v/>
      </c>
    </row>
    <row r="2084" spans="1:9" ht="13.8">
      <c r="A2084" s="20">
        <f t="shared" ca="1" si="64"/>
        <v>44293</v>
      </c>
      <c r="B2084" s="21" t="str">
        <f ca="1"/>
        <v>2021-04-07</v>
      </c>
      <c r="C2084" s="22">
        <f ca="1"/>
        <v>247.80999800000001</v>
      </c>
      <c r="D2084" s="22">
        <f ca="1"/>
        <v>250.929993</v>
      </c>
      <c r="E2084" s="22">
        <f ca="1"/>
        <v>247.19000199999999</v>
      </c>
      <c r="F2084" s="22">
        <f ca="1"/>
        <v>249.89999399999999</v>
      </c>
      <c r="G2084" s="22">
        <f ca="1"/>
        <v>246.08755500000001</v>
      </c>
      <c r="H2084" s="69">
        <f ca="1"/>
        <v>22719800</v>
      </c>
      <c r="I2084" s="23" t="str">
        <f t="shared" ca="1" si="65"/>
        <v/>
      </c>
    </row>
    <row r="2085" spans="1:9" ht="13.8">
      <c r="A2085" s="20">
        <f t="shared" ca="1" si="64"/>
        <v>44294</v>
      </c>
      <c r="B2085" s="21" t="str">
        <f ca="1"/>
        <v>2021-04-08</v>
      </c>
      <c r="C2085" s="22">
        <f ca="1"/>
        <v>252.770004</v>
      </c>
      <c r="D2085" s="22">
        <f ca="1"/>
        <v>254.13999899999999</v>
      </c>
      <c r="E2085" s="22">
        <f ca="1"/>
        <v>252</v>
      </c>
      <c r="F2085" s="22">
        <f ca="1"/>
        <v>253.25</v>
      </c>
      <c r="G2085" s="22">
        <f ca="1"/>
        <v>249.38647499999999</v>
      </c>
      <c r="H2085" s="69">
        <f ca="1"/>
        <v>23625200</v>
      </c>
      <c r="I2085" s="23" t="str">
        <f t="shared" ca="1" si="65"/>
        <v/>
      </c>
    </row>
    <row r="2086" spans="1:9" ht="13.8">
      <c r="A2086" s="20">
        <f t="shared" ca="1" si="64"/>
        <v>44295</v>
      </c>
      <c r="B2086" s="21" t="str">
        <f ca="1"/>
        <v>2021-04-09</v>
      </c>
      <c r="C2086" s="22">
        <f ca="1"/>
        <v>252.86999499999999</v>
      </c>
      <c r="D2086" s="22">
        <f ca="1"/>
        <v>255.990005</v>
      </c>
      <c r="E2086" s="22">
        <f ca="1"/>
        <v>252.44000199999999</v>
      </c>
      <c r="F2086" s="22">
        <f ca="1"/>
        <v>255.85000600000001</v>
      </c>
      <c r="G2086" s="22">
        <f ca="1"/>
        <v>251.94679300000001</v>
      </c>
      <c r="H2086" s="69">
        <f ca="1"/>
        <v>24326800</v>
      </c>
      <c r="I2086" s="23" t="str">
        <f t="shared" ca="1" si="65"/>
        <v/>
      </c>
    </row>
    <row r="2087" spans="1:9" ht="13.8">
      <c r="A2087" s="20">
        <f t="shared" ca="1" si="64"/>
        <v>44298</v>
      </c>
      <c r="B2087" s="21" t="str">
        <f ca="1"/>
        <v>2021-04-12</v>
      </c>
      <c r="C2087" s="22">
        <f ca="1"/>
        <v>254.71000699999999</v>
      </c>
      <c r="D2087" s="22">
        <f ca="1"/>
        <v>257.67001299999998</v>
      </c>
      <c r="E2087" s="22">
        <f ca="1"/>
        <v>254.61999499999999</v>
      </c>
      <c r="F2087" s="22">
        <f ca="1"/>
        <v>255.91000399999999</v>
      </c>
      <c r="G2087" s="22">
        <f ca="1"/>
        <v>252.00588999999999</v>
      </c>
      <c r="H2087" s="69">
        <f ca="1"/>
        <v>27148700</v>
      </c>
      <c r="I2087" s="23" t="str">
        <f t="shared" ca="1" si="65"/>
        <v/>
      </c>
    </row>
    <row r="2088" spans="1:9" ht="13.8">
      <c r="A2088" s="20">
        <f t="shared" ca="1" si="64"/>
        <v>44299</v>
      </c>
      <c r="B2088" s="21" t="str">
        <f ca="1"/>
        <v>2021-04-13</v>
      </c>
      <c r="C2088" s="22">
        <f ca="1"/>
        <v>257.26001000000002</v>
      </c>
      <c r="D2088" s="22">
        <f ca="1"/>
        <v>259.19000199999999</v>
      </c>
      <c r="E2088" s="22">
        <f ca="1"/>
        <v>256.82998700000002</v>
      </c>
      <c r="F2088" s="22">
        <f ca="1"/>
        <v>258.48998999999998</v>
      </c>
      <c r="G2088" s="22">
        <f ca="1"/>
        <v>254.546539</v>
      </c>
      <c r="H2088" s="69">
        <f ca="1"/>
        <v>23837500</v>
      </c>
      <c r="I2088" s="23" t="str">
        <f t="shared" ca="1" si="65"/>
        <v/>
      </c>
    </row>
    <row r="2089" spans="1:9" ht="13.8">
      <c r="A2089" s="20">
        <f t="shared" ca="1" si="64"/>
        <v>44300</v>
      </c>
      <c r="B2089" s="21" t="str">
        <f ca="1"/>
        <v>2021-04-14</v>
      </c>
      <c r="C2089" s="22">
        <f ca="1"/>
        <v>257.48001099999999</v>
      </c>
      <c r="D2089" s="22">
        <f ca="1"/>
        <v>258.82998700000002</v>
      </c>
      <c r="E2089" s="22">
        <f ca="1"/>
        <v>255.16000399999999</v>
      </c>
      <c r="F2089" s="22">
        <f ca="1"/>
        <v>255.58999600000001</v>
      </c>
      <c r="G2089" s="22">
        <f ca="1"/>
        <v>251.69075000000001</v>
      </c>
      <c r="H2089" s="69">
        <f ca="1"/>
        <v>23070900</v>
      </c>
      <c r="I2089" s="23" t="str">
        <f t="shared" ca="1" si="65"/>
        <v/>
      </c>
    </row>
    <row r="2090" spans="1:9" ht="13.8">
      <c r="A2090" s="20">
        <f t="shared" ca="1" si="64"/>
        <v>44301</v>
      </c>
      <c r="B2090" s="21" t="str">
        <f ca="1"/>
        <v>2021-04-15</v>
      </c>
      <c r="C2090" s="22">
        <f ca="1"/>
        <v>257.92999300000002</v>
      </c>
      <c r="D2090" s="22">
        <f ca="1"/>
        <v>259.92999300000002</v>
      </c>
      <c r="E2090" s="22">
        <f ca="1"/>
        <v>257.73001099999999</v>
      </c>
      <c r="F2090" s="22">
        <f ca="1"/>
        <v>259.5</v>
      </c>
      <c r="G2090" s="22">
        <f ca="1"/>
        <v>255.54113799999999</v>
      </c>
      <c r="H2090" s="69">
        <f ca="1"/>
        <v>25627500</v>
      </c>
      <c r="I2090" s="23" t="str">
        <f t="shared" ca="1" si="65"/>
        <v/>
      </c>
    </row>
    <row r="2091" spans="1:9" ht="13.8">
      <c r="A2091" s="20">
        <f t="shared" ca="1" si="64"/>
        <v>44302</v>
      </c>
      <c r="B2091" s="21" t="str">
        <f ca="1"/>
        <v>2021-04-16</v>
      </c>
      <c r="C2091" s="22">
        <f ca="1"/>
        <v>259.47000100000002</v>
      </c>
      <c r="D2091" s="22">
        <f ca="1"/>
        <v>261</v>
      </c>
      <c r="E2091" s="22">
        <f ca="1"/>
        <v>257.60000600000001</v>
      </c>
      <c r="F2091" s="22">
        <f ca="1"/>
        <v>260.73998999999998</v>
      </c>
      <c r="G2091" s="22">
        <f ca="1"/>
        <v>256.76220699999999</v>
      </c>
      <c r="H2091" s="69">
        <f ca="1"/>
        <v>24878600</v>
      </c>
      <c r="I2091" s="23" t="str">
        <f t="shared" ca="1" si="65"/>
        <v/>
      </c>
    </row>
    <row r="2092" spans="1:9" ht="13.8">
      <c r="A2092" s="20">
        <f t="shared" ca="1" si="64"/>
        <v>44305</v>
      </c>
      <c r="B2092" s="21" t="str">
        <f ca="1"/>
        <v>2021-04-19</v>
      </c>
      <c r="C2092" s="22">
        <f ca="1"/>
        <v>260.19000199999999</v>
      </c>
      <c r="D2092" s="22">
        <f ca="1"/>
        <v>261.48001099999999</v>
      </c>
      <c r="E2092" s="22">
        <f ca="1"/>
        <v>257.82000699999998</v>
      </c>
      <c r="F2092" s="22">
        <f ca="1"/>
        <v>258.73998999999998</v>
      </c>
      <c r="G2092" s="22">
        <f ca="1"/>
        <v>254.79272499999999</v>
      </c>
      <c r="H2092" s="69">
        <f ca="1"/>
        <v>23209300</v>
      </c>
      <c r="I2092" s="23" t="str">
        <f t="shared" ca="1" si="65"/>
        <v/>
      </c>
    </row>
    <row r="2093" spans="1:9" ht="13.8">
      <c r="A2093" s="20">
        <f t="shared" ca="1" si="64"/>
        <v>44306</v>
      </c>
      <c r="B2093" s="21" t="str">
        <f ca="1"/>
        <v>2021-04-20</v>
      </c>
      <c r="C2093" s="22">
        <f ca="1"/>
        <v>257.82000699999998</v>
      </c>
      <c r="D2093" s="22">
        <f ca="1"/>
        <v>260.20001200000002</v>
      </c>
      <c r="E2093" s="22">
        <f ca="1"/>
        <v>256.83999599999999</v>
      </c>
      <c r="F2093" s="22">
        <f ca="1"/>
        <v>258.26001000000002</v>
      </c>
      <c r="G2093" s="22">
        <f ca="1"/>
        <v>254.32002299999999</v>
      </c>
      <c r="H2093" s="69">
        <f ca="1"/>
        <v>19722900</v>
      </c>
      <c r="I2093" s="23" t="str">
        <f t="shared" ca="1" si="65"/>
        <v/>
      </c>
    </row>
    <row r="2094" spans="1:9" ht="13.8">
      <c r="A2094" s="20">
        <f t="shared" ca="1" si="64"/>
        <v>44307</v>
      </c>
      <c r="B2094" s="21" t="str">
        <f ca="1"/>
        <v>2021-04-21</v>
      </c>
      <c r="C2094" s="22">
        <f ca="1"/>
        <v>258.94000199999999</v>
      </c>
      <c r="D2094" s="22">
        <f ca="1"/>
        <v>260.67999300000002</v>
      </c>
      <c r="E2094" s="22">
        <f ca="1"/>
        <v>257.25</v>
      </c>
      <c r="F2094" s="22">
        <f ca="1"/>
        <v>260.57998700000002</v>
      </c>
      <c r="G2094" s="22">
        <f ca="1"/>
        <v>256.604645</v>
      </c>
      <c r="H2094" s="69">
        <f ca="1"/>
        <v>24030400</v>
      </c>
      <c r="I2094" s="23" t="str">
        <f t="shared" ca="1" si="65"/>
        <v/>
      </c>
    </row>
    <row r="2095" spans="1:9" ht="13.8">
      <c r="A2095" s="20">
        <f t="shared" ca="1" si="64"/>
        <v>44308</v>
      </c>
      <c r="B2095" s="21" t="str">
        <f ca="1"/>
        <v>2021-04-22</v>
      </c>
      <c r="C2095" s="22">
        <f ca="1"/>
        <v>260.209991</v>
      </c>
      <c r="D2095" s="22">
        <f ca="1"/>
        <v>261.77999899999998</v>
      </c>
      <c r="E2095" s="22">
        <f ca="1"/>
        <v>255.63999899999999</v>
      </c>
      <c r="F2095" s="22">
        <f ca="1"/>
        <v>257.17001299999998</v>
      </c>
      <c r="G2095" s="22">
        <f ca="1"/>
        <v>253.24667400000001</v>
      </c>
      <c r="H2095" s="69">
        <f ca="1"/>
        <v>25606200</v>
      </c>
      <c r="I2095" s="23" t="str">
        <f t="shared" ca="1" si="65"/>
        <v/>
      </c>
    </row>
    <row r="2096" spans="1:9" ht="13.8">
      <c r="A2096" s="20">
        <f t="shared" ca="1" si="64"/>
        <v>44309</v>
      </c>
      <c r="B2096" s="21" t="str">
        <f ca="1"/>
        <v>2021-04-23</v>
      </c>
      <c r="C2096" s="22">
        <f ca="1"/>
        <v>257.88000499999998</v>
      </c>
      <c r="D2096" s="22">
        <f ca="1"/>
        <v>261.51001000000002</v>
      </c>
      <c r="E2096" s="22">
        <f ca="1"/>
        <v>257.26998900000001</v>
      </c>
      <c r="F2096" s="22">
        <f ca="1"/>
        <v>261.14999399999999</v>
      </c>
      <c r="G2096" s="22">
        <f ca="1"/>
        <v>257.165955</v>
      </c>
      <c r="H2096" s="69">
        <f ca="1"/>
        <v>21462600</v>
      </c>
      <c r="I2096" s="23" t="str">
        <f t="shared" ca="1" si="65"/>
        <v/>
      </c>
    </row>
    <row r="2097" spans="1:9" ht="13.8">
      <c r="A2097" s="20">
        <f t="shared" ca="1" si="64"/>
        <v>44312</v>
      </c>
      <c r="B2097" s="21" t="str">
        <f ca="1"/>
        <v>2021-04-26</v>
      </c>
      <c r="C2097" s="22">
        <f ca="1"/>
        <v>261.66000400000001</v>
      </c>
      <c r="D2097" s="22">
        <f ca="1"/>
        <v>262.44000199999999</v>
      </c>
      <c r="E2097" s="22">
        <f ca="1"/>
        <v>260.17001299999998</v>
      </c>
      <c r="F2097" s="22">
        <f ca="1"/>
        <v>261.54998799999998</v>
      </c>
      <c r="G2097" s="22">
        <f ca="1"/>
        <v>257.559845</v>
      </c>
      <c r="H2097" s="69">
        <f ca="1"/>
        <v>19763300</v>
      </c>
      <c r="I2097" s="23" t="str">
        <f t="shared" ca="1" si="65"/>
        <v/>
      </c>
    </row>
    <row r="2098" spans="1:9" ht="13.8">
      <c r="A2098" s="20">
        <f t="shared" ca="1" si="64"/>
        <v>44313</v>
      </c>
      <c r="B2098" s="21" t="str">
        <f ca="1"/>
        <v>2021-04-27</v>
      </c>
      <c r="C2098" s="22">
        <f ca="1"/>
        <v>261.57998700000002</v>
      </c>
      <c r="D2098" s="22">
        <f ca="1"/>
        <v>263.19000199999999</v>
      </c>
      <c r="E2098" s="22">
        <f ca="1"/>
        <v>260.11999500000002</v>
      </c>
      <c r="F2098" s="22">
        <f ca="1"/>
        <v>261.97000100000002</v>
      </c>
      <c r="G2098" s="22">
        <f ca="1"/>
        <v>257.97345000000001</v>
      </c>
      <c r="H2098" s="69">
        <f ca="1"/>
        <v>31014200</v>
      </c>
      <c r="I2098" s="23" t="str">
        <f t="shared" ca="1" si="65"/>
        <v/>
      </c>
    </row>
    <row r="2099" spans="1:9" ht="13.8">
      <c r="A2099" s="20">
        <f t="shared" ca="1" si="64"/>
        <v>44314</v>
      </c>
      <c r="B2099" s="21" t="str">
        <f ca="1"/>
        <v>2021-04-28</v>
      </c>
      <c r="C2099" s="22">
        <f ca="1"/>
        <v>256.07998700000002</v>
      </c>
      <c r="D2099" s="22">
        <f ca="1"/>
        <v>256.540009</v>
      </c>
      <c r="E2099" s="22">
        <f ca="1"/>
        <v>252.949997</v>
      </c>
      <c r="F2099" s="22">
        <f ca="1"/>
        <v>254.55999800000001</v>
      </c>
      <c r="G2099" s="22">
        <f ca="1"/>
        <v>250.676468</v>
      </c>
      <c r="H2099" s="69">
        <f ca="1"/>
        <v>46903100</v>
      </c>
      <c r="I2099" s="23" t="str">
        <f t="shared" ca="1" si="65"/>
        <v/>
      </c>
    </row>
    <row r="2100" spans="1:9" ht="13.8">
      <c r="A2100" s="20">
        <f t="shared" ca="1" si="64"/>
        <v>44315</v>
      </c>
      <c r="B2100" s="21" t="str">
        <f ca="1"/>
        <v>2021-04-29</v>
      </c>
      <c r="C2100" s="22">
        <f ca="1"/>
        <v>255.46000699999999</v>
      </c>
      <c r="D2100" s="22">
        <f ca="1"/>
        <v>256.10000600000001</v>
      </c>
      <c r="E2100" s="22">
        <f ca="1"/>
        <v>249</v>
      </c>
      <c r="F2100" s="22">
        <f ca="1"/>
        <v>252.509995</v>
      </c>
      <c r="G2100" s="22">
        <f ca="1"/>
        <v>248.65772999999999</v>
      </c>
      <c r="H2100" s="69">
        <f ca="1"/>
        <v>40589000</v>
      </c>
      <c r="I2100" s="23" t="str">
        <f t="shared" ca="1" si="65"/>
        <v/>
      </c>
    </row>
    <row r="2101" spans="1:9" ht="13.8">
      <c r="A2101" s="20">
        <f t="shared" ca="1" si="64"/>
        <v>44316</v>
      </c>
      <c r="B2101" s="21" t="str">
        <f ca="1"/>
        <v>2021-04-30</v>
      </c>
      <c r="C2101" s="22">
        <f ca="1"/>
        <v>249.740005</v>
      </c>
      <c r="D2101" s="22">
        <f ca="1"/>
        <v>253.08000200000001</v>
      </c>
      <c r="E2101" s="22">
        <f ca="1"/>
        <v>249.60000600000001</v>
      </c>
      <c r="F2101" s="22">
        <f ca="1"/>
        <v>252.179993</v>
      </c>
      <c r="G2101" s="22">
        <f ca="1"/>
        <v>248.332809</v>
      </c>
      <c r="H2101" s="69">
        <f ca="1"/>
        <v>30945100</v>
      </c>
      <c r="I2101" s="23" t="str">
        <f t="shared" ca="1" si="65"/>
        <v/>
      </c>
    </row>
    <row r="2102" spans="1:9" ht="13.8">
      <c r="A2102" s="20">
        <f t="shared" ca="1" si="64"/>
        <v>44319</v>
      </c>
      <c r="B2102" s="21" t="str">
        <f ca="1"/>
        <v>2021-05-03</v>
      </c>
      <c r="C2102" s="22">
        <f ca="1"/>
        <v>253.39999399999999</v>
      </c>
      <c r="D2102" s="22">
        <f ca="1"/>
        <v>254.35000600000001</v>
      </c>
      <c r="E2102" s="22">
        <f ca="1"/>
        <v>251.11999499999999</v>
      </c>
      <c r="F2102" s="22">
        <f ca="1"/>
        <v>251.86000100000001</v>
      </c>
      <c r="G2102" s="22">
        <f ca="1"/>
        <v>248.01767000000001</v>
      </c>
      <c r="H2102" s="69">
        <f ca="1"/>
        <v>19626600</v>
      </c>
      <c r="I2102" s="23" t="str">
        <f t="shared" ca="1" si="65"/>
        <v/>
      </c>
    </row>
    <row r="2103" spans="1:9" ht="13.8">
      <c r="A2103" s="20">
        <f t="shared" ca="1" si="64"/>
        <v>44320</v>
      </c>
      <c r="B2103" s="21" t="str">
        <f ca="1"/>
        <v>2021-05-04</v>
      </c>
      <c r="C2103" s="22">
        <f ca="1"/>
        <v>250.970001</v>
      </c>
      <c r="D2103" s="22">
        <f ca="1"/>
        <v>251.21000699999999</v>
      </c>
      <c r="E2103" s="22">
        <f ca="1"/>
        <v>245.759995</v>
      </c>
      <c r="F2103" s="22">
        <f ca="1"/>
        <v>247.78999300000001</v>
      </c>
      <c r="G2103" s="22">
        <f ca="1"/>
        <v>244.00976600000001</v>
      </c>
      <c r="H2103" s="69">
        <f ca="1"/>
        <v>32756100</v>
      </c>
      <c r="I2103" s="23" t="str">
        <f t="shared" ca="1" si="65"/>
        <v/>
      </c>
    </row>
    <row r="2104" spans="1:9" ht="13.8">
      <c r="A2104" s="20">
        <f t="shared" ca="1" si="64"/>
        <v>44321</v>
      </c>
      <c r="B2104" s="21" t="str">
        <f ca="1"/>
        <v>2021-05-05</v>
      </c>
      <c r="C2104" s="22">
        <f ca="1"/>
        <v>249.05999800000001</v>
      </c>
      <c r="D2104" s="22">
        <f ca="1"/>
        <v>249.5</v>
      </c>
      <c r="E2104" s="22">
        <f ca="1"/>
        <v>245.820007</v>
      </c>
      <c r="F2104" s="22">
        <f ca="1"/>
        <v>246.470001</v>
      </c>
      <c r="G2104" s="22">
        <f ca="1"/>
        <v>242.7099</v>
      </c>
      <c r="H2104" s="69">
        <f ca="1"/>
        <v>21901300</v>
      </c>
      <c r="I2104" s="23" t="str">
        <f t="shared" ca="1" si="65"/>
        <v/>
      </c>
    </row>
    <row r="2105" spans="1:9" ht="13.8">
      <c r="A2105" s="20">
        <f t="shared" ca="1" si="64"/>
        <v>44322</v>
      </c>
      <c r="B2105" s="21" t="str">
        <f ca="1"/>
        <v>2021-05-06</v>
      </c>
      <c r="C2105" s="22">
        <f ca="1"/>
        <v>246.449997</v>
      </c>
      <c r="D2105" s="22">
        <f ca="1"/>
        <v>249.86000100000001</v>
      </c>
      <c r="E2105" s="22">
        <f ca="1"/>
        <v>244.69000199999999</v>
      </c>
      <c r="F2105" s="22">
        <f ca="1"/>
        <v>249.729996</v>
      </c>
      <c r="G2105" s="22">
        <f ca="1"/>
        <v>245.92016599999999</v>
      </c>
      <c r="H2105" s="69">
        <f ca="1"/>
        <v>26491100</v>
      </c>
      <c r="I2105" s="23" t="str">
        <f t="shared" ca="1" si="65"/>
        <v/>
      </c>
    </row>
    <row r="2106" spans="1:9" ht="13.8">
      <c r="A2106" s="20">
        <f t="shared" ca="1" si="64"/>
        <v>44323</v>
      </c>
      <c r="B2106" s="21" t="str">
        <f ca="1"/>
        <v>2021-05-07</v>
      </c>
      <c r="C2106" s="22">
        <f ca="1"/>
        <v>252.14999399999999</v>
      </c>
      <c r="D2106" s="22">
        <f ca="1"/>
        <v>254.300003</v>
      </c>
      <c r="E2106" s="22">
        <f ca="1"/>
        <v>251.16999799999999</v>
      </c>
      <c r="F2106" s="22">
        <f ca="1"/>
        <v>252.46000699999999</v>
      </c>
      <c r="G2106" s="22">
        <f ca="1"/>
        <v>248.608521</v>
      </c>
      <c r="H2106" s="69">
        <f ca="1"/>
        <v>27032900</v>
      </c>
      <c r="I2106" s="23" t="str">
        <f t="shared" ca="1" si="65"/>
        <v/>
      </c>
    </row>
    <row r="2107" spans="1:9" ht="13.8">
      <c r="A2107" s="20">
        <f t="shared" ca="1" si="64"/>
        <v>44326</v>
      </c>
      <c r="B2107" s="21" t="str">
        <f ca="1"/>
        <v>2021-05-10</v>
      </c>
      <c r="C2107" s="22">
        <f ca="1"/>
        <v>250.86999499999999</v>
      </c>
      <c r="D2107" s="22">
        <f ca="1"/>
        <v>251.729996</v>
      </c>
      <c r="E2107" s="22">
        <f ca="1"/>
        <v>247.11999499999999</v>
      </c>
      <c r="F2107" s="22">
        <f ca="1"/>
        <v>247.179993</v>
      </c>
      <c r="G2107" s="22">
        <f ca="1"/>
        <v>243.40907300000001</v>
      </c>
      <c r="H2107" s="69">
        <f ca="1"/>
        <v>29299900</v>
      </c>
      <c r="I2107" s="23" t="str">
        <f t="shared" ca="1" si="65"/>
        <v/>
      </c>
    </row>
    <row r="2108" spans="1:9" ht="13.8">
      <c r="A2108" s="20">
        <f t="shared" ca="1" si="64"/>
        <v>44327</v>
      </c>
      <c r="B2108" s="21" t="str">
        <f ca="1"/>
        <v>2021-05-11</v>
      </c>
      <c r="C2108" s="22">
        <f ca="1"/>
        <v>244.550003</v>
      </c>
      <c r="D2108" s="22">
        <f ca="1"/>
        <v>246.60000600000001</v>
      </c>
      <c r="E2108" s="22">
        <f ca="1"/>
        <v>242.570007</v>
      </c>
      <c r="F2108" s="22">
        <f ca="1"/>
        <v>246.229996</v>
      </c>
      <c r="G2108" s="22">
        <f ca="1"/>
        <v>242.47357199999999</v>
      </c>
      <c r="H2108" s="69">
        <f ca="1"/>
        <v>33641600</v>
      </c>
      <c r="I2108" s="23" t="str">
        <f t="shared" ca="1" si="65"/>
        <v/>
      </c>
    </row>
    <row r="2109" spans="1:9" ht="13.8">
      <c r="A2109" s="20">
        <f t="shared" ca="1" si="64"/>
        <v>44328</v>
      </c>
      <c r="B2109" s="21" t="str">
        <f ca="1"/>
        <v>2021-05-12</v>
      </c>
      <c r="C2109" s="22">
        <f ca="1"/>
        <v>242.16999799999999</v>
      </c>
      <c r="D2109" s="22">
        <f ca="1"/>
        <v>244.38000500000001</v>
      </c>
      <c r="E2109" s="22">
        <f ca="1"/>
        <v>238.070007</v>
      </c>
      <c r="F2109" s="22">
        <f ca="1"/>
        <v>239</v>
      </c>
      <c r="G2109" s="22">
        <f ca="1"/>
        <v>235.35385099999999</v>
      </c>
      <c r="H2109" s="69">
        <f ca="1"/>
        <v>36684400</v>
      </c>
      <c r="I2109" s="23" t="str">
        <f t="shared" ca="1" si="65"/>
        <v/>
      </c>
    </row>
    <row r="2110" spans="1:9" ht="13.8">
      <c r="A2110" s="20">
        <f t="shared" ca="1" si="64"/>
        <v>44329</v>
      </c>
      <c r="B2110" s="21" t="str">
        <f ca="1"/>
        <v>2021-05-13</v>
      </c>
      <c r="C2110" s="22">
        <f ca="1"/>
        <v>241.800003</v>
      </c>
      <c r="D2110" s="22">
        <f ca="1"/>
        <v>245.60000600000001</v>
      </c>
      <c r="E2110" s="22">
        <f ca="1"/>
        <v>241.41999799999999</v>
      </c>
      <c r="F2110" s="22">
        <f ca="1"/>
        <v>243.029999</v>
      </c>
      <c r="G2110" s="22">
        <f ca="1"/>
        <v>239.322372</v>
      </c>
      <c r="H2110" s="69">
        <f ca="1"/>
        <v>29624300</v>
      </c>
      <c r="I2110" s="23" t="str">
        <f t="shared" ca="1" si="65"/>
        <v/>
      </c>
    </row>
    <row r="2111" spans="1:9" ht="13.8">
      <c r="A2111" s="20">
        <f t="shared" ca="1" si="64"/>
        <v>44330</v>
      </c>
      <c r="B2111" s="21" t="str">
        <f ca="1"/>
        <v>2021-05-14</v>
      </c>
      <c r="C2111" s="22">
        <f ca="1"/>
        <v>245.58000200000001</v>
      </c>
      <c r="D2111" s="22">
        <f ca="1"/>
        <v>249.179993</v>
      </c>
      <c r="E2111" s="22">
        <f ca="1"/>
        <v>245.490005</v>
      </c>
      <c r="F2111" s="22">
        <f ca="1"/>
        <v>248.14999399999999</v>
      </c>
      <c r="G2111" s="22">
        <f ca="1"/>
        <v>244.36425800000001</v>
      </c>
      <c r="H2111" s="69">
        <f ca="1"/>
        <v>23901100</v>
      </c>
      <c r="I2111" s="23" t="str">
        <f t="shared" ca="1" si="65"/>
        <v/>
      </c>
    </row>
    <row r="2112" spans="1:9" ht="13.8">
      <c r="A2112" s="20">
        <f t="shared" ca="1" si="64"/>
        <v>44333</v>
      </c>
      <c r="B2112" s="21" t="str">
        <f ca="1"/>
        <v>2021-05-17</v>
      </c>
      <c r="C2112" s="22">
        <f ca="1"/>
        <v>246.550003</v>
      </c>
      <c r="D2112" s="22">
        <f ca="1"/>
        <v>246.58999600000001</v>
      </c>
      <c r="E2112" s="22">
        <f ca="1"/>
        <v>243.520004</v>
      </c>
      <c r="F2112" s="22">
        <f ca="1"/>
        <v>245.179993</v>
      </c>
      <c r="G2112" s="22">
        <f ca="1"/>
        <v>241.43957499999999</v>
      </c>
      <c r="H2112" s="69">
        <f ca="1"/>
        <v>24970200</v>
      </c>
      <c r="I2112" s="23" t="str">
        <f t="shared" ca="1" si="65"/>
        <v/>
      </c>
    </row>
    <row r="2113" spans="1:9" ht="13.8">
      <c r="A2113" s="20">
        <f t="shared" ca="1" si="64"/>
        <v>44334</v>
      </c>
      <c r="B2113" s="21" t="str">
        <f ca="1"/>
        <v>2021-05-18</v>
      </c>
      <c r="C2113" s="22">
        <f ca="1"/>
        <v>246.270004</v>
      </c>
      <c r="D2113" s="22">
        <f ca="1"/>
        <v>246.41000399999999</v>
      </c>
      <c r="E2113" s="22">
        <f ca="1"/>
        <v>242.89999399999999</v>
      </c>
      <c r="F2113" s="22">
        <f ca="1"/>
        <v>243.08000200000001</v>
      </c>
      <c r="G2113" s="22">
        <f ca="1"/>
        <v>239.37162799999999</v>
      </c>
      <c r="H2113" s="69">
        <f ca="1"/>
        <v>20168000</v>
      </c>
      <c r="I2113" s="23" t="str">
        <f t="shared" ca="1" si="65"/>
        <v/>
      </c>
    </row>
    <row r="2114" spans="1:9" ht="13.8">
      <c r="A2114" s="20">
        <f t="shared" ca="1" si="64"/>
        <v>44335</v>
      </c>
      <c r="B2114" s="21" t="str">
        <f ca="1"/>
        <v>2021-05-19</v>
      </c>
      <c r="C2114" s="22">
        <f ca="1"/>
        <v>239.30999800000001</v>
      </c>
      <c r="D2114" s="22">
        <f ca="1"/>
        <v>243.229996</v>
      </c>
      <c r="E2114" s="22">
        <f ca="1"/>
        <v>238.60000600000001</v>
      </c>
      <c r="F2114" s="22">
        <f ca="1"/>
        <v>243.11999499999999</v>
      </c>
      <c r="G2114" s="22">
        <f ca="1"/>
        <v>239.963821</v>
      </c>
      <c r="H2114" s="69">
        <f ca="1"/>
        <v>25739800</v>
      </c>
      <c r="I2114" s="23">
        <f t="shared" ca="1" si="65"/>
        <v>0.56000000000000005</v>
      </c>
    </row>
    <row r="2115" spans="1:9" ht="13.8">
      <c r="A2115" s="20">
        <f t="shared" ca="1" si="64"/>
        <v>44336</v>
      </c>
      <c r="B2115" s="21" t="str">
        <f ca="1"/>
        <v>2021-05-20</v>
      </c>
      <c r="C2115" s="22">
        <f ca="1"/>
        <v>243.96000699999999</v>
      </c>
      <c r="D2115" s="22">
        <f ca="1"/>
        <v>247.949997</v>
      </c>
      <c r="E2115" s="22">
        <f ca="1"/>
        <v>243.86000100000001</v>
      </c>
      <c r="F2115" s="22">
        <f ca="1"/>
        <v>246.479996</v>
      </c>
      <c r="G2115" s="22">
        <f ca="1"/>
        <v>243.28019699999999</v>
      </c>
      <c r="H2115" s="69">
        <f ca="1"/>
        <v>21800700</v>
      </c>
      <c r="I2115" s="23" t="str">
        <f t="shared" ca="1" si="65"/>
        <v/>
      </c>
    </row>
    <row r="2116" spans="1:9" ht="13.8">
      <c r="A2116" s="20">
        <f t="shared" ca="1" si="64"/>
        <v>44337</v>
      </c>
      <c r="B2116" s="21" t="str">
        <f ca="1"/>
        <v>2021-05-21</v>
      </c>
      <c r="C2116" s="22">
        <f ca="1"/>
        <v>247.570007</v>
      </c>
      <c r="D2116" s="22">
        <f ca="1"/>
        <v>248.33000200000001</v>
      </c>
      <c r="E2116" s="22">
        <f ca="1"/>
        <v>244.740005</v>
      </c>
      <c r="F2116" s="22">
        <f ca="1"/>
        <v>245.16999799999999</v>
      </c>
      <c r="G2116" s="22">
        <f ca="1"/>
        <v>241.98719800000001</v>
      </c>
      <c r="H2116" s="69">
        <f ca="1"/>
        <v>21863100</v>
      </c>
      <c r="I2116" s="23" t="str">
        <f t="shared" ca="1" si="65"/>
        <v/>
      </c>
    </row>
    <row r="2117" spans="1:9" ht="13.8">
      <c r="A2117" s="20">
        <f t="shared" ca="1" si="64"/>
        <v>44340</v>
      </c>
      <c r="B2117" s="21" t="str">
        <f ca="1"/>
        <v>2021-05-24</v>
      </c>
      <c r="C2117" s="22">
        <f ca="1"/>
        <v>247.78999300000001</v>
      </c>
      <c r="D2117" s="22">
        <f ca="1"/>
        <v>251.16000399999999</v>
      </c>
      <c r="E2117" s="22">
        <f ca="1"/>
        <v>247.509995</v>
      </c>
      <c r="F2117" s="22">
        <f ca="1"/>
        <v>250.779999</v>
      </c>
      <c r="G2117" s="22">
        <f ca="1"/>
        <v>247.524384</v>
      </c>
      <c r="H2117" s="69">
        <f ca="1"/>
        <v>21411500</v>
      </c>
      <c r="I2117" s="23" t="str">
        <f t="shared" ca="1" si="65"/>
        <v/>
      </c>
    </row>
    <row r="2118" spans="1:9" ht="13.8">
      <c r="A2118" s="20">
        <f t="shared" ref="A2118:A2181" ca="1" si="66">IFERROR(DATEVALUE($B2118),"--")</f>
        <v>44341</v>
      </c>
      <c r="B2118" s="21" t="str">
        <f ca="1"/>
        <v>2021-05-25</v>
      </c>
      <c r="C2118" s="22">
        <f ca="1"/>
        <v>251.770004</v>
      </c>
      <c r="D2118" s="22">
        <f ca="1"/>
        <v>252.75</v>
      </c>
      <c r="E2118" s="22">
        <f ca="1"/>
        <v>250.820007</v>
      </c>
      <c r="F2118" s="22">
        <f ca="1"/>
        <v>251.720001</v>
      </c>
      <c r="G2118" s="22">
        <f ca="1"/>
        <v>248.452179</v>
      </c>
      <c r="H2118" s="69">
        <f ca="1"/>
        <v>17704300</v>
      </c>
      <c r="I2118" s="23" t="str">
        <f t="shared" ref="I2118:I2181" ca="1" si="67">IFERROR(IF(Ticker&lt;&gt;$Q$2,"",INDEX($P:$P,MATCH($A2118,$O:$O,0))),"")</f>
        <v/>
      </c>
    </row>
    <row r="2119" spans="1:9" ht="13.8">
      <c r="A2119" s="20">
        <f t="shared" ca="1" si="66"/>
        <v>44342</v>
      </c>
      <c r="B2119" s="21" t="str">
        <f ca="1"/>
        <v>2021-05-26</v>
      </c>
      <c r="C2119" s="22">
        <f ca="1"/>
        <v>251.429993</v>
      </c>
      <c r="D2119" s="22">
        <f ca="1"/>
        <v>252.94000199999999</v>
      </c>
      <c r="E2119" s="22">
        <f ca="1"/>
        <v>250.75</v>
      </c>
      <c r="F2119" s="22">
        <f ca="1"/>
        <v>251.490005</v>
      </c>
      <c r="G2119" s="22">
        <f ca="1"/>
        <v>248.22517400000001</v>
      </c>
      <c r="H2119" s="69">
        <f ca="1"/>
        <v>17771600</v>
      </c>
      <c r="I2119" s="23" t="str">
        <f t="shared" ca="1" si="67"/>
        <v/>
      </c>
    </row>
    <row r="2120" spans="1:9" ht="13.8">
      <c r="A2120" s="20">
        <f t="shared" ca="1" si="66"/>
        <v>44343</v>
      </c>
      <c r="B2120" s="21" t="str">
        <f ca="1"/>
        <v>2021-05-27</v>
      </c>
      <c r="C2120" s="22">
        <f ca="1"/>
        <v>251.16999799999999</v>
      </c>
      <c r="D2120" s="22">
        <f ca="1"/>
        <v>251.479996</v>
      </c>
      <c r="E2120" s="22">
        <f ca="1"/>
        <v>249.25</v>
      </c>
      <c r="F2120" s="22">
        <f ca="1"/>
        <v>249.30999800000001</v>
      </c>
      <c r="G2120" s="22">
        <f ca="1"/>
        <v>246.07347100000001</v>
      </c>
      <c r="H2120" s="69">
        <f ca="1"/>
        <v>24426200</v>
      </c>
      <c r="I2120" s="23" t="str">
        <f t="shared" ca="1" si="67"/>
        <v/>
      </c>
    </row>
    <row r="2121" spans="1:9" ht="13.8">
      <c r="A2121" s="20">
        <f t="shared" ca="1" si="66"/>
        <v>44344</v>
      </c>
      <c r="B2121" s="21" t="str">
        <f ca="1"/>
        <v>2021-05-28</v>
      </c>
      <c r="C2121" s="22">
        <f ca="1"/>
        <v>251</v>
      </c>
      <c r="D2121" s="22">
        <f ca="1"/>
        <v>252.08000200000001</v>
      </c>
      <c r="E2121" s="22">
        <f ca="1"/>
        <v>249.55999800000001</v>
      </c>
      <c r="F2121" s="22">
        <f ca="1"/>
        <v>249.679993</v>
      </c>
      <c r="G2121" s="22">
        <f ca="1"/>
        <v>246.43866</v>
      </c>
      <c r="H2121" s="69">
        <f ca="1"/>
        <v>18270200</v>
      </c>
      <c r="I2121" s="23" t="str">
        <f t="shared" ca="1" si="67"/>
        <v/>
      </c>
    </row>
    <row r="2122" spans="1:9" ht="13.8">
      <c r="A2122" s="20">
        <f t="shared" ca="1" si="66"/>
        <v>44348</v>
      </c>
      <c r="B2122" s="21" t="str">
        <f ca="1"/>
        <v>2021-06-01</v>
      </c>
      <c r="C2122" s="22">
        <f ca="1"/>
        <v>251.229996</v>
      </c>
      <c r="D2122" s="22">
        <f ca="1"/>
        <v>251.28999300000001</v>
      </c>
      <c r="E2122" s="22">
        <f ca="1"/>
        <v>246.96000699999999</v>
      </c>
      <c r="F2122" s="22">
        <f ca="1"/>
        <v>247.39999399999999</v>
      </c>
      <c r="G2122" s="22">
        <f ca="1"/>
        <v>244.188278</v>
      </c>
      <c r="H2122" s="69">
        <f ca="1"/>
        <v>23213300</v>
      </c>
      <c r="I2122" s="23" t="str">
        <f t="shared" ca="1" si="67"/>
        <v/>
      </c>
    </row>
    <row r="2123" spans="1:9" ht="13.8">
      <c r="A2123" s="20">
        <f t="shared" ca="1" si="66"/>
        <v>44349</v>
      </c>
      <c r="B2123" s="21" t="str">
        <f ca="1"/>
        <v>2021-06-02</v>
      </c>
      <c r="C2123" s="22">
        <f ca="1"/>
        <v>248.13000500000001</v>
      </c>
      <c r="D2123" s="22">
        <f ca="1"/>
        <v>249.270004</v>
      </c>
      <c r="E2123" s="22">
        <f ca="1"/>
        <v>245.83999600000001</v>
      </c>
      <c r="F2123" s="22">
        <f ca="1"/>
        <v>247.300003</v>
      </c>
      <c r="G2123" s="22">
        <f ca="1"/>
        <v>244.08956900000001</v>
      </c>
      <c r="H2123" s="69">
        <f ca="1"/>
        <v>19406700</v>
      </c>
      <c r="I2123" s="23" t="str">
        <f t="shared" ca="1" si="67"/>
        <v/>
      </c>
    </row>
    <row r="2124" spans="1:9" ht="13.8">
      <c r="A2124" s="20">
        <f t="shared" ca="1" si="66"/>
        <v>44350</v>
      </c>
      <c r="B2124" s="21" t="str">
        <f ca="1"/>
        <v>2021-06-03</v>
      </c>
      <c r="C2124" s="22">
        <f ca="1"/>
        <v>245.220001</v>
      </c>
      <c r="D2124" s="22">
        <f ca="1"/>
        <v>246.33999600000001</v>
      </c>
      <c r="E2124" s="22">
        <f ca="1"/>
        <v>243</v>
      </c>
      <c r="F2124" s="22">
        <f ca="1"/>
        <v>245.71000699999999</v>
      </c>
      <c r="G2124" s="22">
        <f ca="1"/>
        <v>242.520218</v>
      </c>
      <c r="H2124" s="69">
        <f ca="1"/>
        <v>25307700</v>
      </c>
      <c r="I2124" s="23" t="str">
        <f t="shared" ca="1" si="67"/>
        <v/>
      </c>
    </row>
    <row r="2125" spans="1:9" ht="13.8">
      <c r="A2125" s="20">
        <f t="shared" ca="1" si="66"/>
        <v>44351</v>
      </c>
      <c r="B2125" s="21" t="str">
        <f ca="1"/>
        <v>2021-06-04</v>
      </c>
      <c r="C2125" s="22">
        <f ca="1"/>
        <v>247.759995</v>
      </c>
      <c r="D2125" s="22">
        <f ca="1"/>
        <v>251.64999399999999</v>
      </c>
      <c r="E2125" s="22">
        <f ca="1"/>
        <v>247.509995</v>
      </c>
      <c r="F2125" s="22">
        <f ca="1"/>
        <v>250.78999300000001</v>
      </c>
      <c r="G2125" s="22">
        <f ca="1"/>
        <v>247.534256</v>
      </c>
      <c r="H2125" s="69">
        <f ca="1"/>
        <v>25281100</v>
      </c>
      <c r="I2125" s="23" t="str">
        <f t="shared" ca="1" si="67"/>
        <v/>
      </c>
    </row>
    <row r="2126" spans="1:9" ht="13.8">
      <c r="A2126" s="20">
        <f t="shared" ca="1" si="66"/>
        <v>44354</v>
      </c>
      <c r="B2126" s="21" t="str">
        <f ca="1"/>
        <v>2021-06-07</v>
      </c>
      <c r="C2126" s="22">
        <f ca="1"/>
        <v>249.979996</v>
      </c>
      <c r="D2126" s="22">
        <f ca="1"/>
        <v>254.08999600000001</v>
      </c>
      <c r="E2126" s="22">
        <f ca="1"/>
        <v>249.80999800000001</v>
      </c>
      <c r="F2126" s="22">
        <f ca="1"/>
        <v>253.80999800000001</v>
      </c>
      <c r="G2126" s="22">
        <f ca="1"/>
        <v>250.51506000000001</v>
      </c>
      <c r="H2126" s="69">
        <f ca="1"/>
        <v>23079200</v>
      </c>
      <c r="I2126" s="23" t="str">
        <f t="shared" ca="1" si="67"/>
        <v/>
      </c>
    </row>
    <row r="2127" spans="1:9" ht="13.8">
      <c r="A2127" s="20">
        <f t="shared" ca="1" si="66"/>
        <v>44355</v>
      </c>
      <c r="B2127" s="21" t="str">
        <f ca="1"/>
        <v>2021-06-08</v>
      </c>
      <c r="C2127" s="22">
        <f ca="1"/>
        <v>255.16000399999999</v>
      </c>
      <c r="D2127" s="22">
        <f ca="1"/>
        <v>256.01001000000002</v>
      </c>
      <c r="E2127" s="22">
        <f ca="1"/>
        <v>252.509995</v>
      </c>
      <c r="F2127" s="22">
        <f ca="1"/>
        <v>252.570007</v>
      </c>
      <c r="G2127" s="22">
        <f ca="1"/>
        <v>249.29115300000001</v>
      </c>
      <c r="H2127" s="69">
        <f ca="1"/>
        <v>22455000</v>
      </c>
      <c r="I2127" s="23" t="str">
        <f t="shared" ca="1" si="67"/>
        <v/>
      </c>
    </row>
    <row r="2128" spans="1:9" ht="13.8">
      <c r="A2128" s="20">
        <f t="shared" ca="1" si="66"/>
        <v>44356</v>
      </c>
      <c r="B2128" s="21" t="str">
        <f ca="1"/>
        <v>2021-06-09</v>
      </c>
      <c r="C2128" s="22">
        <f ca="1"/>
        <v>253.80999800000001</v>
      </c>
      <c r="D2128" s="22">
        <f ca="1"/>
        <v>255.529999</v>
      </c>
      <c r="E2128" s="22">
        <f ca="1"/>
        <v>253.21000699999999</v>
      </c>
      <c r="F2128" s="22">
        <f ca="1"/>
        <v>253.58999600000001</v>
      </c>
      <c r="G2128" s="22">
        <f ca="1"/>
        <v>250.29791299999999</v>
      </c>
      <c r="H2128" s="69">
        <f ca="1"/>
        <v>17937600</v>
      </c>
      <c r="I2128" s="23" t="str">
        <f t="shared" ca="1" si="67"/>
        <v/>
      </c>
    </row>
    <row r="2129" spans="1:9" ht="13.8">
      <c r="A2129" s="20">
        <f t="shared" ca="1" si="66"/>
        <v>44357</v>
      </c>
      <c r="B2129" s="21" t="str">
        <f ca="1"/>
        <v>2021-06-10</v>
      </c>
      <c r="C2129" s="22">
        <f ca="1"/>
        <v>254.28999300000001</v>
      </c>
      <c r="D2129" s="22">
        <f ca="1"/>
        <v>257.459991</v>
      </c>
      <c r="E2129" s="22">
        <f ca="1"/>
        <v>253.66999799999999</v>
      </c>
      <c r="F2129" s="22">
        <f ca="1"/>
        <v>257.23998999999998</v>
      </c>
      <c r="G2129" s="22">
        <f ca="1"/>
        <v>253.90051299999999</v>
      </c>
      <c r="H2129" s="69">
        <f ca="1"/>
        <v>24563600</v>
      </c>
      <c r="I2129" s="23" t="str">
        <f t="shared" ca="1" si="67"/>
        <v/>
      </c>
    </row>
    <row r="2130" spans="1:9" ht="13.8">
      <c r="A2130" s="20">
        <f t="shared" ca="1" si="66"/>
        <v>44358</v>
      </c>
      <c r="B2130" s="21" t="str">
        <f ca="1"/>
        <v>2021-06-11</v>
      </c>
      <c r="C2130" s="22">
        <f ca="1"/>
        <v>257.98998999999998</v>
      </c>
      <c r="D2130" s="22">
        <f ca="1"/>
        <v>258.48998999999998</v>
      </c>
      <c r="E2130" s="22">
        <f ca="1"/>
        <v>256.60998499999999</v>
      </c>
      <c r="F2130" s="22">
        <f ca="1"/>
        <v>257.89001500000001</v>
      </c>
      <c r="G2130" s="22">
        <f ca="1"/>
        <v>254.54209900000001</v>
      </c>
      <c r="H2130" s="69">
        <f ca="1"/>
        <v>18999700</v>
      </c>
      <c r="I2130" s="23" t="str">
        <f t="shared" ca="1" si="67"/>
        <v/>
      </c>
    </row>
    <row r="2131" spans="1:9" ht="13.8">
      <c r="A2131" s="20">
        <f t="shared" ca="1" si="66"/>
        <v>44361</v>
      </c>
      <c r="B2131" s="21" t="str">
        <f ca="1"/>
        <v>2021-06-14</v>
      </c>
      <c r="C2131" s="22">
        <f ca="1"/>
        <v>257.89999399999999</v>
      </c>
      <c r="D2131" s="22">
        <f ca="1"/>
        <v>259.95001200000002</v>
      </c>
      <c r="E2131" s="22">
        <f ca="1"/>
        <v>256.79998799999998</v>
      </c>
      <c r="F2131" s="22">
        <f ca="1"/>
        <v>259.89001500000001</v>
      </c>
      <c r="G2131" s="22">
        <f ca="1"/>
        <v>256.516144</v>
      </c>
      <c r="H2131" s="69">
        <f ca="1"/>
        <v>19150500</v>
      </c>
      <c r="I2131" s="23" t="str">
        <f t="shared" ca="1" si="67"/>
        <v/>
      </c>
    </row>
    <row r="2132" spans="1:9" ht="13.8">
      <c r="A2132" s="20">
        <f t="shared" ca="1" si="66"/>
        <v>44362</v>
      </c>
      <c r="B2132" s="21" t="str">
        <f ca="1"/>
        <v>2021-06-15</v>
      </c>
      <c r="C2132" s="22">
        <f ca="1"/>
        <v>259.76998900000001</v>
      </c>
      <c r="D2132" s="22">
        <f ca="1"/>
        <v>259.98998999999998</v>
      </c>
      <c r="E2132" s="22">
        <f ca="1"/>
        <v>257.67999300000002</v>
      </c>
      <c r="F2132" s="22">
        <f ca="1"/>
        <v>258.35998499999999</v>
      </c>
      <c r="G2132" s="22">
        <f ca="1"/>
        <v>255.006012</v>
      </c>
      <c r="H2132" s="69">
        <f ca="1"/>
        <v>18038900</v>
      </c>
      <c r="I2132" s="23" t="str">
        <f t="shared" ca="1" si="67"/>
        <v/>
      </c>
    </row>
    <row r="2133" spans="1:9" ht="13.8">
      <c r="A2133" s="20">
        <f t="shared" ca="1" si="66"/>
        <v>44363</v>
      </c>
      <c r="B2133" s="21" t="str">
        <f ca="1"/>
        <v>2021-06-16</v>
      </c>
      <c r="C2133" s="22">
        <f ca="1"/>
        <v>259.39999399999999</v>
      </c>
      <c r="D2133" s="22">
        <f ca="1"/>
        <v>260.57998700000002</v>
      </c>
      <c r="E2133" s="22">
        <f ca="1"/>
        <v>254.41999799999999</v>
      </c>
      <c r="F2133" s="22">
        <f ca="1"/>
        <v>257.38000499999998</v>
      </c>
      <c r="G2133" s="22">
        <f ca="1"/>
        <v>254.03869599999999</v>
      </c>
      <c r="H2133" s="69">
        <f ca="1"/>
        <v>27220000</v>
      </c>
      <c r="I2133" s="23" t="str">
        <f t="shared" ca="1" si="67"/>
        <v/>
      </c>
    </row>
    <row r="2134" spans="1:9" ht="13.8">
      <c r="A2134" s="20">
        <f t="shared" ca="1" si="66"/>
        <v>44364</v>
      </c>
      <c r="B2134" s="21" t="str">
        <f ca="1"/>
        <v>2021-06-17</v>
      </c>
      <c r="C2134" s="22">
        <f ca="1"/>
        <v>256.07000699999998</v>
      </c>
      <c r="D2134" s="22">
        <f ca="1"/>
        <v>261.75</v>
      </c>
      <c r="E2134" s="22">
        <f ca="1"/>
        <v>256.01001000000002</v>
      </c>
      <c r="F2134" s="22">
        <f ca="1"/>
        <v>260.89999399999999</v>
      </c>
      <c r="G2134" s="22">
        <f ca="1"/>
        <v>257.51299999999998</v>
      </c>
      <c r="H2134" s="69">
        <f ca="1"/>
        <v>27565500</v>
      </c>
      <c r="I2134" s="23" t="str">
        <f t="shared" ca="1" si="67"/>
        <v/>
      </c>
    </row>
    <row r="2135" spans="1:9" ht="13.8">
      <c r="A2135" s="20">
        <f t="shared" ca="1" si="66"/>
        <v>44365</v>
      </c>
      <c r="B2135" s="21" t="str">
        <f ca="1"/>
        <v>2021-06-18</v>
      </c>
      <c r="C2135" s="22">
        <f ca="1"/>
        <v>259.63000499999998</v>
      </c>
      <c r="D2135" s="22">
        <f ca="1"/>
        <v>262.29998799999998</v>
      </c>
      <c r="E2135" s="22">
        <f ca="1"/>
        <v>258.75</v>
      </c>
      <c r="F2135" s="22">
        <f ca="1"/>
        <v>259.42999300000002</v>
      </c>
      <c r="G2135" s="22">
        <f ca="1"/>
        <v>256.06210299999998</v>
      </c>
      <c r="H2135" s="69">
        <f ca="1"/>
        <v>37202200</v>
      </c>
      <c r="I2135" s="23" t="str">
        <f t="shared" ca="1" si="67"/>
        <v/>
      </c>
    </row>
    <row r="2136" spans="1:9" ht="13.8">
      <c r="A2136" s="20">
        <f t="shared" ca="1" si="66"/>
        <v>44368</v>
      </c>
      <c r="B2136" s="21" t="str">
        <f ca="1"/>
        <v>2021-06-21</v>
      </c>
      <c r="C2136" s="22">
        <f ca="1"/>
        <v>259.82000699999998</v>
      </c>
      <c r="D2136" s="22">
        <f ca="1"/>
        <v>263.51998900000001</v>
      </c>
      <c r="E2136" s="22">
        <f ca="1"/>
        <v>257.92001299999998</v>
      </c>
      <c r="F2136" s="22">
        <f ca="1"/>
        <v>262.63000499999998</v>
      </c>
      <c r="G2136" s="22">
        <f ca="1"/>
        <v>259.220551</v>
      </c>
      <c r="H2136" s="69">
        <f ca="1"/>
        <v>26696100</v>
      </c>
      <c r="I2136" s="23" t="str">
        <f t="shared" ca="1" si="67"/>
        <v/>
      </c>
    </row>
    <row r="2137" spans="1:9" ht="13.8">
      <c r="A2137" s="20">
        <f t="shared" ca="1" si="66"/>
        <v>44369</v>
      </c>
      <c r="B2137" s="21" t="str">
        <f ca="1"/>
        <v>2021-06-22</v>
      </c>
      <c r="C2137" s="22">
        <f ca="1"/>
        <v>262.72000100000002</v>
      </c>
      <c r="D2137" s="22">
        <f ca="1"/>
        <v>265.790009</v>
      </c>
      <c r="E2137" s="22">
        <f ca="1"/>
        <v>262.39999399999999</v>
      </c>
      <c r="F2137" s="22">
        <f ca="1"/>
        <v>265.51001000000002</v>
      </c>
      <c r="G2137" s="22">
        <f ca="1"/>
        <v>262.06320199999999</v>
      </c>
      <c r="H2137" s="69">
        <f ca="1"/>
        <v>24694100</v>
      </c>
      <c r="I2137" s="23" t="str">
        <f t="shared" ca="1" si="67"/>
        <v/>
      </c>
    </row>
    <row r="2138" spans="1:9" ht="13.8">
      <c r="A2138" s="20">
        <f t="shared" ca="1" si="66"/>
        <v>44370</v>
      </c>
      <c r="B2138" s="21" t="str">
        <f ca="1"/>
        <v>2021-06-23</v>
      </c>
      <c r="C2138" s="22">
        <f ca="1"/>
        <v>265.98998999999998</v>
      </c>
      <c r="D2138" s="22">
        <f ca="1"/>
        <v>266.82998700000002</v>
      </c>
      <c r="E2138" s="22">
        <f ca="1"/>
        <v>264.42999300000002</v>
      </c>
      <c r="F2138" s="22">
        <f ca="1"/>
        <v>265.26998900000001</v>
      </c>
      <c r="G2138" s="22">
        <f ca="1"/>
        <v>261.82629400000002</v>
      </c>
      <c r="H2138" s="69">
        <f ca="1"/>
        <v>19518700</v>
      </c>
      <c r="I2138" s="23" t="str">
        <f t="shared" ca="1" si="67"/>
        <v/>
      </c>
    </row>
    <row r="2139" spans="1:9" ht="13.8">
      <c r="A2139" s="20">
        <f t="shared" ca="1" si="66"/>
        <v>44371</v>
      </c>
      <c r="B2139" s="21" t="str">
        <f ca="1"/>
        <v>2021-06-24</v>
      </c>
      <c r="C2139" s="22">
        <f ca="1"/>
        <v>266.16000400000001</v>
      </c>
      <c r="D2139" s="22">
        <f ca="1"/>
        <v>267.85000600000001</v>
      </c>
      <c r="E2139" s="22">
        <f ca="1"/>
        <v>265.47000100000002</v>
      </c>
      <c r="F2139" s="22">
        <f ca="1"/>
        <v>266.69000199999999</v>
      </c>
      <c r="G2139" s="22">
        <f ca="1"/>
        <v>263.227844</v>
      </c>
      <c r="H2139" s="69">
        <f ca="1"/>
        <v>21446900</v>
      </c>
      <c r="I2139" s="23" t="str">
        <f t="shared" ca="1" si="67"/>
        <v/>
      </c>
    </row>
    <row r="2140" spans="1:9" ht="13.8">
      <c r="A2140" s="20">
        <f t="shared" ca="1" si="66"/>
        <v>44372</v>
      </c>
      <c r="B2140" s="21" t="str">
        <f ca="1"/>
        <v>2021-06-25</v>
      </c>
      <c r="C2140" s="22">
        <f ca="1"/>
        <v>266.23001099999999</v>
      </c>
      <c r="D2140" s="22">
        <f ca="1"/>
        <v>267.25</v>
      </c>
      <c r="E2140" s="22">
        <f ca="1"/>
        <v>264.76001000000002</v>
      </c>
      <c r="F2140" s="22">
        <f ca="1"/>
        <v>265.01998900000001</v>
      </c>
      <c r="G2140" s="22">
        <f ca="1"/>
        <v>261.57952899999998</v>
      </c>
      <c r="H2140" s="69">
        <f ca="1"/>
        <v>25611100</v>
      </c>
      <c r="I2140" s="23" t="str">
        <f t="shared" ca="1" si="67"/>
        <v/>
      </c>
    </row>
    <row r="2141" spans="1:9" ht="13.8">
      <c r="A2141" s="20">
        <f t="shared" ca="1" si="66"/>
        <v>44375</v>
      </c>
      <c r="B2141" s="21" t="str">
        <f ca="1"/>
        <v>2021-06-28</v>
      </c>
      <c r="C2141" s="22">
        <f ca="1"/>
        <v>266.19000199999999</v>
      </c>
      <c r="D2141" s="22">
        <f ca="1"/>
        <v>268.89999399999999</v>
      </c>
      <c r="E2141" s="22">
        <f ca="1"/>
        <v>265.91000400000001</v>
      </c>
      <c r="F2141" s="22">
        <f ca="1"/>
        <v>268.72000100000002</v>
      </c>
      <c r="G2141" s="22">
        <f ca="1"/>
        <v>265.23150600000002</v>
      </c>
      <c r="H2141" s="69">
        <f ca="1"/>
        <v>19590000</v>
      </c>
      <c r="I2141" s="23" t="str">
        <f t="shared" ca="1" si="67"/>
        <v/>
      </c>
    </row>
    <row r="2142" spans="1:9" ht="13.8">
      <c r="A2142" s="20">
        <f t="shared" ca="1" si="66"/>
        <v>44376</v>
      </c>
      <c r="B2142" s="21" t="str">
        <f ca="1"/>
        <v>2021-06-29</v>
      </c>
      <c r="C2142" s="22">
        <f ca="1"/>
        <v>268.86999500000002</v>
      </c>
      <c r="D2142" s="22">
        <f ca="1"/>
        <v>271.64999399999999</v>
      </c>
      <c r="E2142" s="22">
        <f ca="1"/>
        <v>267.98001099999999</v>
      </c>
      <c r="F2142" s="22">
        <f ca="1"/>
        <v>271.39999399999999</v>
      </c>
      <c r="G2142" s="22">
        <f ca="1"/>
        <v>267.87670900000001</v>
      </c>
      <c r="H2142" s="69">
        <f ca="1"/>
        <v>19937800</v>
      </c>
      <c r="I2142" s="23" t="str">
        <f t="shared" ca="1" si="67"/>
        <v/>
      </c>
    </row>
    <row r="2143" spans="1:9" ht="13.8">
      <c r="A2143" s="20">
        <f t="shared" ca="1" si="66"/>
        <v>44377</v>
      </c>
      <c r="B2143" s="21" t="str">
        <f ca="1"/>
        <v>2021-06-30</v>
      </c>
      <c r="C2143" s="22">
        <f ca="1"/>
        <v>270.69000199999999</v>
      </c>
      <c r="D2143" s="22">
        <f ca="1"/>
        <v>271.35998499999999</v>
      </c>
      <c r="E2143" s="22">
        <f ca="1"/>
        <v>269.60000600000001</v>
      </c>
      <c r="F2143" s="22">
        <f ca="1"/>
        <v>270.89999399999999</v>
      </c>
      <c r="G2143" s="22">
        <f ca="1"/>
        <v>267.38317899999998</v>
      </c>
      <c r="H2143" s="69">
        <f ca="1"/>
        <v>21656500</v>
      </c>
      <c r="I2143" s="23" t="str">
        <f t="shared" ca="1" si="67"/>
        <v/>
      </c>
    </row>
    <row r="2144" spans="1:9" ht="13.8">
      <c r="A2144" s="20">
        <f t="shared" ca="1" si="66"/>
        <v>44378</v>
      </c>
      <c r="B2144" s="21" t="str">
        <f ca="1"/>
        <v>2021-07-01</v>
      </c>
      <c r="C2144" s="22">
        <f ca="1"/>
        <v>269.60998499999999</v>
      </c>
      <c r="D2144" s="22">
        <f ca="1"/>
        <v>271.83999599999999</v>
      </c>
      <c r="E2144" s="22">
        <f ca="1"/>
        <v>269.60000600000001</v>
      </c>
      <c r="F2144" s="22">
        <f ca="1"/>
        <v>271.60000600000001</v>
      </c>
      <c r="G2144" s="22">
        <f ca="1"/>
        <v>268.07412699999998</v>
      </c>
      <c r="H2144" s="69">
        <f ca="1"/>
        <v>16725300</v>
      </c>
      <c r="I2144" s="23" t="str">
        <f t="shared" ca="1" si="67"/>
        <v/>
      </c>
    </row>
    <row r="2145" spans="1:9" ht="13.8">
      <c r="A2145" s="20">
        <f t="shared" ca="1" si="66"/>
        <v>44379</v>
      </c>
      <c r="B2145" s="21" t="str">
        <f ca="1"/>
        <v>2021-07-02</v>
      </c>
      <c r="C2145" s="22">
        <f ca="1"/>
        <v>272.82000699999998</v>
      </c>
      <c r="D2145" s="22">
        <f ca="1"/>
        <v>278</v>
      </c>
      <c r="E2145" s="22">
        <f ca="1"/>
        <v>272.5</v>
      </c>
      <c r="F2145" s="22">
        <f ca="1"/>
        <v>277.64999399999999</v>
      </c>
      <c r="G2145" s="22">
        <f ca="1"/>
        <v>274.04556300000002</v>
      </c>
      <c r="H2145" s="69">
        <f ca="1"/>
        <v>26458000</v>
      </c>
      <c r="I2145" s="23" t="str">
        <f t="shared" ca="1" si="67"/>
        <v/>
      </c>
    </row>
    <row r="2146" spans="1:9" ht="13.8">
      <c r="A2146" s="20">
        <f t="shared" ca="1" si="66"/>
        <v>44383</v>
      </c>
      <c r="B2146" s="21" t="str">
        <f ca="1"/>
        <v>2021-07-06</v>
      </c>
      <c r="C2146" s="22">
        <f ca="1"/>
        <v>278.02999899999998</v>
      </c>
      <c r="D2146" s="22">
        <f ca="1"/>
        <v>279.36999500000002</v>
      </c>
      <c r="E2146" s="22">
        <f ca="1"/>
        <v>274.29998799999998</v>
      </c>
      <c r="F2146" s="22">
        <f ca="1"/>
        <v>277.66000400000001</v>
      </c>
      <c r="G2146" s="22">
        <f ca="1"/>
        <v>274.05538899999999</v>
      </c>
      <c r="H2146" s="69">
        <f ca="1"/>
        <v>31565600</v>
      </c>
      <c r="I2146" s="23" t="str">
        <f t="shared" ca="1" si="67"/>
        <v/>
      </c>
    </row>
    <row r="2147" spans="1:9" ht="13.8">
      <c r="A2147" s="20">
        <f t="shared" ca="1" si="66"/>
        <v>44384</v>
      </c>
      <c r="B2147" s="21" t="str">
        <f ca="1"/>
        <v>2021-07-07</v>
      </c>
      <c r="C2147" s="22">
        <f ca="1"/>
        <v>279.39999399999999</v>
      </c>
      <c r="D2147" s="22">
        <f ca="1"/>
        <v>280.69000199999999</v>
      </c>
      <c r="E2147" s="22">
        <f ca="1"/>
        <v>277.14999399999999</v>
      </c>
      <c r="F2147" s="22">
        <f ca="1"/>
        <v>279.92999300000002</v>
      </c>
      <c r="G2147" s="22">
        <f ca="1"/>
        <v>276.295929</v>
      </c>
      <c r="H2147" s="69">
        <f ca="1"/>
        <v>23260000</v>
      </c>
      <c r="I2147" s="23" t="str">
        <f t="shared" ca="1" si="67"/>
        <v/>
      </c>
    </row>
    <row r="2148" spans="1:9" ht="13.8">
      <c r="A2148" s="20">
        <f t="shared" ca="1" si="66"/>
        <v>44385</v>
      </c>
      <c r="B2148" s="21" t="str">
        <f ca="1"/>
        <v>2021-07-08</v>
      </c>
      <c r="C2148" s="22">
        <f ca="1"/>
        <v>276.89999399999999</v>
      </c>
      <c r="D2148" s="22">
        <f ca="1"/>
        <v>278.73001099999999</v>
      </c>
      <c r="E2148" s="22">
        <f ca="1"/>
        <v>274.86999500000002</v>
      </c>
      <c r="F2148" s="22">
        <f ca="1"/>
        <v>277.42001299999998</v>
      </c>
      <c r="G2148" s="22">
        <f ca="1"/>
        <v>273.81854199999998</v>
      </c>
      <c r="H2148" s="69">
        <f ca="1"/>
        <v>24618600</v>
      </c>
      <c r="I2148" s="23" t="str">
        <f t="shared" ca="1" si="67"/>
        <v/>
      </c>
    </row>
    <row r="2149" spans="1:9" ht="13.8">
      <c r="A2149" s="20">
        <f t="shared" ca="1" si="66"/>
        <v>44386</v>
      </c>
      <c r="B2149" s="21" t="str">
        <f ca="1"/>
        <v>2021-07-09</v>
      </c>
      <c r="C2149" s="22">
        <f ca="1"/>
        <v>275.72000100000002</v>
      </c>
      <c r="D2149" s="22">
        <f ca="1"/>
        <v>278.04998799999998</v>
      </c>
      <c r="E2149" s="22">
        <f ca="1"/>
        <v>275.32000699999998</v>
      </c>
      <c r="F2149" s="22">
        <f ca="1"/>
        <v>277.94000199999999</v>
      </c>
      <c r="G2149" s="22">
        <f ca="1"/>
        <v>274.331818</v>
      </c>
      <c r="H2149" s="69">
        <f ca="1"/>
        <v>23916700</v>
      </c>
      <c r="I2149" s="23" t="str">
        <f t="shared" ca="1" si="67"/>
        <v/>
      </c>
    </row>
    <row r="2150" spans="1:9" ht="13.8">
      <c r="A2150" s="20">
        <f t="shared" ca="1" si="66"/>
        <v>44389</v>
      </c>
      <c r="B2150" s="21" t="str">
        <f ca="1"/>
        <v>2021-07-12</v>
      </c>
      <c r="C2150" s="22">
        <f ca="1"/>
        <v>279.16000400000001</v>
      </c>
      <c r="D2150" s="22">
        <f ca="1"/>
        <v>279.76998900000001</v>
      </c>
      <c r="E2150" s="22">
        <f ca="1"/>
        <v>276.57998700000002</v>
      </c>
      <c r="F2150" s="22">
        <f ca="1"/>
        <v>277.32000699999998</v>
      </c>
      <c r="G2150" s="22">
        <f ca="1"/>
        <v>273.71984900000001</v>
      </c>
      <c r="H2150" s="69">
        <f ca="1"/>
        <v>18931700</v>
      </c>
      <c r="I2150" s="23" t="str">
        <f t="shared" ca="1" si="67"/>
        <v/>
      </c>
    </row>
    <row r="2151" spans="1:9" ht="13.8">
      <c r="A2151" s="20">
        <f t="shared" ca="1" si="66"/>
        <v>44390</v>
      </c>
      <c r="B2151" s="21" t="str">
        <f ca="1"/>
        <v>2021-07-13</v>
      </c>
      <c r="C2151" s="22">
        <f ca="1"/>
        <v>277.51998900000001</v>
      </c>
      <c r="D2151" s="22">
        <f ca="1"/>
        <v>282.85000600000001</v>
      </c>
      <c r="E2151" s="22">
        <f ca="1"/>
        <v>277.39001500000001</v>
      </c>
      <c r="F2151" s="22">
        <f ca="1"/>
        <v>280.98001099999999</v>
      </c>
      <c r="G2151" s="22">
        <f ca="1"/>
        <v>277.33236699999998</v>
      </c>
      <c r="H2151" s="69">
        <f ca="1"/>
        <v>26120100</v>
      </c>
      <c r="I2151" s="23" t="str">
        <f t="shared" ca="1" si="67"/>
        <v/>
      </c>
    </row>
    <row r="2152" spans="1:9" ht="13.8">
      <c r="A2152" s="20">
        <f t="shared" ca="1" si="66"/>
        <v>44391</v>
      </c>
      <c r="B2152" s="21" t="str">
        <f ca="1"/>
        <v>2021-07-14</v>
      </c>
      <c r="C2152" s="22">
        <f ca="1"/>
        <v>282.35000600000001</v>
      </c>
      <c r="D2152" s="22">
        <f ca="1"/>
        <v>283.66000400000001</v>
      </c>
      <c r="E2152" s="22">
        <f ca="1"/>
        <v>280.54998799999998</v>
      </c>
      <c r="F2152" s="22">
        <f ca="1"/>
        <v>282.51001000000002</v>
      </c>
      <c r="G2152" s="22">
        <f ca="1"/>
        <v>278.84249899999998</v>
      </c>
      <c r="H2152" s="69">
        <f ca="1"/>
        <v>23113700</v>
      </c>
      <c r="I2152" s="23" t="str">
        <f t="shared" ca="1" si="67"/>
        <v/>
      </c>
    </row>
    <row r="2153" spans="1:9" ht="13.8">
      <c r="A2153" s="20">
        <f t="shared" ca="1" si="66"/>
        <v>44392</v>
      </c>
      <c r="B2153" s="21" t="str">
        <f ca="1"/>
        <v>2021-07-15</v>
      </c>
      <c r="C2153" s="22">
        <f ca="1"/>
        <v>282</v>
      </c>
      <c r="D2153" s="22">
        <f ca="1"/>
        <v>282.51001000000002</v>
      </c>
      <c r="E2153" s="22">
        <f ca="1"/>
        <v>279.82998700000002</v>
      </c>
      <c r="F2153" s="22">
        <f ca="1"/>
        <v>281.02999899999998</v>
      </c>
      <c r="G2153" s="22">
        <f ca="1"/>
        <v>277.38168300000001</v>
      </c>
      <c r="H2153" s="69">
        <f ca="1"/>
        <v>22604200</v>
      </c>
      <c r="I2153" s="23" t="str">
        <f t="shared" ca="1" si="67"/>
        <v/>
      </c>
    </row>
    <row r="2154" spans="1:9" ht="13.8">
      <c r="A2154" s="20">
        <f t="shared" ca="1" si="66"/>
        <v>44393</v>
      </c>
      <c r="B2154" s="21" t="str">
        <f ca="1"/>
        <v>2021-07-16</v>
      </c>
      <c r="C2154" s="22">
        <f ca="1"/>
        <v>282.07000699999998</v>
      </c>
      <c r="D2154" s="22">
        <f ca="1"/>
        <v>284.10000600000001</v>
      </c>
      <c r="E2154" s="22">
        <f ca="1"/>
        <v>279.459991</v>
      </c>
      <c r="F2154" s="22">
        <f ca="1"/>
        <v>280.75</v>
      </c>
      <c r="G2154" s="22">
        <f ca="1"/>
        <v>277.10531600000002</v>
      </c>
      <c r="H2154" s="69">
        <f ca="1"/>
        <v>26186800</v>
      </c>
      <c r="I2154" s="23" t="str">
        <f t="shared" ca="1" si="67"/>
        <v/>
      </c>
    </row>
    <row r="2155" spans="1:9" ht="13.8">
      <c r="A2155" s="20">
        <f t="shared" ca="1" si="66"/>
        <v>44396</v>
      </c>
      <c r="B2155" s="21" t="str">
        <f ca="1"/>
        <v>2021-07-19</v>
      </c>
      <c r="C2155" s="22">
        <f ca="1"/>
        <v>278.92999300000002</v>
      </c>
      <c r="D2155" s="22">
        <f ca="1"/>
        <v>280.36999500000002</v>
      </c>
      <c r="E2155" s="22">
        <f ca="1"/>
        <v>274.45001200000002</v>
      </c>
      <c r="F2155" s="22">
        <f ca="1"/>
        <v>277.01001000000002</v>
      </c>
      <c r="G2155" s="22">
        <f ca="1"/>
        <v>273.41387900000001</v>
      </c>
      <c r="H2155" s="69">
        <f ca="1"/>
        <v>32935600</v>
      </c>
      <c r="I2155" s="23" t="str">
        <f t="shared" ca="1" si="67"/>
        <v/>
      </c>
    </row>
    <row r="2156" spans="1:9" ht="13.8">
      <c r="A2156" s="20">
        <f t="shared" ca="1" si="66"/>
        <v>44397</v>
      </c>
      <c r="B2156" s="21" t="str">
        <f ca="1"/>
        <v>2021-07-20</v>
      </c>
      <c r="C2156" s="22">
        <f ca="1"/>
        <v>278.02999899999998</v>
      </c>
      <c r="D2156" s="22">
        <f ca="1"/>
        <v>280.97000100000002</v>
      </c>
      <c r="E2156" s="22">
        <f ca="1"/>
        <v>276.26001000000002</v>
      </c>
      <c r="F2156" s="22">
        <f ca="1"/>
        <v>279.32000699999998</v>
      </c>
      <c r="G2156" s="22">
        <f ca="1"/>
        <v>275.69387799999998</v>
      </c>
      <c r="H2156" s="69">
        <f ca="1"/>
        <v>26259700</v>
      </c>
      <c r="I2156" s="23" t="str">
        <f t="shared" ca="1" si="67"/>
        <v/>
      </c>
    </row>
    <row r="2157" spans="1:9" ht="13.8">
      <c r="A2157" s="20">
        <f t="shared" ca="1" si="66"/>
        <v>44398</v>
      </c>
      <c r="B2157" s="21" t="str">
        <f ca="1"/>
        <v>2021-07-21</v>
      </c>
      <c r="C2157" s="22">
        <f ca="1"/>
        <v>278.89999399999999</v>
      </c>
      <c r="D2157" s="22">
        <f ca="1"/>
        <v>281.51998900000001</v>
      </c>
      <c r="E2157" s="22">
        <f ca="1"/>
        <v>277.290009</v>
      </c>
      <c r="F2157" s="22">
        <f ca="1"/>
        <v>281.39999399999999</v>
      </c>
      <c r="G2157" s="22">
        <f ca="1"/>
        <v>277.746826</v>
      </c>
      <c r="H2157" s="69">
        <f ca="1"/>
        <v>24364300</v>
      </c>
      <c r="I2157" s="23" t="str">
        <f t="shared" ca="1" si="67"/>
        <v/>
      </c>
    </row>
    <row r="2158" spans="1:9" ht="13.8">
      <c r="A2158" s="20">
        <f t="shared" ca="1" si="66"/>
        <v>44399</v>
      </c>
      <c r="B2158" s="21" t="str">
        <f ca="1"/>
        <v>2021-07-22</v>
      </c>
      <c r="C2158" s="22">
        <f ca="1"/>
        <v>283.83999599999999</v>
      </c>
      <c r="D2158" s="22">
        <f ca="1"/>
        <v>286.42001299999998</v>
      </c>
      <c r="E2158" s="22">
        <f ca="1"/>
        <v>283.42001299999998</v>
      </c>
      <c r="F2158" s="22">
        <f ca="1"/>
        <v>286.14001500000001</v>
      </c>
      <c r="G2158" s="22">
        <f ca="1"/>
        <v>282.42535400000003</v>
      </c>
      <c r="H2158" s="69">
        <f ca="1"/>
        <v>23384100</v>
      </c>
      <c r="I2158" s="23" t="str">
        <f t="shared" ca="1" si="67"/>
        <v/>
      </c>
    </row>
    <row r="2159" spans="1:9" ht="13.8">
      <c r="A2159" s="20">
        <f t="shared" ca="1" si="66"/>
        <v>44400</v>
      </c>
      <c r="B2159" s="21" t="str">
        <f ca="1"/>
        <v>2021-07-23</v>
      </c>
      <c r="C2159" s="22">
        <f ca="1"/>
        <v>287.36999500000002</v>
      </c>
      <c r="D2159" s="22">
        <f ca="1"/>
        <v>289.98998999999998</v>
      </c>
      <c r="E2159" s="22">
        <f ca="1"/>
        <v>286.5</v>
      </c>
      <c r="F2159" s="22">
        <f ca="1"/>
        <v>289.67001299999998</v>
      </c>
      <c r="G2159" s="22">
        <f ca="1"/>
        <v>285.90957600000002</v>
      </c>
      <c r="H2159" s="69">
        <f ca="1"/>
        <v>22768100</v>
      </c>
      <c r="I2159" s="23" t="str">
        <f t="shared" ca="1" si="67"/>
        <v/>
      </c>
    </row>
    <row r="2160" spans="1:9" ht="13.8">
      <c r="A2160" s="20">
        <f t="shared" ca="1" si="66"/>
        <v>44403</v>
      </c>
      <c r="B2160" s="21" t="str">
        <f ca="1"/>
        <v>2021-07-26</v>
      </c>
      <c r="C2160" s="22">
        <f ca="1"/>
        <v>289</v>
      </c>
      <c r="D2160" s="22">
        <f ca="1"/>
        <v>289.69000199999999</v>
      </c>
      <c r="E2160" s="22">
        <f ca="1"/>
        <v>286.64001500000001</v>
      </c>
      <c r="F2160" s="22">
        <f ca="1"/>
        <v>289.04998799999998</v>
      </c>
      <c r="G2160" s="22">
        <f ca="1"/>
        <v>285.29754600000001</v>
      </c>
      <c r="H2160" s="69">
        <f ca="1"/>
        <v>23176100</v>
      </c>
      <c r="I2160" s="23" t="str">
        <f t="shared" ca="1" si="67"/>
        <v/>
      </c>
    </row>
    <row r="2161" spans="1:9" ht="13.8">
      <c r="A2161" s="20">
        <f t="shared" ca="1" si="66"/>
        <v>44404</v>
      </c>
      <c r="B2161" s="21" t="str">
        <f ca="1"/>
        <v>2021-07-27</v>
      </c>
      <c r="C2161" s="22">
        <f ca="1"/>
        <v>289.42999300000002</v>
      </c>
      <c r="D2161" s="22">
        <f ca="1"/>
        <v>289.57998700000002</v>
      </c>
      <c r="E2161" s="22">
        <f ca="1"/>
        <v>282.95001200000002</v>
      </c>
      <c r="F2161" s="22">
        <f ca="1"/>
        <v>286.540009</v>
      </c>
      <c r="G2161" s="22">
        <f ca="1"/>
        <v>282.82019000000003</v>
      </c>
      <c r="H2161" s="69">
        <f ca="1"/>
        <v>33604100</v>
      </c>
      <c r="I2161" s="23" t="str">
        <f t="shared" ca="1" si="67"/>
        <v/>
      </c>
    </row>
    <row r="2162" spans="1:9" ht="13.8">
      <c r="A2162" s="20">
        <f t="shared" ca="1" si="66"/>
        <v>44405</v>
      </c>
      <c r="B2162" s="21" t="str">
        <f ca="1"/>
        <v>2021-07-28</v>
      </c>
      <c r="C2162" s="22">
        <f ca="1"/>
        <v>288.98998999999998</v>
      </c>
      <c r="D2162" s="22">
        <f ca="1"/>
        <v>290.14999399999999</v>
      </c>
      <c r="E2162" s="22">
        <f ca="1"/>
        <v>283.82998700000002</v>
      </c>
      <c r="F2162" s="22">
        <f ca="1"/>
        <v>286.22000100000002</v>
      </c>
      <c r="G2162" s="22">
        <f ca="1"/>
        <v>282.50430299999999</v>
      </c>
      <c r="H2162" s="69">
        <f ca="1"/>
        <v>33566900</v>
      </c>
      <c r="I2162" s="23" t="str">
        <f t="shared" ca="1" si="67"/>
        <v/>
      </c>
    </row>
    <row r="2163" spans="1:9" ht="13.8">
      <c r="A2163" s="20">
        <f t="shared" ca="1" si="66"/>
        <v>44406</v>
      </c>
      <c r="B2163" s="21" t="str">
        <f ca="1"/>
        <v>2021-07-29</v>
      </c>
      <c r="C2163" s="22">
        <f ca="1"/>
        <v>286.23998999999998</v>
      </c>
      <c r="D2163" s="22">
        <f ca="1"/>
        <v>288.61999500000002</v>
      </c>
      <c r="E2163" s="22">
        <f ca="1"/>
        <v>286.07998700000002</v>
      </c>
      <c r="F2163" s="22">
        <f ca="1"/>
        <v>286.5</v>
      </c>
      <c r="G2163" s="22">
        <f ca="1"/>
        <v>282.78064000000001</v>
      </c>
      <c r="H2163" s="69">
        <f ca="1"/>
        <v>18168300</v>
      </c>
      <c r="I2163" s="23" t="str">
        <f t="shared" ca="1" si="67"/>
        <v/>
      </c>
    </row>
    <row r="2164" spans="1:9" ht="13.8">
      <c r="A2164" s="20">
        <f t="shared" ca="1" si="66"/>
        <v>44407</v>
      </c>
      <c r="B2164" s="21" t="str">
        <f ca="1"/>
        <v>2021-07-30</v>
      </c>
      <c r="C2164" s="22">
        <f ca="1"/>
        <v>285.17001299999998</v>
      </c>
      <c r="D2164" s="22">
        <f ca="1"/>
        <v>286.66000400000001</v>
      </c>
      <c r="E2164" s="22">
        <f ca="1"/>
        <v>283.91000400000001</v>
      </c>
      <c r="F2164" s="22">
        <f ca="1"/>
        <v>284.91000400000001</v>
      </c>
      <c r="G2164" s="22">
        <f ca="1"/>
        <v>281.21130399999998</v>
      </c>
      <c r="H2164" s="69">
        <f ca="1"/>
        <v>20944800</v>
      </c>
      <c r="I2164" s="23" t="str">
        <f t="shared" ca="1" si="67"/>
        <v/>
      </c>
    </row>
    <row r="2165" spans="1:9" ht="13.8">
      <c r="A2165" s="20">
        <f t="shared" ca="1" si="66"/>
        <v>44410</v>
      </c>
      <c r="B2165" s="21" t="str">
        <f ca="1"/>
        <v>2021-08-02</v>
      </c>
      <c r="C2165" s="22">
        <f ca="1"/>
        <v>286.35998499999999</v>
      </c>
      <c r="D2165" s="22">
        <f ca="1"/>
        <v>286.76998900000001</v>
      </c>
      <c r="E2165" s="22">
        <f ca="1"/>
        <v>283.73998999999998</v>
      </c>
      <c r="F2165" s="22">
        <f ca="1"/>
        <v>284.82000699999998</v>
      </c>
      <c r="G2165" s="22">
        <f ca="1"/>
        <v>281.12249800000001</v>
      </c>
      <c r="H2165" s="69">
        <f ca="1"/>
        <v>16267400</v>
      </c>
      <c r="I2165" s="23" t="str">
        <f t="shared" ca="1" si="67"/>
        <v/>
      </c>
    </row>
    <row r="2166" spans="1:9" ht="13.8">
      <c r="A2166" s="20">
        <f t="shared" ca="1" si="66"/>
        <v>44411</v>
      </c>
      <c r="B2166" s="21" t="str">
        <f ca="1"/>
        <v>2021-08-03</v>
      </c>
      <c r="C2166" s="22">
        <f ca="1"/>
        <v>285.42001299999998</v>
      </c>
      <c r="D2166" s="22">
        <f ca="1"/>
        <v>287.23001099999999</v>
      </c>
      <c r="E2166" s="22">
        <f ca="1"/>
        <v>284</v>
      </c>
      <c r="F2166" s="22">
        <f ca="1"/>
        <v>287.11999500000002</v>
      </c>
      <c r="G2166" s="22">
        <f ca="1"/>
        <v>283.39263899999997</v>
      </c>
      <c r="H2166" s="69">
        <f ca="1"/>
        <v>17879000</v>
      </c>
      <c r="I2166" s="23" t="str">
        <f t="shared" ca="1" si="67"/>
        <v/>
      </c>
    </row>
    <row r="2167" spans="1:9" ht="13.8">
      <c r="A2167" s="20">
        <f t="shared" ca="1" si="66"/>
        <v>44412</v>
      </c>
      <c r="B2167" s="21" t="str">
        <f ca="1"/>
        <v>2021-08-04</v>
      </c>
      <c r="C2167" s="22">
        <f ca="1"/>
        <v>286.22000100000002</v>
      </c>
      <c r="D2167" s="22">
        <f ca="1"/>
        <v>287.58999599999999</v>
      </c>
      <c r="E2167" s="22">
        <f ca="1"/>
        <v>284.64999399999999</v>
      </c>
      <c r="F2167" s="22">
        <f ca="1"/>
        <v>286.51001000000002</v>
      </c>
      <c r="G2167" s="22">
        <f ca="1"/>
        <v>282.79058800000001</v>
      </c>
      <c r="H2167" s="69">
        <f ca="1"/>
        <v>16191300</v>
      </c>
      <c r="I2167" s="23" t="str">
        <f t="shared" ca="1" si="67"/>
        <v/>
      </c>
    </row>
    <row r="2168" spans="1:9" ht="13.8">
      <c r="A2168" s="20">
        <f t="shared" ca="1" si="66"/>
        <v>44413</v>
      </c>
      <c r="B2168" s="21" t="str">
        <f ca="1"/>
        <v>2021-08-05</v>
      </c>
      <c r="C2168" s="22">
        <f ca="1"/>
        <v>286.88000499999998</v>
      </c>
      <c r="D2168" s="22">
        <f ca="1"/>
        <v>289.63000499999998</v>
      </c>
      <c r="E2168" s="22">
        <f ca="1"/>
        <v>286.10000600000001</v>
      </c>
      <c r="F2168" s="22">
        <f ca="1"/>
        <v>289.51998900000001</v>
      </c>
      <c r="G2168" s="22">
        <f ca="1"/>
        <v>285.76144399999998</v>
      </c>
      <c r="H2168" s="69">
        <f ca="1"/>
        <v>13900200</v>
      </c>
      <c r="I2168" s="23" t="str">
        <f t="shared" ca="1" si="67"/>
        <v/>
      </c>
    </row>
    <row r="2169" spans="1:9" ht="13.8">
      <c r="A2169" s="20">
        <f t="shared" ca="1" si="66"/>
        <v>44414</v>
      </c>
      <c r="B2169" s="21" t="str">
        <f ca="1"/>
        <v>2021-08-06</v>
      </c>
      <c r="C2169" s="22">
        <f ca="1"/>
        <v>288.51001000000002</v>
      </c>
      <c r="D2169" s="22">
        <f ca="1"/>
        <v>289.5</v>
      </c>
      <c r="E2169" s="22">
        <f ca="1"/>
        <v>287.61999500000002</v>
      </c>
      <c r="F2169" s="22">
        <f ca="1"/>
        <v>289.459991</v>
      </c>
      <c r="G2169" s="22">
        <f ca="1"/>
        <v>285.702271</v>
      </c>
      <c r="H2169" s="69">
        <f ca="1"/>
        <v>16589300</v>
      </c>
      <c r="I2169" s="23" t="str">
        <f t="shared" ca="1" si="67"/>
        <v/>
      </c>
    </row>
    <row r="2170" spans="1:9" ht="13.8">
      <c r="A2170" s="20">
        <f t="shared" ca="1" si="66"/>
        <v>44417</v>
      </c>
      <c r="B2170" s="21" t="str">
        <f ca="1"/>
        <v>2021-08-09</v>
      </c>
      <c r="C2170" s="22">
        <f ca="1"/>
        <v>289.75</v>
      </c>
      <c r="D2170" s="22">
        <f ca="1"/>
        <v>291.54998799999998</v>
      </c>
      <c r="E2170" s="22">
        <f ca="1"/>
        <v>287.80999800000001</v>
      </c>
      <c r="F2170" s="22">
        <f ca="1"/>
        <v>288.32998700000002</v>
      </c>
      <c r="G2170" s="22">
        <f ca="1"/>
        <v>284.58691399999998</v>
      </c>
      <c r="H2170" s="69">
        <f ca="1"/>
        <v>16117600</v>
      </c>
      <c r="I2170" s="23" t="str">
        <f t="shared" ca="1" si="67"/>
        <v/>
      </c>
    </row>
    <row r="2171" spans="1:9" ht="13.8">
      <c r="A2171" s="20">
        <f t="shared" ca="1" si="66"/>
        <v>44418</v>
      </c>
      <c r="B2171" s="21" t="str">
        <f ca="1"/>
        <v>2021-08-10</v>
      </c>
      <c r="C2171" s="22">
        <f ca="1"/>
        <v>288.79998799999998</v>
      </c>
      <c r="D2171" s="22">
        <f ca="1"/>
        <v>289.25</v>
      </c>
      <c r="E2171" s="22">
        <f ca="1"/>
        <v>285.20001200000002</v>
      </c>
      <c r="F2171" s="22">
        <f ca="1"/>
        <v>286.44000199999999</v>
      </c>
      <c r="G2171" s="22">
        <f ca="1"/>
        <v>282.72143599999998</v>
      </c>
      <c r="H2171" s="69">
        <f ca="1"/>
        <v>18616600</v>
      </c>
      <c r="I2171" s="23" t="str">
        <f t="shared" ca="1" si="67"/>
        <v/>
      </c>
    </row>
    <row r="2172" spans="1:9" ht="13.8">
      <c r="A2172" s="20">
        <f t="shared" ca="1" si="66"/>
        <v>44419</v>
      </c>
      <c r="B2172" s="21" t="str">
        <f ca="1"/>
        <v>2021-08-11</v>
      </c>
      <c r="C2172" s="22">
        <f ca="1"/>
        <v>287.209991</v>
      </c>
      <c r="D2172" s="22">
        <f ca="1"/>
        <v>288.66000400000001</v>
      </c>
      <c r="E2172" s="22">
        <f ca="1"/>
        <v>285.85998499999999</v>
      </c>
      <c r="F2172" s="22">
        <f ca="1"/>
        <v>286.95001200000002</v>
      </c>
      <c r="G2172" s="22">
        <f ca="1"/>
        <v>283.22482300000001</v>
      </c>
      <c r="H2172" s="69">
        <f ca="1"/>
        <v>13955900</v>
      </c>
      <c r="I2172" s="23" t="str">
        <f t="shared" ca="1" si="67"/>
        <v/>
      </c>
    </row>
    <row r="2173" spans="1:9" ht="13.8">
      <c r="A2173" s="20">
        <f t="shared" ca="1" si="66"/>
        <v>44420</v>
      </c>
      <c r="B2173" s="21" t="str">
        <f ca="1"/>
        <v>2021-08-12</v>
      </c>
      <c r="C2173" s="22">
        <f ca="1"/>
        <v>286.63000499999998</v>
      </c>
      <c r="D2173" s="22">
        <f ca="1"/>
        <v>289.97000100000002</v>
      </c>
      <c r="E2173" s="22">
        <f ca="1"/>
        <v>286.33999599999999</v>
      </c>
      <c r="F2173" s="22">
        <f ca="1"/>
        <v>289.80999800000001</v>
      </c>
      <c r="G2173" s="22">
        <f ca="1"/>
        <v>286.04769900000002</v>
      </c>
      <c r="H2173" s="69">
        <f ca="1"/>
        <v>14561300</v>
      </c>
      <c r="I2173" s="23" t="str">
        <f t="shared" ca="1" si="67"/>
        <v/>
      </c>
    </row>
    <row r="2174" spans="1:9" ht="13.8">
      <c r="A2174" s="20">
        <f t="shared" ca="1" si="66"/>
        <v>44421</v>
      </c>
      <c r="B2174" s="21" t="str">
        <f ca="1"/>
        <v>2021-08-13</v>
      </c>
      <c r="C2174" s="22">
        <f ca="1"/>
        <v>289.48001099999999</v>
      </c>
      <c r="D2174" s="22">
        <f ca="1"/>
        <v>292.89999399999999</v>
      </c>
      <c r="E2174" s="22">
        <f ca="1"/>
        <v>289.29998799999998</v>
      </c>
      <c r="F2174" s="22">
        <f ca="1"/>
        <v>292.85000600000001</v>
      </c>
      <c r="G2174" s="22">
        <f ca="1"/>
        <v>289.04827899999998</v>
      </c>
      <c r="H2174" s="69">
        <f ca="1"/>
        <v>18249000</v>
      </c>
      <c r="I2174" s="23" t="str">
        <f t="shared" ca="1" si="67"/>
        <v/>
      </c>
    </row>
    <row r="2175" spans="1:9" ht="13.8">
      <c r="A2175" s="20">
        <f t="shared" ca="1" si="66"/>
        <v>44424</v>
      </c>
      <c r="B2175" s="21" t="str">
        <f ca="1"/>
        <v>2021-08-16</v>
      </c>
      <c r="C2175" s="22">
        <f ca="1"/>
        <v>293.19000199999999</v>
      </c>
      <c r="D2175" s="22">
        <f ca="1"/>
        <v>294.82000699999998</v>
      </c>
      <c r="E2175" s="22">
        <f ca="1"/>
        <v>290.01998900000001</v>
      </c>
      <c r="F2175" s="22">
        <f ca="1"/>
        <v>294.60000600000001</v>
      </c>
      <c r="G2175" s="22">
        <f ca="1"/>
        <v>290.77551299999999</v>
      </c>
      <c r="H2175" s="69">
        <f ca="1"/>
        <v>22507600</v>
      </c>
      <c r="I2175" s="23" t="str">
        <f t="shared" ca="1" si="67"/>
        <v/>
      </c>
    </row>
    <row r="2176" spans="1:9" ht="13.8">
      <c r="A2176" s="20">
        <f t="shared" ca="1" si="66"/>
        <v>44425</v>
      </c>
      <c r="B2176" s="21" t="str">
        <f ca="1"/>
        <v>2021-08-17</v>
      </c>
      <c r="C2176" s="22">
        <f ca="1"/>
        <v>292.39001500000001</v>
      </c>
      <c r="D2176" s="22">
        <f ca="1"/>
        <v>293.42999300000002</v>
      </c>
      <c r="E2176" s="22">
        <f ca="1"/>
        <v>291.07998700000002</v>
      </c>
      <c r="F2176" s="22">
        <f ca="1"/>
        <v>293.07998700000002</v>
      </c>
      <c r="G2176" s="22">
        <f ca="1"/>
        <v>289.275238</v>
      </c>
      <c r="H2176" s="69">
        <f ca="1"/>
        <v>20075300</v>
      </c>
      <c r="I2176" s="23" t="str">
        <f t="shared" ca="1" si="67"/>
        <v/>
      </c>
    </row>
    <row r="2177" spans="1:9" ht="13.8">
      <c r="A2177" s="20">
        <f t="shared" ca="1" si="66"/>
        <v>44426</v>
      </c>
      <c r="B2177" s="21" t="str">
        <f ca="1"/>
        <v>2021-08-18</v>
      </c>
      <c r="C2177" s="22">
        <f ca="1"/>
        <v>292.040009</v>
      </c>
      <c r="D2177" s="22">
        <f ca="1"/>
        <v>294.82000699999998</v>
      </c>
      <c r="E2177" s="22">
        <f ca="1"/>
        <v>290.26998900000001</v>
      </c>
      <c r="F2177" s="22">
        <f ca="1"/>
        <v>290.73001099999999</v>
      </c>
      <c r="G2177" s="22">
        <f ca="1"/>
        <v>287.50509599999998</v>
      </c>
      <c r="H2177" s="69">
        <f ca="1"/>
        <v>21813000</v>
      </c>
      <c r="I2177" s="23">
        <f t="shared" ca="1" si="67"/>
        <v>0.56000000000000005</v>
      </c>
    </row>
    <row r="2178" spans="1:9" ht="13.8">
      <c r="A2178" s="20">
        <f t="shared" ca="1" si="66"/>
        <v>44427</v>
      </c>
      <c r="B2178" s="21" t="str">
        <f ca="1"/>
        <v>2021-08-19</v>
      </c>
      <c r="C2178" s="22">
        <f ca="1"/>
        <v>288.69000199999999</v>
      </c>
      <c r="D2178" s="22">
        <f ca="1"/>
        <v>297.47000100000002</v>
      </c>
      <c r="E2178" s="22">
        <f ca="1"/>
        <v>288.64001500000001</v>
      </c>
      <c r="F2178" s="22">
        <f ca="1"/>
        <v>296.76998900000001</v>
      </c>
      <c r="G2178" s="22">
        <f ca="1"/>
        <v>293.47808800000001</v>
      </c>
      <c r="H2178" s="69">
        <f ca="1"/>
        <v>29850500</v>
      </c>
      <c r="I2178" s="23" t="str">
        <f t="shared" ca="1" si="67"/>
        <v/>
      </c>
    </row>
    <row r="2179" spans="1:9" ht="13.8">
      <c r="A2179" s="20">
        <f t="shared" ca="1" si="66"/>
        <v>44428</v>
      </c>
      <c r="B2179" s="21" t="str">
        <f ca="1"/>
        <v>2021-08-20</v>
      </c>
      <c r="C2179" s="22">
        <f ca="1"/>
        <v>299.72000100000002</v>
      </c>
      <c r="D2179" s="22">
        <f ca="1"/>
        <v>305.83999599999999</v>
      </c>
      <c r="E2179" s="22">
        <f ca="1"/>
        <v>298.05999800000001</v>
      </c>
      <c r="F2179" s="22">
        <f ca="1"/>
        <v>304.35998499999999</v>
      </c>
      <c r="G2179" s="22">
        <f ca="1"/>
        <v>300.98391700000002</v>
      </c>
      <c r="H2179" s="69">
        <f ca="1"/>
        <v>40817600</v>
      </c>
      <c r="I2179" s="23" t="str">
        <f t="shared" ca="1" si="67"/>
        <v/>
      </c>
    </row>
    <row r="2180" spans="1:9" ht="13.8">
      <c r="A2180" s="20">
        <f t="shared" ca="1" si="66"/>
        <v>44431</v>
      </c>
      <c r="B2180" s="21" t="str">
        <f ca="1"/>
        <v>2021-08-23</v>
      </c>
      <c r="C2180" s="22">
        <f ca="1"/>
        <v>303.25</v>
      </c>
      <c r="D2180" s="22">
        <f ca="1"/>
        <v>305.39999399999999</v>
      </c>
      <c r="E2180" s="22">
        <f ca="1"/>
        <v>301.85000600000001</v>
      </c>
      <c r="F2180" s="22">
        <f ca="1"/>
        <v>304.64999399999999</v>
      </c>
      <c r="G2180" s="22">
        <f ca="1"/>
        <v>301.27072099999998</v>
      </c>
      <c r="H2180" s="69">
        <f ca="1"/>
        <v>22830200</v>
      </c>
      <c r="I2180" s="23" t="str">
        <f t="shared" ca="1" si="67"/>
        <v/>
      </c>
    </row>
    <row r="2181" spans="1:9" ht="13.8">
      <c r="A2181" s="20">
        <f t="shared" ca="1" si="66"/>
        <v>44432</v>
      </c>
      <c r="B2181" s="21" t="str">
        <f ca="1"/>
        <v>2021-08-24</v>
      </c>
      <c r="C2181" s="22">
        <f ca="1"/>
        <v>305.01998900000001</v>
      </c>
      <c r="D2181" s="22">
        <f ca="1"/>
        <v>305.64999399999999</v>
      </c>
      <c r="E2181" s="22">
        <f ca="1"/>
        <v>302</v>
      </c>
      <c r="F2181" s="22">
        <f ca="1"/>
        <v>302.61999500000002</v>
      </c>
      <c r="G2181" s="22">
        <f ca="1"/>
        <v>299.263214</v>
      </c>
      <c r="H2181" s="69">
        <f ca="1"/>
        <v>18175800</v>
      </c>
      <c r="I2181" s="23" t="str">
        <f t="shared" ca="1" si="67"/>
        <v/>
      </c>
    </row>
    <row r="2182" spans="1:9" ht="13.8">
      <c r="A2182" s="20">
        <f t="shared" ref="A2182:A2245" ca="1" si="68">IFERROR(DATEVALUE($B2182),"--")</f>
        <v>44433</v>
      </c>
      <c r="B2182" s="21" t="str">
        <f ca="1"/>
        <v>2021-08-25</v>
      </c>
      <c r="C2182" s="22">
        <f ca="1"/>
        <v>304.29998799999998</v>
      </c>
      <c r="D2182" s="22">
        <f ca="1"/>
        <v>304.58999599999999</v>
      </c>
      <c r="E2182" s="22">
        <f ca="1"/>
        <v>300.42001299999998</v>
      </c>
      <c r="F2182" s="22">
        <f ca="1"/>
        <v>302.01001000000002</v>
      </c>
      <c r="G2182" s="22">
        <f ca="1"/>
        <v>298.65997299999998</v>
      </c>
      <c r="H2182" s="69">
        <f ca="1"/>
        <v>20006100</v>
      </c>
      <c r="I2182" s="23" t="str">
        <f t="shared" ref="I2182:I2245" ca="1" si="69">IFERROR(IF(Ticker&lt;&gt;$Q$2,"",INDEX($P:$P,MATCH($A2182,$O:$O,0))),"")</f>
        <v/>
      </c>
    </row>
    <row r="2183" spans="1:9" ht="13.8">
      <c r="A2183" s="20">
        <f t="shared" ca="1" si="68"/>
        <v>44434</v>
      </c>
      <c r="B2183" s="21" t="str">
        <f ca="1"/>
        <v>2021-08-26</v>
      </c>
      <c r="C2183" s="22">
        <f ca="1"/>
        <v>300.98998999999998</v>
      </c>
      <c r="D2183" s="22">
        <f ca="1"/>
        <v>302.42999300000002</v>
      </c>
      <c r="E2183" s="22">
        <f ca="1"/>
        <v>298.95001200000002</v>
      </c>
      <c r="F2183" s="22">
        <f ca="1"/>
        <v>299.08999599999999</v>
      </c>
      <c r="G2183" s="22">
        <f ca="1"/>
        <v>295.7724</v>
      </c>
      <c r="H2183" s="69">
        <f ca="1"/>
        <v>17666100</v>
      </c>
      <c r="I2183" s="23" t="str">
        <f t="shared" ca="1" si="69"/>
        <v/>
      </c>
    </row>
    <row r="2184" spans="1:9" ht="13.8">
      <c r="A2184" s="20">
        <f t="shared" ca="1" si="68"/>
        <v>44435</v>
      </c>
      <c r="B2184" s="21" t="str">
        <f ca="1"/>
        <v>2021-08-27</v>
      </c>
      <c r="C2184" s="22">
        <f ca="1"/>
        <v>298.98998999999998</v>
      </c>
      <c r="D2184" s="22">
        <f ca="1"/>
        <v>300.86999500000002</v>
      </c>
      <c r="E2184" s="22">
        <f ca="1"/>
        <v>296.82998700000002</v>
      </c>
      <c r="F2184" s="22">
        <f ca="1"/>
        <v>299.72000100000002</v>
      </c>
      <c r="G2184" s="22">
        <f ca="1"/>
        <v>296.39538599999997</v>
      </c>
      <c r="H2184" s="69">
        <f ca="1"/>
        <v>22605700</v>
      </c>
      <c r="I2184" s="23" t="str">
        <f t="shared" ca="1" si="69"/>
        <v/>
      </c>
    </row>
    <row r="2185" spans="1:9" ht="13.8">
      <c r="A2185" s="20">
        <f t="shared" ca="1" si="68"/>
        <v>44438</v>
      </c>
      <c r="B2185" s="21" t="str">
        <f ca="1"/>
        <v>2021-08-30</v>
      </c>
      <c r="C2185" s="22">
        <f ca="1"/>
        <v>301.11999500000002</v>
      </c>
      <c r="D2185" s="22">
        <f ca="1"/>
        <v>304.22000100000002</v>
      </c>
      <c r="E2185" s="22">
        <f ca="1"/>
        <v>301.05999800000001</v>
      </c>
      <c r="F2185" s="22">
        <f ca="1"/>
        <v>303.58999599999999</v>
      </c>
      <c r="G2185" s="22">
        <f ca="1"/>
        <v>300.22247299999998</v>
      </c>
      <c r="H2185" s="69">
        <f ca="1"/>
        <v>16348100</v>
      </c>
      <c r="I2185" s="23" t="str">
        <f t="shared" ca="1" si="69"/>
        <v/>
      </c>
    </row>
    <row r="2186" spans="1:9" ht="13.8">
      <c r="A2186" s="20">
        <f t="shared" ca="1" si="68"/>
        <v>44439</v>
      </c>
      <c r="B2186" s="21" t="str">
        <f ca="1"/>
        <v>2021-08-31</v>
      </c>
      <c r="C2186" s="22">
        <f ca="1"/>
        <v>304.42001299999998</v>
      </c>
      <c r="D2186" s="22">
        <f ca="1"/>
        <v>304.5</v>
      </c>
      <c r="E2186" s="22">
        <f ca="1"/>
        <v>301.5</v>
      </c>
      <c r="F2186" s="22">
        <f ca="1"/>
        <v>301.88000499999998</v>
      </c>
      <c r="G2186" s="22">
        <f ca="1"/>
        <v>298.53143299999999</v>
      </c>
      <c r="H2186" s="69">
        <f ca="1"/>
        <v>26285300</v>
      </c>
      <c r="I2186" s="23" t="str">
        <f t="shared" ca="1" si="69"/>
        <v/>
      </c>
    </row>
    <row r="2187" spans="1:9" ht="13.8">
      <c r="A2187" s="20">
        <f t="shared" ca="1" si="68"/>
        <v>44440</v>
      </c>
      <c r="B2187" s="21" t="str">
        <f ca="1"/>
        <v>2021-09-01</v>
      </c>
      <c r="C2187" s="22">
        <f ca="1"/>
        <v>302.86999500000002</v>
      </c>
      <c r="D2187" s="22">
        <f ca="1"/>
        <v>305.19000199999999</v>
      </c>
      <c r="E2187" s="22">
        <f ca="1"/>
        <v>301.48998999999998</v>
      </c>
      <c r="F2187" s="22">
        <f ca="1"/>
        <v>301.82998700000002</v>
      </c>
      <c r="G2187" s="22">
        <f ca="1"/>
        <v>298.48199499999998</v>
      </c>
      <c r="H2187" s="69">
        <f ca="1"/>
        <v>18983800</v>
      </c>
      <c r="I2187" s="23" t="str">
        <f t="shared" ca="1" si="69"/>
        <v/>
      </c>
    </row>
    <row r="2188" spans="1:9" ht="13.8">
      <c r="A2188" s="20">
        <f t="shared" ca="1" si="68"/>
        <v>44441</v>
      </c>
      <c r="B2188" s="21" t="str">
        <f ca="1"/>
        <v>2021-09-02</v>
      </c>
      <c r="C2188" s="22">
        <f ca="1"/>
        <v>302.20001200000002</v>
      </c>
      <c r="D2188" s="22">
        <f ca="1"/>
        <v>303.35998499999999</v>
      </c>
      <c r="E2188" s="22">
        <f ca="1"/>
        <v>300.17999300000002</v>
      </c>
      <c r="F2188" s="22">
        <f ca="1"/>
        <v>301.14999399999999</v>
      </c>
      <c r="G2188" s="22">
        <f ca="1"/>
        <v>297.80954000000003</v>
      </c>
      <c r="H2188" s="69">
        <f ca="1"/>
        <v>16285600</v>
      </c>
      <c r="I2188" s="23" t="str">
        <f t="shared" ca="1" si="69"/>
        <v/>
      </c>
    </row>
    <row r="2189" spans="1:9" ht="13.8">
      <c r="A2189" s="20">
        <f t="shared" ca="1" si="68"/>
        <v>44442</v>
      </c>
      <c r="B2189" s="21" t="str">
        <f ca="1"/>
        <v>2021-09-03</v>
      </c>
      <c r="C2189" s="22">
        <f ca="1"/>
        <v>300.98998999999998</v>
      </c>
      <c r="D2189" s="22">
        <f ca="1"/>
        <v>302.60000600000001</v>
      </c>
      <c r="E2189" s="22">
        <f ca="1"/>
        <v>300.26001000000002</v>
      </c>
      <c r="F2189" s="22">
        <f ca="1"/>
        <v>301.14001500000001</v>
      </c>
      <c r="G2189" s="22">
        <f ca="1"/>
        <v>297.79968300000002</v>
      </c>
      <c r="H2189" s="69">
        <f ca="1"/>
        <v>14747900</v>
      </c>
      <c r="I2189" s="23" t="str">
        <f t="shared" ca="1" si="69"/>
        <v/>
      </c>
    </row>
    <row r="2190" spans="1:9" ht="13.8">
      <c r="A2190" s="20">
        <f t="shared" ca="1" si="68"/>
        <v>44446</v>
      </c>
      <c r="B2190" s="21" t="str">
        <f ca="1"/>
        <v>2021-09-07</v>
      </c>
      <c r="C2190" s="22">
        <f ca="1"/>
        <v>301.01001000000002</v>
      </c>
      <c r="D2190" s="22">
        <f ca="1"/>
        <v>301.08999599999999</v>
      </c>
      <c r="E2190" s="22">
        <f ca="1"/>
        <v>298.20001200000002</v>
      </c>
      <c r="F2190" s="22">
        <f ca="1"/>
        <v>300.17999300000002</v>
      </c>
      <c r="G2190" s="22">
        <f ca="1"/>
        <v>296.850281</v>
      </c>
      <c r="H2190" s="69">
        <f ca="1"/>
        <v>17180400</v>
      </c>
      <c r="I2190" s="23" t="str">
        <f t="shared" ca="1" si="69"/>
        <v/>
      </c>
    </row>
    <row r="2191" spans="1:9" ht="13.8">
      <c r="A2191" s="20">
        <f t="shared" ca="1" si="68"/>
        <v>44447</v>
      </c>
      <c r="B2191" s="21" t="str">
        <f ca="1"/>
        <v>2021-09-08</v>
      </c>
      <c r="C2191" s="22">
        <f ca="1"/>
        <v>299.77999899999998</v>
      </c>
      <c r="D2191" s="22">
        <f ca="1"/>
        <v>300.60998499999999</v>
      </c>
      <c r="E2191" s="22">
        <f ca="1"/>
        <v>297.47000100000002</v>
      </c>
      <c r="F2191" s="22">
        <f ca="1"/>
        <v>300.209991</v>
      </c>
      <c r="G2191" s="22">
        <f ca="1"/>
        <v>296.87991299999999</v>
      </c>
      <c r="H2191" s="69">
        <f ca="1"/>
        <v>15046800</v>
      </c>
      <c r="I2191" s="23" t="str">
        <f t="shared" ca="1" si="69"/>
        <v/>
      </c>
    </row>
    <row r="2192" spans="1:9" ht="13.8">
      <c r="A2192" s="20">
        <f t="shared" ca="1" si="68"/>
        <v>44448</v>
      </c>
      <c r="B2192" s="21" t="str">
        <f ca="1"/>
        <v>2021-09-09</v>
      </c>
      <c r="C2192" s="22">
        <f ca="1"/>
        <v>300.82000699999998</v>
      </c>
      <c r="D2192" s="22">
        <f ca="1"/>
        <v>302.14001500000001</v>
      </c>
      <c r="E2192" s="22">
        <f ca="1"/>
        <v>297</v>
      </c>
      <c r="F2192" s="22">
        <f ca="1"/>
        <v>297.25</v>
      </c>
      <c r="G2192" s="22">
        <f ca="1"/>
        <v>293.95281999999997</v>
      </c>
      <c r="H2192" s="69">
        <f ca="1"/>
        <v>19927000</v>
      </c>
      <c r="I2192" s="23" t="str">
        <f t="shared" ca="1" si="69"/>
        <v/>
      </c>
    </row>
    <row r="2193" spans="1:9" ht="13.8">
      <c r="A2193" s="20">
        <f t="shared" ca="1" si="68"/>
        <v>44449</v>
      </c>
      <c r="B2193" s="21" t="str">
        <f ca="1"/>
        <v>2021-09-10</v>
      </c>
      <c r="C2193" s="22">
        <f ca="1"/>
        <v>298.42001299999998</v>
      </c>
      <c r="D2193" s="22">
        <f ca="1"/>
        <v>299.92001299999998</v>
      </c>
      <c r="E2193" s="22">
        <f ca="1"/>
        <v>295.38000499999998</v>
      </c>
      <c r="F2193" s="22">
        <f ca="1"/>
        <v>295.709991</v>
      </c>
      <c r="G2193" s="22">
        <f ca="1"/>
        <v>292.42987099999999</v>
      </c>
      <c r="H2193" s="69">
        <f ca="1"/>
        <v>19633400</v>
      </c>
      <c r="I2193" s="23" t="str">
        <f t="shared" ca="1" si="69"/>
        <v/>
      </c>
    </row>
    <row r="2194" spans="1:9" ht="13.8">
      <c r="A2194" s="20">
        <f t="shared" ca="1" si="68"/>
        <v>44452</v>
      </c>
      <c r="B2194" s="21" t="str">
        <f ca="1"/>
        <v>2021-09-13</v>
      </c>
      <c r="C2194" s="22">
        <f ca="1"/>
        <v>297.54998799999998</v>
      </c>
      <c r="D2194" s="22">
        <f ca="1"/>
        <v>298.540009</v>
      </c>
      <c r="E2194" s="22">
        <f ca="1"/>
        <v>294.07998700000002</v>
      </c>
      <c r="F2194" s="22">
        <f ca="1"/>
        <v>296.98998999999998</v>
      </c>
      <c r="G2194" s="22">
        <f ca="1"/>
        <v>293.69567899999998</v>
      </c>
      <c r="H2194" s="69">
        <f ca="1"/>
        <v>23652900</v>
      </c>
      <c r="I2194" s="23" t="str">
        <f t="shared" ca="1" si="69"/>
        <v/>
      </c>
    </row>
    <row r="2195" spans="1:9" ht="13.8">
      <c r="A2195" s="20">
        <f t="shared" ca="1" si="68"/>
        <v>44453</v>
      </c>
      <c r="B2195" s="21" t="str">
        <f ca="1"/>
        <v>2021-09-14</v>
      </c>
      <c r="C2195" s="22">
        <f ca="1"/>
        <v>299.55999800000001</v>
      </c>
      <c r="D2195" s="22">
        <f ca="1"/>
        <v>301.39001500000001</v>
      </c>
      <c r="E2195" s="22">
        <f ca="1"/>
        <v>298.10000600000001</v>
      </c>
      <c r="F2195" s="22">
        <f ca="1"/>
        <v>299.790009</v>
      </c>
      <c r="G2195" s="22">
        <f ca="1"/>
        <v>296.46460000000002</v>
      </c>
      <c r="H2195" s="69">
        <f ca="1"/>
        <v>21853400</v>
      </c>
      <c r="I2195" s="23" t="str">
        <f t="shared" ca="1" si="69"/>
        <v/>
      </c>
    </row>
    <row r="2196" spans="1:9" ht="13.8">
      <c r="A2196" s="20">
        <f t="shared" ca="1" si="68"/>
        <v>44454</v>
      </c>
      <c r="B2196" s="21" t="str">
        <f ca="1"/>
        <v>2021-09-15</v>
      </c>
      <c r="C2196" s="22">
        <f ca="1"/>
        <v>303.26001000000002</v>
      </c>
      <c r="D2196" s="22">
        <f ca="1"/>
        <v>305.32000699999998</v>
      </c>
      <c r="E2196" s="22">
        <f ca="1"/>
        <v>301.82000699999998</v>
      </c>
      <c r="F2196" s="22">
        <f ca="1"/>
        <v>304.82000699999998</v>
      </c>
      <c r="G2196" s="22">
        <f ca="1"/>
        <v>301.43881199999998</v>
      </c>
      <c r="H2196" s="69">
        <f ca="1"/>
        <v>28356300</v>
      </c>
      <c r="I2196" s="23" t="str">
        <f t="shared" ca="1" si="69"/>
        <v/>
      </c>
    </row>
    <row r="2197" spans="1:9" ht="13.8">
      <c r="A2197" s="20">
        <f t="shared" ca="1" si="68"/>
        <v>44455</v>
      </c>
      <c r="B2197" s="21" t="str">
        <f ca="1"/>
        <v>2021-09-16</v>
      </c>
      <c r="C2197" s="22">
        <f ca="1"/>
        <v>303.76001000000002</v>
      </c>
      <c r="D2197" s="22">
        <f ca="1"/>
        <v>305.30999800000001</v>
      </c>
      <c r="E2197" s="22">
        <f ca="1"/>
        <v>300.76001000000002</v>
      </c>
      <c r="F2197" s="22">
        <f ca="1"/>
        <v>305.22000100000002</v>
      </c>
      <c r="G2197" s="22">
        <f ca="1"/>
        <v>301.83441199999999</v>
      </c>
      <c r="H2197" s="69">
        <f ca="1"/>
        <v>19550800</v>
      </c>
      <c r="I2197" s="23" t="str">
        <f t="shared" ca="1" si="69"/>
        <v/>
      </c>
    </row>
    <row r="2198" spans="1:9" ht="13.8">
      <c r="A2198" s="20">
        <f t="shared" ca="1" si="68"/>
        <v>44456</v>
      </c>
      <c r="B2198" s="21" t="str">
        <f ca="1"/>
        <v>2021-09-17</v>
      </c>
      <c r="C2198" s="22">
        <f ca="1"/>
        <v>304.17001299999998</v>
      </c>
      <c r="D2198" s="22">
        <f ca="1"/>
        <v>304.5</v>
      </c>
      <c r="E2198" s="22">
        <f ca="1"/>
        <v>299.52999899999998</v>
      </c>
      <c r="F2198" s="22">
        <f ca="1"/>
        <v>299.86999500000002</v>
      </c>
      <c r="G2198" s="22">
        <f ca="1"/>
        <v>296.54373199999998</v>
      </c>
      <c r="H2198" s="69">
        <f ca="1"/>
        <v>41372500</v>
      </c>
      <c r="I2198" s="23" t="str">
        <f t="shared" ca="1" si="69"/>
        <v/>
      </c>
    </row>
    <row r="2199" spans="1:9" ht="13.8">
      <c r="A2199" s="20">
        <f t="shared" ca="1" si="68"/>
        <v>44459</v>
      </c>
      <c r="B2199" s="21" t="str">
        <f ca="1"/>
        <v>2021-09-20</v>
      </c>
      <c r="C2199" s="22">
        <f ca="1"/>
        <v>296.32998700000002</v>
      </c>
      <c r="D2199" s="22">
        <f ca="1"/>
        <v>298.72000100000002</v>
      </c>
      <c r="E2199" s="22">
        <f ca="1"/>
        <v>289.51998900000001</v>
      </c>
      <c r="F2199" s="22">
        <f ca="1"/>
        <v>294.29998799999998</v>
      </c>
      <c r="G2199" s="22">
        <f ca="1"/>
        <v>291.035461</v>
      </c>
      <c r="H2199" s="69">
        <f ca="1"/>
        <v>38278700</v>
      </c>
      <c r="I2199" s="23" t="str">
        <f t="shared" ca="1" si="69"/>
        <v/>
      </c>
    </row>
    <row r="2200" spans="1:9" ht="13.8">
      <c r="A2200" s="20">
        <f t="shared" ca="1" si="68"/>
        <v>44460</v>
      </c>
      <c r="B2200" s="21" t="str">
        <f ca="1"/>
        <v>2021-09-21</v>
      </c>
      <c r="C2200" s="22">
        <f ca="1"/>
        <v>295.69000199999999</v>
      </c>
      <c r="D2200" s="22">
        <f ca="1"/>
        <v>297.540009</v>
      </c>
      <c r="E2200" s="22">
        <f ca="1"/>
        <v>294.07000699999998</v>
      </c>
      <c r="F2200" s="22">
        <f ca="1"/>
        <v>294.79998799999998</v>
      </c>
      <c r="G2200" s="22">
        <f ca="1"/>
        <v>291.529968</v>
      </c>
      <c r="H2200" s="69">
        <f ca="1"/>
        <v>22364100</v>
      </c>
      <c r="I2200" s="23" t="str">
        <f t="shared" ca="1" si="69"/>
        <v/>
      </c>
    </row>
    <row r="2201" spans="1:9" ht="13.8">
      <c r="A2201" s="20">
        <f t="shared" ca="1" si="68"/>
        <v>44461</v>
      </c>
      <c r="B2201" s="21" t="str">
        <f ca="1"/>
        <v>2021-09-22</v>
      </c>
      <c r="C2201" s="22">
        <f ca="1"/>
        <v>296.73001099999999</v>
      </c>
      <c r="D2201" s="22">
        <f ca="1"/>
        <v>300.22000100000002</v>
      </c>
      <c r="E2201" s="22">
        <f ca="1"/>
        <v>294.51001000000002</v>
      </c>
      <c r="F2201" s="22">
        <f ca="1"/>
        <v>298.57998700000002</v>
      </c>
      <c r="G2201" s="22">
        <f ca="1"/>
        <v>295.26800500000002</v>
      </c>
      <c r="H2201" s="69">
        <f ca="1"/>
        <v>26626300</v>
      </c>
      <c r="I2201" s="23" t="str">
        <f t="shared" ca="1" si="69"/>
        <v/>
      </c>
    </row>
    <row r="2202" spans="1:9" ht="13.8">
      <c r="A2202" s="20">
        <f t="shared" ca="1" si="68"/>
        <v>44462</v>
      </c>
      <c r="B2202" s="21" t="str">
        <f ca="1"/>
        <v>2021-09-23</v>
      </c>
      <c r="C2202" s="22">
        <f ca="1"/>
        <v>298.85000600000001</v>
      </c>
      <c r="D2202" s="22">
        <f ca="1"/>
        <v>300.89999399999999</v>
      </c>
      <c r="E2202" s="22">
        <f ca="1"/>
        <v>297.52999899999998</v>
      </c>
      <c r="F2202" s="22">
        <f ca="1"/>
        <v>299.55999800000001</v>
      </c>
      <c r="G2202" s="22">
        <f ca="1"/>
        <v>296.23718300000002</v>
      </c>
      <c r="H2202" s="69">
        <f ca="1"/>
        <v>18604600</v>
      </c>
      <c r="I2202" s="23" t="str">
        <f t="shared" ca="1" si="69"/>
        <v/>
      </c>
    </row>
    <row r="2203" spans="1:9" ht="13.8">
      <c r="A2203" s="20">
        <f t="shared" ca="1" si="68"/>
        <v>44463</v>
      </c>
      <c r="B2203" s="21" t="str">
        <f ca="1"/>
        <v>2021-09-24</v>
      </c>
      <c r="C2203" s="22">
        <f ca="1"/>
        <v>298.23001099999999</v>
      </c>
      <c r="D2203" s="22">
        <f ca="1"/>
        <v>299.79998799999998</v>
      </c>
      <c r="E2203" s="22">
        <f ca="1"/>
        <v>296.92999300000002</v>
      </c>
      <c r="F2203" s="22">
        <f ca="1"/>
        <v>299.35000600000001</v>
      </c>
      <c r="G2203" s="22">
        <f ca="1"/>
        <v>296.02951000000002</v>
      </c>
      <c r="H2203" s="69">
        <f ca="1"/>
        <v>14999000</v>
      </c>
      <c r="I2203" s="23" t="str">
        <f t="shared" ca="1" si="69"/>
        <v/>
      </c>
    </row>
    <row r="2204" spans="1:9" ht="13.8">
      <c r="A2204" s="20">
        <f t="shared" ca="1" si="68"/>
        <v>44466</v>
      </c>
      <c r="B2204" s="21" t="str">
        <f ca="1"/>
        <v>2021-09-27</v>
      </c>
      <c r="C2204" s="22">
        <f ca="1"/>
        <v>296.14001500000001</v>
      </c>
      <c r="D2204" s="22">
        <f ca="1"/>
        <v>296.47000100000002</v>
      </c>
      <c r="E2204" s="22">
        <f ca="1"/>
        <v>292.94000199999999</v>
      </c>
      <c r="F2204" s="22">
        <f ca="1"/>
        <v>294.17001299999998</v>
      </c>
      <c r="G2204" s="22">
        <f ca="1"/>
        <v>290.90695199999999</v>
      </c>
      <c r="H2204" s="69">
        <f ca="1"/>
        <v>23571700</v>
      </c>
      <c r="I2204" s="23" t="str">
        <f t="shared" ca="1" si="69"/>
        <v/>
      </c>
    </row>
    <row r="2205" spans="1:9" ht="13.8">
      <c r="A2205" s="20">
        <f t="shared" ca="1" si="68"/>
        <v>44467</v>
      </c>
      <c r="B2205" s="21" t="str">
        <f ca="1"/>
        <v>2021-09-28</v>
      </c>
      <c r="C2205" s="22">
        <f ca="1"/>
        <v>289.79998799999998</v>
      </c>
      <c r="D2205" s="22">
        <f ca="1"/>
        <v>290.77999899999998</v>
      </c>
      <c r="E2205" s="22">
        <f ca="1"/>
        <v>282.75</v>
      </c>
      <c r="F2205" s="22">
        <f ca="1"/>
        <v>283.51998900000001</v>
      </c>
      <c r="G2205" s="22">
        <f ca="1"/>
        <v>280.375092</v>
      </c>
      <c r="H2205" s="69">
        <f ca="1"/>
        <v>43186200</v>
      </c>
      <c r="I2205" s="23" t="str">
        <f t="shared" ca="1" si="69"/>
        <v/>
      </c>
    </row>
    <row r="2206" spans="1:9" ht="13.8">
      <c r="A2206" s="20">
        <f t="shared" ca="1" si="68"/>
        <v>44468</v>
      </c>
      <c r="B2206" s="21" t="str">
        <f ca="1"/>
        <v>2021-09-29</v>
      </c>
      <c r="C2206" s="22">
        <f ca="1"/>
        <v>285.10000600000001</v>
      </c>
      <c r="D2206" s="22">
        <f ca="1"/>
        <v>286.76998900000001</v>
      </c>
      <c r="E2206" s="22">
        <f ca="1"/>
        <v>283.01001000000002</v>
      </c>
      <c r="F2206" s="22">
        <f ca="1"/>
        <v>284</v>
      </c>
      <c r="G2206" s="22">
        <f ca="1"/>
        <v>280.849762</v>
      </c>
      <c r="H2206" s="69">
        <f ca="1"/>
        <v>26353700</v>
      </c>
      <c r="I2206" s="23" t="str">
        <f t="shared" ca="1" si="69"/>
        <v/>
      </c>
    </row>
    <row r="2207" spans="1:9" ht="13.8">
      <c r="A2207" s="20">
        <f t="shared" ca="1" si="68"/>
        <v>44469</v>
      </c>
      <c r="B2207" s="21" t="str">
        <f ca="1"/>
        <v>2021-09-30</v>
      </c>
      <c r="C2207" s="22">
        <f ca="1"/>
        <v>285.709991</v>
      </c>
      <c r="D2207" s="22">
        <f ca="1"/>
        <v>287.82998700000002</v>
      </c>
      <c r="E2207" s="22">
        <f ca="1"/>
        <v>281.61999500000002</v>
      </c>
      <c r="F2207" s="22">
        <f ca="1"/>
        <v>281.92001299999998</v>
      </c>
      <c r="G2207" s="22">
        <f ca="1"/>
        <v>278.79284699999999</v>
      </c>
      <c r="H2207" s="69">
        <f ca="1"/>
        <v>32343600</v>
      </c>
      <c r="I2207" s="23" t="str">
        <f t="shared" ca="1" si="69"/>
        <v/>
      </c>
    </row>
    <row r="2208" spans="1:9" ht="13.8">
      <c r="A2208" s="20">
        <f t="shared" ca="1" si="68"/>
        <v>44470</v>
      </c>
      <c r="B2208" s="21" t="str">
        <f ca="1"/>
        <v>2021-10-01</v>
      </c>
      <c r="C2208" s="22">
        <f ca="1"/>
        <v>282.11999500000002</v>
      </c>
      <c r="D2208" s="22">
        <f ca="1"/>
        <v>289.98001099999999</v>
      </c>
      <c r="E2208" s="22">
        <f ca="1"/>
        <v>281.290009</v>
      </c>
      <c r="F2208" s="22">
        <f ca="1"/>
        <v>289.10000600000001</v>
      </c>
      <c r="G2208" s="22">
        <f ca="1"/>
        <v>285.89318800000001</v>
      </c>
      <c r="H2208" s="69">
        <f ca="1"/>
        <v>30086300</v>
      </c>
      <c r="I2208" s="23" t="str">
        <f t="shared" ca="1" si="69"/>
        <v/>
      </c>
    </row>
    <row r="2209" spans="1:9" ht="13.8">
      <c r="A2209" s="20">
        <f t="shared" ca="1" si="68"/>
        <v>44473</v>
      </c>
      <c r="B2209" s="21" t="str">
        <f ca="1"/>
        <v>2021-10-04</v>
      </c>
      <c r="C2209" s="22">
        <f ca="1"/>
        <v>287.39999399999999</v>
      </c>
      <c r="D2209" s="22">
        <f ca="1"/>
        <v>287.75</v>
      </c>
      <c r="E2209" s="22">
        <f ca="1"/>
        <v>280.25</v>
      </c>
      <c r="F2209" s="22">
        <f ca="1"/>
        <v>283.10998499999999</v>
      </c>
      <c r="G2209" s="22">
        <f ca="1"/>
        <v>279.969604</v>
      </c>
      <c r="H2209" s="69">
        <f ca="1"/>
        <v>31350700</v>
      </c>
      <c r="I2209" s="23" t="str">
        <f t="shared" ca="1" si="69"/>
        <v/>
      </c>
    </row>
    <row r="2210" spans="1:9" ht="13.8">
      <c r="A2210" s="20">
        <f t="shared" ca="1" si="68"/>
        <v>44474</v>
      </c>
      <c r="B2210" s="21" t="str">
        <f ca="1"/>
        <v>2021-10-05</v>
      </c>
      <c r="C2210" s="22">
        <f ca="1"/>
        <v>284.04998799999998</v>
      </c>
      <c r="D2210" s="22">
        <f ca="1"/>
        <v>290.39999399999999</v>
      </c>
      <c r="E2210" s="22">
        <f ca="1"/>
        <v>284.04998799999998</v>
      </c>
      <c r="F2210" s="22">
        <f ca="1"/>
        <v>288.76001000000002</v>
      </c>
      <c r="G2210" s="22">
        <f ca="1"/>
        <v>285.55697600000002</v>
      </c>
      <c r="H2210" s="69">
        <f ca="1"/>
        <v>24993000</v>
      </c>
      <c r="I2210" s="23" t="str">
        <f t="shared" ca="1" si="69"/>
        <v/>
      </c>
    </row>
    <row r="2211" spans="1:9" ht="13.8">
      <c r="A2211" s="20">
        <f t="shared" ca="1" si="68"/>
        <v>44475</v>
      </c>
      <c r="B2211" s="21" t="str">
        <f ca="1"/>
        <v>2021-10-06</v>
      </c>
      <c r="C2211" s="22">
        <f ca="1"/>
        <v>285.77999899999998</v>
      </c>
      <c r="D2211" s="22">
        <f ca="1"/>
        <v>293.63000499999998</v>
      </c>
      <c r="E2211" s="22">
        <f ca="1"/>
        <v>285.51001000000002</v>
      </c>
      <c r="F2211" s="22">
        <f ca="1"/>
        <v>293.10998499999999</v>
      </c>
      <c r="G2211" s="22">
        <f ca="1"/>
        <v>289.85870399999999</v>
      </c>
      <c r="H2211" s="69">
        <f ca="1"/>
        <v>28002600</v>
      </c>
      <c r="I2211" s="23" t="str">
        <f t="shared" ca="1" si="69"/>
        <v/>
      </c>
    </row>
    <row r="2212" spans="1:9" ht="13.8">
      <c r="A2212" s="20">
        <f t="shared" ca="1" si="68"/>
        <v>44476</v>
      </c>
      <c r="B2212" s="21" t="str">
        <f ca="1"/>
        <v>2021-10-07</v>
      </c>
      <c r="C2212" s="22">
        <f ca="1"/>
        <v>295.17999300000002</v>
      </c>
      <c r="D2212" s="22">
        <f ca="1"/>
        <v>296.64001500000001</v>
      </c>
      <c r="E2212" s="22">
        <f ca="1"/>
        <v>293.92001299999998</v>
      </c>
      <c r="F2212" s="22">
        <f ca="1"/>
        <v>294.85000600000001</v>
      </c>
      <c r="G2212" s="22">
        <f ca="1"/>
        <v>291.579407</v>
      </c>
      <c r="H2212" s="69">
        <f ca="1"/>
        <v>20430500</v>
      </c>
      <c r="I2212" s="23" t="str">
        <f t="shared" ca="1" si="69"/>
        <v/>
      </c>
    </row>
    <row r="2213" spans="1:9" ht="13.8">
      <c r="A2213" s="20">
        <f t="shared" ca="1" si="68"/>
        <v>44477</v>
      </c>
      <c r="B2213" s="21" t="str">
        <f ca="1"/>
        <v>2021-10-08</v>
      </c>
      <c r="C2213" s="22">
        <f ca="1"/>
        <v>296.22000100000002</v>
      </c>
      <c r="D2213" s="22">
        <f ca="1"/>
        <v>296.64001500000001</v>
      </c>
      <c r="E2213" s="22">
        <f ca="1"/>
        <v>293.76001000000002</v>
      </c>
      <c r="F2213" s="22">
        <f ca="1"/>
        <v>294.85000600000001</v>
      </c>
      <c r="G2213" s="22">
        <f ca="1"/>
        <v>291.579407</v>
      </c>
      <c r="H2213" s="69">
        <f ca="1"/>
        <v>17685700</v>
      </c>
      <c r="I2213" s="23" t="str">
        <f t="shared" ca="1" si="69"/>
        <v/>
      </c>
    </row>
    <row r="2214" spans="1:9" ht="13.8">
      <c r="A2214" s="20">
        <f t="shared" ca="1" si="68"/>
        <v>44480</v>
      </c>
      <c r="B2214" s="21" t="str">
        <f ca="1"/>
        <v>2021-10-11</v>
      </c>
      <c r="C2214" s="22">
        <f ca="1"/>
        <v>292.92001299999998</v>
      </c>
      <c r="D2214" s="22">
        <f ca="1"/>
        <v>297.97000100000002</v>
      </c>
      <c r="E2214" s="22">
        <f ca="1"/>
        <v>292.75</v>
      </c>
      <c r="F2214" s="22">
        <f ca="1"/>
        <v>294.23001099999999</v>
      </c>
      <c r="G2214" s="22">
        <f ca="1"/>
        <v>290.96630900000002</v>
      </c>
      <c r="H2214" s="69">
        <f ca="1"/>
        <v>19298600</v>
      </c>
      <c r="I2214" s="23" t="str">
        <f t="shared" ca="1" si="69"/>
        <v/>
      </c>
    </row>
    <row r="2215" spans="1:9" ht="13.8">
      <c r="A2215" s="20">
        <f t="shared" ca="1" si="68"/>
        <v>44481</v>
      </c>
      <c r="B2215" s="21" t="str">
        <f ca="1"/>
        <v>2021-10-12</v>
      </c>
      <c r="C2215" s="22">
        <f ca="1"/>
        <v>295.33999599999999</v>
      </c>
      <c r="D2215" s="22">
        <f ca="1"/>
        <v>295.44000199999999</v>
      </c>
      <c r="E2215" s="22">
        <f ca="1"/>
        <v>292.35000600000001</v>
      </c>
      <c r="F2215" s="22">
        <f ca="1"/>
        <v>292.88000499999998</v>
      </c>
      <c r="G2215" s="22">
        <f ca="1"/>
        <v>289.63128699999999</v>
      </c>
      <c r="H2215" s="69">
        <f ca="1"/>
        <v>17974100</v>
      </c>
      <c r="I2215" s="23" t="str">
        <f t="shared" ca="1" si="69"/>
        <v/>
      </c>
    </row>
    <row r="2216" spans="1:9" ht="13.8">
      <c r="A2216" s="20">
        <f t="shared" ca="1" si="68"/>
        <v>44482</v>
      </c>
      <c r="B2216" s="21" t="str">
        <f ca="1"/>
        <v>2021-10-13</v>
      </c>
      <c r="C2216" s="22">
        <f ca="1"/>
        <v>294.91000400000001</v>
      </c>
      <c r="D2216" s="22">
        <f ca="1"/>
        <v>297.27999899999998</v>
      </c>
      <c r="E2216" s="22">
        <f ca="1"/>
        <v>293.48998999999998</v>
      </c>
      <c r="F2216" s="22">
        <f ca="1"/>
        <v>296.30999800000001</v>
      </c>
      <c r="G2216" s="22">
        <f ca="1"/>
        <v>293.02322400000003</v>
      </c>
      <c r="H2216" s="69">
        <f ca="1"/>
        <v>23416300</v>
      </c>
      <c r="I2216" s="23" t="str">
        <f t="shared" ca="1" si="69"/>
        <v/>
      </c>
    </row>
    <row r="2217" spans="1:9" ht="13.8">
      <c r="A2217" s="20">
        <f t="shared" ca="1" si="68"/>
        <v>44483</v>
      </c>
      <c r="B2217" s="21" t="str">
        <f ca="1"/>
        <v>2021-10-14</v>
      </c>
      <c r="C2217" s="22">
        <f ca="1"/>
        <v>299.209991</v>
      </c>
      <c r="D2217" s="22">
        <f ca="1"/>
        <v>303.26998900000001</v>
      </c>
      <c r="E2217" s="22">
        <f ca="1"/>
        <v>297.82998700000002</v>
      </c>
      <c r="F2217" s="22">
        <f ca="1"/>
        <v>302.75</v>
      </c>
      <c r="G2217" s="22">
        <f ca="1"/>
        <v>299.39181500000001</v>
      </c>
      <c r="H2217" s="69">
        <f ca="1"/>
        <v>27262900</v>
      </c>
      <c r="I2217" s="23" t="str">
        <f t="shared" ca="1" si="69"/>
        <v/>
      </c>
    </row>
    <row r="2218" spans="1:9" ht="13.8">
      <c r="A2218" s="20">
        <f t="shared" ca="1" si="68"/>
        <v>44484</v>
      </c>
      <c r="B2218" s="21" t="str">
        <f ca="1"/>
        <v>2021-10-15</v>
      </c>
      <c r="C2218" s="22">
        <f ca="1"/>
        <v>302.33999599999999</v>
      </c>
      <c r="D2218" s="22">
        <f ca="1"/>
        <v>304.45001200000002</v>
      </c>
      <c r="E2218" s="22">
        <f ca="1"/>
        <v>300.51998900000001</v>
      </c>
      <c r="F2218" s="22">
        <f ca="1"/>
        <v>304.209991</v>
      </c>
      <c r="G2218" s="22">
        <f ca="1"/>
        <v>300.83557100000002</v>
      </c>
      <c r="H2218" s="69">
        <f ca="1"/>
        <v>25384800</v>
      </c>
      <c r="I2218" s="23" t="str">
        <f t="shared" ca="1" si="69"/>
        <v/>
      </c>
    </row>
    <row r="2219" spans="1:9" ht="13.8">
      <c r="A2219" s="20">
        <f t="shared" ca="1" si="68"/>
        <v>44487</v>
      </c>
      <c r="B2219" s="21" t="str">
        <f ca="1"/>
        <v>2021-10-18</v>
      </c>
      <c r="C2219" s="22">
        <f ca="1"/>
        <v>303.57000699999998</v>
      </c>
      <c r="D2219" s="22">
        <f ca="1"/>
        <v>308.209991</v>
      </c>
      <c r="E2219" s="22">
        <f ca="1"/>
        <v>302.69000199999999</v>
      </c>
      <c r="F2219" s="22">
        <f ca="1"/>
        <v>307.290009</v>
      </c>
      <c r="G2219" s="22">
        <f ca="1"/>
        <v>303.88140900000002</v>
      </c>
      <c r="H2219" s="69">
        <f ca="1"/>
        <v>22729300</v>
      </c>
      <c r="I2219" s="23" t="str">
        <f t="shared" ca="1" si="69"/>
        <v/>
      </c>
    </row>
    <row r="2220" spans="1:9" ht="13.8">
      <c r="A2220" s="20">
        <f t="shared" ca="1" si="68"/>
        <v>44488</v>
      </c>
      <c r="B2220" s="21" t="str">
        <f ca="1"/>
        <v>2021-10-19</v>
      </c>
      <c r="C2220" s="22">
        <f ca="1"/>
        <v>308.35000600000001</v>
      </c>
      <c r="D2220" s="22">
        <f ca="1"/>
        <v>309.29998799999998</v>
      </c>
      <c r="E2220" s="22">
        <f ca="1"/>
        <v>307.22000100000002</v>
      </c>
      <c r="F2220" s="22">
        <f ca="1"/>
        <v>308.23001099999999</v>
      </c>
      <c r="G2220" s="22">
        <f ca="1"/>
        <v>304.81100500000002</v>
      </c>
      <c r="H2220" s="69">
        <f ca="1"/>
        <v>17682100</v>
      </c>
      <c r="I2220" s="23" t="str">
        <f t="shared" ca="1" si="69"/>
        <v/>
      </c>
    </row>
    <row r="2221" spans="1:9" ht="13.8">
      <c r="A2221" s="20">
        <f t="shared" ca="1" si="68"/>
        <v>44489</v>
      </c>
      <c r="B2221" s="21" t="str">
        <f ca="1"/>
        <v>2021-10-20</v>
      </c>
      <c r="C2221" s="22">
        <f ca="1"/>
        <v>309.209991</v>
      </c>
      <c r="D2221" s="22">
        <f ca="1"/>
        <v>309.70001200000002</v>
      </c>
      <c r="E2221" s="22">
        <f ca="1"/>
        <v>306.10998499999999</v>
      </c>
      <c r="F2221" s="22">
        <f ca="1"/>
        <v>307.41000400000001</v>
      </c>
      <c r="G2221" s="22">
        <f ca="1"/>
        <v>304.00006100000002</v>
      </c>
      <c r="H2221" s="69">
        <f ca="1"/>
        <v>16537100</v>
      </c>
      <c r="I2221" s="23" t="str">
        <f t="shared" ca="1" si="69"/>
        <v/>
      </c>
    </row>
    <row r="2222" spans="1:9" ht="13.8">
      <c r="A2222" s="20">
        <f t="shared" ca="1" si="68"/>
        <v>44490</v>
      </c>
      <c r="B2222" s="21" t="str">
        <f ca="1"/>
        <v>2021-10-21</v>
      </c>
      <c r="C2222" s="22">
        <f ca="1"/>
        <v>307.17001299999998</v>
      </c>
      <c r="D2222" s="22">
        <f ca="1"/>
        <v>311.01998900000001</v>
      </c>
      <c r="E2222" s="22">
        <f ca="1"/>
        <v>306.35998499999999</v>
      </c>
      <c r="F2222" s="22">
        <f ca="1"/>
        <v>310.76001000000002</v>
      </c>
      <c r="G2222" s="22">
        <f ca="1"/>
        <v>307.312927</v>
      </c>
      <c r="H2222" s="69">
        <f ca="1"/>
        <v>16918100</v>
      </c>
      <c r="I2222" s="23" t="str">
        <f t="shared" ca="1" si="69"/>
        <v/>
      </c>
    </row>
    <row r="2223" spans="1:9" ht="13.8">
      <c r="A2223" s="20">
        <f t="shared" ca="1" si="68"/>
        <v>44491</v>
      </c>
      <c r="B2223" s="21" t="str">
        <f ca="1"/>
        <v>2021-10-22</v>
      </c>
      <c r="C2223" s="22">
        <f ca="1"/>
        <v>310.39999399999999</v>
      </c>
      <c r="D2223" s="22">
        <f ca="1"/>
        <v>311.08999599999999</v>
      </c>
      <c r="E2223" s="22">
        <f ca="1"/>
        <v>307.79998799999998</v>
      </c>
      <c r="F2223" s="22">
        <f ca="1"/>
        <v>309.16000400000001</v>
      </c>
      <c r="G2223" s="22">
        <f ca="1"/>
        <v>305.730682</v>
      </c>
      <c r="H2223" s="69">
        <f ca="1"/>
        <v>17449300</v>
      </c>
      <c r="I2223" s="23" t="str">
        <f t="shared" ca="1" si="69"/>
        <v/>
      </c>
    </row>
    <row r="2224" spans="1:9" ht="13.8">
      <c r="A2224" s="20">
        <f t="shared" ca="1" si="68"/>
        <v>44494</v>
      </c>
      <c r="B2224" s="21" t="str">
        <f ca="1"/>
        <v>2021-10-25</v>
      </c>
      <c r="C2224" s="22">
        <f ca="1"/>
        <v>309.35998499999999</v>
      </c>
      <c r="D2224" s="22">
        <f ca="1"/>
        <v>309.39999399999999</v>
      </c>
      <c r="E2224" s="22">
        <f ca="1"/>
        <v>306.459991</v>
      </c>
      <c r="F2224" s="22">
        <f ca="1"/>
        <v>308.13000499999998</v>
      </c>
      <c r="G2224" s="22">
        <f ca="1"/>
        <v>304.71209700000003</v>
      </c>
      <c r="H2224" s="69">
        <f ca="1"/>
        <v>17554500</v>
      </c>
      <c r="I2224" s="23" t="str">
        <f t="shared" ca="1" si="69"/>
        <v/>
      </c>
    </row>
    <row r="2225" spans="1:9" ht="13.8">
      <c r="A2225" s="20">
        <f t="shared" ca="1" si="68"/>
        <v>44495</v>
      </c>
      <c r="B2225" s="21" t="str">
        <f ca="1"/>
        <v>2021-10-26</v>
      </c>
      <c r="C2225" s="22">
        <f ca="1"/>
        <v>311</v>
      </c>
      <c r="D2225" s="22">
        <f ca="1"/>
        <v>312.39999399999999</v>
      </c>
      <c r="E2225" s="22">
        <f ca="1"/>
        <v>308.60000600000001</v>
      </c>
      <c r="F2225" s="22">
        <f ca="1"/>
        <v>310.10998499999999</v>
      </c>
      <c r="G2225" s="22">
        <f ca="1"/>
        <v>306.670074</v>
      </c>
      <c r="H2225" s="69">
        <f ca="1"/>
        <v>28107300</v>
      </c>
      <c r="I2225" s="23" t="str">
        <f t="shared" ca="1" si="69"/>
        <v/>
      </c>
    </row>
    <row r="2226" spans="1:9" ht="13.8">
      <c r="A2226" s="20">
        <f t="shared" ca="1" si="68"/>
        <v>44496</v>
      </c>
      <c r="B2226" s="21" t="str">
        <f ca="1"/>
        <v>2021-10-27</v>
      </c>
      <c r="C2226" s="22">
        <f ca="1"/>
        <v>316</v>
      </c>
      <c r="D2226" s="22">
        <f ca="1"/>
        <v>326.10000600000001</v>
      </c>
      <c r="E2226" s="22">
        <f ca="1"/>
        <v>316</v>
      </c>
      <c r="F2226" s="22">
        <f ca="1"/>
        <v>323.17001299999998</v>
      </c>
      <c r="G2226" s="22">
        <f ca="1"/>
        <v>319.58526599999999</v>
      </c>
      <c r="H2226" s="69">
        <f ca="1"/>
        <v>52588700</v>
      </c>
      <c r="I2226" s="23" t="str">
        <f t="shared" ca="1" si="69"/>
        <v/>
      </c>
    </row>
    <row r="2227" spans="1:9" ht="13.8">
      <c r="A2227" s="20">
        <f t="shared" ca="1" si="68"/>
        <v>44497</v>
      </c>
      <c r="B2227" s="21" t="str">
        <f ca="1"/>
        <v>2021-10-28</v>
      </c>
      <c r="C2227" s="22">
        <f ca="1"/>
        <v>324.32998700000002</v>
      </c>
      <c r="D2227" s="22">
        <f ca="1"/>
        <v>324.86999500000002</v>
      </c>
      <c r="E2227" s="22">
        <f ca="1"/>
        <v>321.35998499999999</v>
      </c>
      <c r="F2227" s="22">
        <f ca="1"/>
        <v>324.35000600000001</v>
      </c>
      <c r="G2227" s="22">
        <f ca="1"/>
        <v>320.75216699999999</v>
      </c>
      <c r="H2227" s="69">
        <f ca="1"/>
        <v>26297900</v>
      </c>
      <c r="I2227" s="23" t="str">
        <f t="shared" ca="1" si="69"/>
        <v/>
      </c>
    </row>
    <row r="2228" spans="1:9" ht="13.8">
      <c r="A2228" s="20">
        <f t="shared" ca="1" si="68"/>
        <v>44498</v>
      </c>
      <c r="B2228" s="21" t="str">
        <f ca="1"/>
        <v>2021-10-29</v>
      </c>
      <c r="C2228" s="22">
        <f ca="1"/>
        <v>324.13000499999998</v>
      </c>
      <c r="D2228" s="22">
        <f ca="1"/>
        <v>332</v>
      </c>
      <c r="E2228" s="22">
        <f ca="1"/>
        <v>323.89999399999999</v>
      </c>
      <c r="F2228" s="22">
        <f ca="1"/>
        <v>331.61999500000002</v>
      </c>
      <c r="G2228" s="22">
        <f ca="1"/>
        <v>327.94155899999998</v>
      </c>
      <c r="H2228" s="69">
        <f ca="1"/>
        <v>34766000</v>
      </c>
      <c r="I2228" s="23" t="str">
        <f t="shared" ca="1" si="69"/>
        <v/>
      </c>
    </row>
    <row r="2229" spans="1:9" ht="13.8">
      <c r="A2229" s="20">
        <f t="shared" ca="1" si="68"/>
        <v>44501</v>
      </c>
      <c r="B2229" s="21" t="str">
        <f ca="1"/>
        <v>2021-11-01</v>
      </c>
      <c r="C2229" s="22">
        <f ca="1"/>
        <v>331.35998499999999</v>
      </c>
      <c r="D2229" s="22">
        <f ca="1"/>
        <v>331.48998999999998</v>
      </c>
      <c r="E2229" s="22">
        <f ca="1"/>
        <v>326.36999500000002</v>
      </c>
      <c r="F2229" s="22">
        <f ca="1"/>
        <v>329.36999500000002</v>
      </c>
      <c r="G2229" s="22">
        <f ca="1"/>
        <v>325.716522</v>
      </c>
      <c r="H2229" s="69">
        <f ca="1"/>
        <v>27073200</v>
      </c>
      <c r="I2229" s="23" t="str">
        <f t="shared" ca="1" si="69"/>
        <v/>
      </c>
    </row>
    <row r="2230" spans="1:9" ht="13.8">
      <c r="A2230" s="20">
        <f t="shared" ca="1" si="68"/>
        <v>44502</v>
      </c>
      <c r="B2230" s="21" t="str">
        <f ca="1"/>
        <v>2021-11-02</v>
      </c>
      <c r="C2230" s="22">
        <f ca="1"/>
        <v>330.30999800000001</v>
      </c>
      <c r="D2230" s="22">
        <f ca="1"/>
        <v>333.45001200000002</v>
      </c>
      <c r="E2230" s="22">
        <f ca="1"/>
        <v>330</v>
      </c>
      <c r="F2230" s="22">
        <f ca="1"/>
        <v>333.13000499999998</v>
      </c>
      <c r="G2230" s="22">
        <f ca="1"/>
        <v>329.43478399999998</v>
      </c>
      <c r="H2230" s="69">
        <f ca="1"/>
        <v>26487100</v>
      </c>
      <c r="I2230" s="23" t="str">
        <f t="shared" ca="1" si="69"/>
        <v/>
      </c>
    </row>
    <row r="2231" spans="1:9" ht="13.8">
      <c r="A2231" s="20">
        <f t="shared" ca="1" si="68"/>
        <v>44503</v>
      </c>
      <c r="B2231" s="21" t="str">
        <f ca="1"/>
        <v>2021-11-03</v>
      </c>
      <c r="C2231" s="22">
        <f ca="1"/>
        <v>333.89999399999999</v>
      </c>
      <c r="D2231" s="22">
        <f ca="1"/>
        <v>334.89999399999999</v>
      </c>
      <c r="E2231" s="22">
        <f ca="1"/>
        <v>330.64999399999999</v>
      </c>
      <c r="F2231" s="22">
        <f ca="1"/>
        <v>334</v>
      </c>
      <c r="G2231" s="22">
        <f ca="1"/>
        <v>330.29513500000002</v>
      </c>
      <c r="H2231" s="69">
        <f ca="1"/>
        <v>21500100</v>
      </c>
      <c r="I2231" s="23" t="str">
        <f t="shared" ca="1" si="69"/>
        <v/>
      </c>
    </row>
    <row r="2232" spans="1:9" ht="13.8">
      <c r="A2232" s="20">
        <f t="shared" ca="1" si="68"/>
        <v>44504</v>
      </c>
      <c r="B2232" s="21" t="str">
        <f ca="1"/>
        <v>2021-11-04</v>
      </c>
      <c r="C2232" s="22">
        <f ca="1"/>
        <v>332.89001500000001</v>
      </c>
      <c r="D2232" s="22">
        <f ca="1"/>
        <v>336.540009</v>
      </c>
      <c r="E2232" s="22">
        <f ca="1"/>
        <v>329.51001000000002</v>
      </c>
      <c r="F2232" s="22">
        <f ca="1"/>
        <v>336.44000199999999</v>
      </c>
      <c r="G2232" s="22">
        <f ca="1"/>
        <v>332.708099</v>
      </c>
      <c r="H2232" s="69">
        <f ca="1"/>
        <v>23992200</v>
      </c>
      <c r="I2232" s="23" t="str">
        <f t="shared" ca="1" si="69"/>
        <v/>
      </c>
    </row>
    <row r="2233" spans="1:9" ht="13.8">
      <c r="A2233" s="20">
        <f t="shared" ca="1" si="68"/>
        <v>44505</v>
      </c>
      <c r="B2233" s="21" t="str">
        <f ca="1"/>
        <v>2021-11-05</v>
      </c>
      <c r="C2233" s="22">
        <f ca="1"/>
        <v>338.51001000000002</v>
      </c>
      <c r="D2233" s="22">
        <f ca="1"/>
        <v>338.790009</v>
      </c>
      <c r="E2233" s="22">
        <f ca="1"/>
        <v>334.42001299999998</v>
      </c>
      <c r="F2233" s="22">
        <f ca="1"/>
        <v>336.05999800000001</v>
      </c>
      <c r="G2233" s="22">
        <f ca="1"/>
        <v>332.33230600000002</v>
      </c>
      <c r="H2233" s="69">
        <f ca="1"/>
        <v>22570100</v>
      </c>
      <c r="I2233" s="23" t="str">
        <f t="shared" ca="1" si="69"/>
        <v/>
      </c>
    </row>
    <row r="2234" spans="1:9" ht="13.8">
      <c r="A2234" s="20">
        <f t="shared" ca="1" si="68"/>
        <v>44508</v>
      </c>
      <c r="B2234" s="21" t="str">
        <f ca="1"/>
        <v>2021-11-08</v>
      </c>
      <c r="C2234" s="22">
        <f ca="1"/>
        <v>337.29998799999998</v>
      </c>
      <c r="D2234" s="22">
        <f ca="1"/>
        <v>337.64999399999999</v>
      </c>
      <c r="E2234" s="22">
        <f ca="1"/>
        <v>334.44000199999999</v>
      </c>
      <c r="F2234" s="22">
        <f ca="1"/>
        <v>336.98998999999998</v>
      </c>
      <c r="G2234" s="22">
        <f ca="1"/>
        <v>333.25198399999999</v>
      </c>
      <c r="H2234" s="69">
        <f ca="1"/>
        <v>20897000</v>
      </c>
      <c r="I2234" s="23" t="str">
        <f t="shared" ca="1" si="69"/>
        <v/>
      </c>
    </row>
    <row r="2235" spans="1:9" ht="13.8">
      <c r="A2235" s="20">
        <f t="shared" ca="1" si="68"/>
        <v>44509</v>
      </c>
      <c r="B2235" s="21" t="str">
        <f ca="1"/>
        <v>2021-11-09</v>
      </c>
      <c r="C2235" s="22">
        <f ca="1"/>
        <v>337.10998499999999</v>
      </c>
      <c r="D2235" s="22">
        <f ca="1"/>
        <v>338.72000100000002</v>
      </c>
      <c r="E2235" s="22">
        <f ca="1"/>
        <v>334.52999899999998</v>
      </c>
      <c r="F2235" s="22">
        <f ca="1"/>
        <v>335.95001200000002</v>
      </c>
      <c r="G2235" s="22">
        <f ca="1"/>
        <v>332.22354100000001</v>
      </c>
      <c r="H2235" s="69">
        <f ca="1"/>
        <v>21307400</v>
      </c>
      <c r="I2235" s="23" t="str">
        <f t="shared" ca="1" si="69"/>
        <v/>
      </c>
    </row>
    <row r="2236" spans="1:9" ht="13.8">
      <c r="A2236" s="20">
        <f t="shared" ca="1" si="68"/>
        <v>44510</v>
      </c>
      <c r="B2236" s="21" t="str">
        <f ca="1"/>
        <v>2021-11-10</v>
      </c>
      <c r="C2236" s="22">
        <f ca="1"/>
        <v>334.57000699999998</v>
      </c>
      <c r="D2236" s="22">
        <f ca="1"/>
        <v>334.63000499999998</v>
      </c>
      <c r="E2236" s="22">
        <f ca="1"/>
        <v>329.92001299999998</v>
      </c>
      <c r="F2236" s="22">
        <f ca="1"/>
        <v>330.79998799999998</v>
      </c>
      <c r="G2236" s="22">
        <f ca="1"/>
        <v>327.13064600000001</v>
      </c>
      <c r="H2236" s="69">
        <f ca="1"/>
        <v>25500900</v>
      </c>
      <c r="I2236" s="23" t="str">
        <f t="shared" ca="1" si="69"/>
        <v/>
      </c>
    </row>
    <row r="2237" spans="1:9" ht="13.8">
      <c r="A2237" s="20">
        <f t="shared" ca="1" si="68"/>
        <v>44511</v>
      </c>
      <c r="B2237" s="21" t="str">
        <f ca="1"/>
        <v>2021-11-11</v>
      </c>
      <c r="C2237" s="22">
        <f ca="1"/>
        <v>331.25</v>
      </c>
      <c r="D2237" s="22">
        <f ca="1"/>
        <v>333.76998900000001</v>
      </c>
      <c r="E2237" s="22">
        <f ca="1"/>
        <v>330.51001000000002</v>
      </c>
      <c r="F2237" s="22">
        <f ca="1"/>
        <v>332.42999300000002</v>
      </c>
      <c r="G2237" s="22">
        <f ca="1"/>
        <v>328.74255399999998</v>
      </c>
      <c r="H2237" s="69">
        <f ca="1"/>
        <v>16849800</v>
      </c>
      <c r="I2237" s="23" t="str">
        <f t="shared" ca="1" si="69"/>
        <v/>
      </c>
    </row>
    <row r="2238" spans="1:9" ht="13.8">
      <c r="A2238" s="20">
        <f t="shared" ca="1" si="68"/>
        <v>44512</v>
      </c>
      <c r="B2238" s="21" t="str">
        <f ca="1"/>
        <v>2021-11-12</v>
      </c>
      <c r="C2238" s="22">
        <f ca="1"/>
        <v>333.92001299999998</v>
      </c>
      <c r="D2238" s="22">
        <f ca="1"/>
        <v>337.23001099999999</v>
      </c>
      <c r="E2238" s="22">
        <f ca="1"/>
        <v>333.790009</v>
      </c>
      <c r="F2238" s="22">
        <f ca="1"/>
        <v>336.72000100000002</v>
      </c>
      <c r="G2238" s="22">
        <f ca="1"/>
        <v>332.98495500000001</v>
      </c>
      <c r="H2238" s="69">
        <f ca="1"/>
        <v>23831000</v>
      </c>
      <c r="I2238" s="23" t="str">
        <f t="shared" ca="1" si="69"/>
        <v/>
      </c>
    </row>
    <row r="2239" spans="1:9" ht="13.8">
      <c r="A2239" s="20">
        <f t="shared" ca="1" si="68"/>
        <v>44515</v>
      </c>
      <c r="B2239" s="21" t="str">
        <f ca="1"/>
        <v>2021-11-15</v>
      </c>
      <c r="C2239" s="22">
        <f ca="1"/>
        <v>337.540009</v>
      </c>
      <c r="D2239" s="22">
        <f ca="1"/>
        <v>337.88000499999998</v>
      </c>
      <c r="E2239" s="22">
        <f ca="1"/>
        <v>334.02999899999998</v>
      </c>
      <c r="F2239" s="22">
        <f ca="1"/>
        <v>336.07000699999998</v>
      </c>
      <c r="G2239" s="22">
        <f ca="1"/>
        <v>332.34222399999999</v>
      </c>
      <c r="H2239" s="69">
        <f ca="1"/>
        <v>16723000</v>
      </c>
      <c r="I2239" s="23" t="str">
        <f t="shared" ca="1" si="69"/>
        <v/>
      </c>
    </row>
    <row r="2240" spans="1:9" ht="13.8">
      <c r="A2240" s="20">
        <f t="shared" ca="1" si="68"/>
        <v>44516</v>
      </c>
      <c r="B2240" s="21" t="str">
        <f ca="1"/>
        <v>2021-11-16</v>
      </c>
      <c r="C2240" s="22">
        <f ca="1"/>
        <v>335.67999300000002</v>
      </c>
      <c r="D2240" s="22">
        <f ca="1"/>
        <v>340.67001299999998</v>
      </c>
      <c r="E2240" s="22">
        <f ca="1"/>
        <v>335.51001000000002</v>
      </c>
      <c r="F2240" s="22">
        <f ca="1"/>
        <v>339.51001000000002</v>
      </c>
      <c r="G2240" s="22">
        <f ca="1"/>
        <v>335.74408</v>
      </c>
      <c r="H2240" s="69">
        <f ca="1"/>
        <v>20886800</v>
      </c>
      <c r="I2240" s="23" t="str">
        <f t="shared" ca="1" si="69"/>
        <v/>
      </c>
    </row>
    <row r="2241" spans="1:9" ht="13.8">
      <c r="A2241" s="20">
        <f t="shared" ca="1" si="68"/>
        <v>44517</v>
      </c>
      <c r="B2241" s="21" t="str">
        <f ca="1"/>
        <v>2021-11-17</v>
      </c>
      <c r="C2241" s="22">
        <f ca="1"/>
        <v>338.94000199999999</v>
      </c>
      <c r="D2241" s="22">
        <f ca="1"/>
        <v>342.19000199999999</v>
      </c>
      <c r="E2241" s="22">
        <f ca="1"/>
        <v>338</v>
      </c>
      <c r="F2241" s="22">
        <f ca="1"/>
        <v>339.11999500000002</v>
      </c>
      <c r="G2241" s="22">
        <f ca="1"/>
        <v>335.971924</v>
      </c>
      <c r="H2241" s="69">
        <f ca="1"/>
        <v>19053400</v>
      </c>
      <c r="I2241" s="23">
        <f t="shared" ca="1" si="69"/>
        <v>0.62</v>
      </c>
    </row>
    <row r="2242" spans="1:9" ht="13.8">
      <c r="A2242" s="20">
        <f t="shared" ca="1" si="68"/>
        <v>44518</v>
      </c>
      <c r="B2242" s="21" t="str">
        <f ca="1"/>
        <v>2021-11-18</v>
      </c>
      <c r="C2242" s="22">
        <f ca="1"/>
        <v>338.17999300000002</v>
      </c>
      <c r="D2242" s="22">
        <f ca="1"/>
        <v>342.45001200000002</v>
      </c>
      <c r="E2242" s="22">
        <f ca="1"/>
        <v>337.11999500000002</v>
      </c>
      <c r="F2242" s="22">
        <f ca="1"/>
        <v>341.26998900000001</v>
      </c>
      <c r="G2242" s="22">
        <f ca="1"/>
        <v>338.10192899999998</v>
      </c>
      <c r="H2242" s="69">
        <f ca="1"/>
        <v>22463500</v>
      </c>
      <c r="I2242" s="23" t="str">
        <f t="shared" ca="1" si="69"/>
        <v/>
      </c>
    </row>
    <row r="2243" spans="1:9" ht="13.8">
      <c r="A2243" s="20">
        <f t="shared" ca="1" si="68"/>
        <v>44519</v>
      </c>
      <c r="B2243" s="21" t="str">
        <f ca="1"/>
        <v>2021-11-19</v>
      </c>
      <c r="C2243" s="22">
        <f ca="1"/>
        <v>342.64001500000001</v>
      </c>
      <c r="D2243" s="22">
        <f ca="1"/>
        <v>345.10000600000001</v>
      </c>
      <c r="E2243" s="22">
        <f ca="1"/>
        <v>342.20001200000002</v>
      </c>
      <c r="F2243" s="22">
        <f ca="1"/>
        <v>343.10998499999999</v>
      </c>
      <c r="G2243" s="22">
        <f ca="1"/>
        <v>339.92480499999999</v>
      </c>
      <c r="H2243" s="69">
        <f ca="1"/>
        <v>21963400</v>
      </c>
      <c r="I2243" s="23" t="str">
        <f t="shared" ca="1" si="69"/>
        <v/>
      </c>
    </row>
    <row r="2244" spans="1:9" ht="13.8">
      <c r="A2244" s="20">
        <f t="shared" ca="1" si="68"/>
        <v>44522</v>
      </c>
      <c r="B2244" s="21" t="str">
        <f ca="1"/>
        <v>2021-11-22</v>
      </c>
      <c r="C2244" s="22">
        <f ca="1"/>
        <v>344.61999500000002</v>
      </c>
      <c r="D2244" s="22">
        <f ca="1"/>
        <v>349.67001299999998</v>
      </c>
      <c r="E2244" s="22">
        <f ca="1"/>
        <v>339.54998799999998</v>
      </c>
      <c r="F2244" s="22">
        <f ca="1"/>
        <v>339.82998700000002</v>
      </c>
      <c r="G2244" s="22">
        <f ca="1"/>
        <v>336.67526199999998</v>
      </c>
      <c r="H2244" s="69">
        <f ca="1"/>
        <v>31031100</v>
      </c>
      <c r="I2244" s="23" t="str">
        <f t="shared" ca="1" si="69"/>
        <v/>
      </c>
    </row>
    <row r="2245" spans="1:9" ht="13.8">
      <c r="A2245" s="20">
        <f t="shared" ca="1" si="68"/>
        <v>44523</v>
      </c>
      <c r="B2245" s="21" t="str">
        <f ca="1"/>
        <v>2021-11-23</v>
      </c>
      <c r="C2245" s="22">
        <f ca="1"/>
        <v>337.04998799999998</v>
      </c>
      <c r="D2245" s="22">
        <f ca="1"/>
        <v>339.45001200000002</v>
      </c>
      <c r="E2245" s="22">
        <f ca="1"/>
        <v>333.55999800000001</v>
      </c>
      <c r="F2245" s="22">
        <f ca="1"/>
        <v>337.67999300000002</v>
      </c>
      <c r="G2245" s="22">
        <f ca="1"/>
        <v>334.54522700000001</v>
      </c>
      <c r="H2245" s="69">
        <f ca="1"/>
        <v>30427600</v>
      </c>
      <c r="I2245" s="23" t="str">
        <f t="shared" ca="1" si="69"/>
        <v/>
      </c>
    </row>
    <row r="2246" spans="1:9" ht="13.8">
      <c r="A2246" s="20">
        <f t="shared" ref="A2246:A2309" ca="1" si="70">IFERROR(DATEVALUE($B2246),"--")</f>
        <v>44524</v>
      </c>
      <c r="B2246" s="21" t="str">
        <f ca="1"/>
        <v>2021-11-24</v>
      </c>
      <c r="C2246" s="22">
        <f ca="1"/>
        <v>336.27999899999998</v>
      </c>
      <c r="D2246" s="22">
        <f ca="1"/>
        <v>338.16000400000001</v>
      </c>
      <c r="E2246" s="22">
        <f ca="1"/>
        <v>333.91000400000001</v>
      </c>
      <c r="F2246" s="22">
        <f ca="1"/>
        <v>337.91000400000001</v>
      </c>
      <c r="G2246" s="22">
        <f ca="1"/>
        <v>334.77313199999998</v>
      </c>
      <c r="H2246" s="69">
        <f ca="1"/>
        <v>21661300</v>
      </c>
      <c r="I2246" s="23" t="str">
        <f t="shared" ref="I2246:I2309" ca="1" si="71">IFERROR(IF(Ticker&lt;&gt;$Q$2,"",INDEX($P:$P,MATCH($A2246,$O:$O,0))),"")</f>
        <v/>
      </c>
    </row>
    <row r="2247" spans="1:9" ht="13.8">
      <c r="A2247" s="20">
        <f t="shared" ca="1" si="70"/>
        <v>44526</v>
      </c>
      <c r="B2247" s="21" t="str">
        <f ca="1"/>
        <v>2021-11-26</v>
      </c>
      <c r="C2247" s="22">
        <f ca="1"/>
        <v>334.35000600000001</v>
      </c>
      <c r="D2247" s="22">
        <f ca="1"/>
        <v>337.92999300000002</v>
      </c>
      <c r="E2247" s="22">
        <f ca="1"/>
        <v>328.11999500000002</v>
      </c>
      <c r="F2247" s="22">
        <f ca="1"/>
        <v>329.67999300000002</v>
      </c>
      <c r="G2247" s="22">
        <f ca="1"/>
        <v>326.619507</v>
      </c>
      <c r="H2247" s="69">
        <f ca="1"/>
        <v>24217200</v>
      </c>
      <c r="I2247" s="23" t="str">
        <f t="shared" ca="1" si="71"/>
        <v/>
      </c>
    </row>
    <row r="2248" spans="1:9" ht="13.8">
      <c r="A2248" s="20">
        <f t="shared" ca="1" si="70"/>
        <v>44529</v>
      </c>
      <c r="B2248" s="21" t="str">
        <f ca="1"/>
        <v>2021-11-29</v>
      </c>
      <c r="C2248" s="22">
        <f ca="1"/>
        <v>334.94000199999999</v>
      </c>
      <c r="D2248" s="22">
        <f ca="1"/>
        <v>339.02999899999998</v>
      </c>
      <c r="E2248" s="22">
        <f ca="1"/>
        <v>334.73998999999998</v>
      </c>
      <c r="F2248" s="22">
        <f ca="1"/>
        <v>336.63000499999998</v>
      </c>
      <c r="G2248" s="22">
        <f ca="1"/>
        <v>333.50500499999998</v>
      </c>
      <c r="H2248" s="69">
        <f ca="1"/>
        <v>28563500</v>
      </c>
      <c r="I2248" s="23" t="str">
        <f t="shared" ca="1" si="71"/>
        <v/>
      </c>
    </row>
    <row r="2249" spans="1:9" ht="13.8">
      <c r="A2249" s="20">
        <f t="shared" ca="1" si="70"/>
        <v>44530</v>
      </c>
      <c r="B2249" s="21" t="str">
        <f ca="1"/>
        <v>2021-11-30</v>
      </c>
      <c r="C2249" s="22">
        <f ca="1"/>
        <v>335.32000699999998</v>
      </c>
      <c r="D2249" s="22">
        <f ca="1"/>
        <v>337.77999899999998</v>
      </c>
      <c r="E2249" s="22">
        <f ca="1"/>
        <v>328.98998999999998</v>
      </c>
      <c r="F2249" s="22">
        <f ca="1"/>
        <v>330.58999599999999</v>
      </c>
      <c r="G2249" s="22">
        <f ca="1"/>
        <v>327.52105699999998</v>
      </c>
      <c r="H2249" s="69">
        <f ca="1"/>
        <v>42885600</v>
      </c>
      <c r="I2249" s="23" t="str">
        <f t="shared" ca="1" si="71"/>
        <v/>
      </c>
    </row>
    <row r="2250" spans="1:9" ht="13.8">
      <c r="A2250" s="20">
        <f t="shared" ca="1" si="70"/>
        <v>44531</v>
      </c>
      <c r="B2250" s="21" t="str">
        <f ca="1"/>
        <v>2021-12-01</v>
      </c>
      <c r="C2250" s="22">
        <f ca="1"/>
        <v>335.13000499999998</v>
      </c>
      <c r="D2250" s="22">
        <f ca="1"/>
        <v>339.27999899999998</v>
      </c>
      <c r="E2250" s="22">
        <f ca="1"/>
        <v>329.39001500000001</v>
      </c>
      <c r="F2250" s="22">
        <f ca="1"/>
        <v>330.07998700000002</v>
      </c>
      <c r="G2250" s="22">
        <f ca="1"/>
        <v>327.01583900000003</v>
      </c>
      <c r="H2250" s="69">
        <f ca="1"/>
        <v>33337600</v>
      </c>
      <c r="I2250" s="23" t="str">
        <f t="shared" ca="1" si="71"/>
        <v/>
      </c>
    </row>
    <row r="2251" spans="1:9" ht="13.8">
      <c r="A2251" s="20">
        <f t="shared" ca="1" si="70"/>
        <v>44532</v>
      </c>
      <c r="B2251" s="21" t="str">
        <f ca="1"/>
        <v>2021-12-02</v>
      </c>
      <c r="C2251" s="22">
        <f ca="1"/>
        <v>330.29998799999998</v>
      </c>
      <c r="D2251" s="22">
        <f ca="1"/>
        <v>333.48998999999998</v>
      </c>
      <c r="E2251" s="22">
        <f ca="1"/>
        <v>327.79998799999998</v>
      </c>
      <c r="F2251" s="22">
        <f ca="1"/>
        <v>329.48998999999998</v>
      </c>
      <c r="G2251" s="22">
        <f ca="1"/>
        <v>326.43127399999997</v>
      </c>
      <c r="H2251" s="69">
        <f ca="1"/>
        <v>30766000</v>
      </c>
      <c r="I2251" s="23" t="str">
        <f t="shared" ca="1" si="71"/>
        <v/>
      </c>
    </row>
    <row r="2252" spans="1:9" ht="13.8">
      <c r="A2252" s="20">
        <f t="shared" ca="1" si="70"/>
        <v>44533</v>
      </c>
      <c r="B2252" s="21" t="str">
        <f ca="1"/>
        <v>2021-12-03</v>
      </c>
      <c r="C2252" s="22">
        <f ca="1"/>
        <v>331.98998999999998</v>
      </c>
      <c r="D2252" s="22">
        <f ca="1"/>
        <v>332.70001200000002</v>
      </c>
      <c r="E2252" s="22">
        <f ca="1"/>
        <v>318.02999899999998</v>
      </c>
      <c r="F2252" s="22">
        <f ca="1"/>
        <v>323.01001000000002</v>
      </c>
      <c r="G2252" s="22">
        <f ca="1"/>
        <v>320.01144399999998</v>
      </c>
      <c r="H2252" s="69">
        <f ca="1"/>
        <v>41779300</v>
      </c>
      <c r="I2252" s="23" t="str">
        <f t="shared" ca="1" si="71"/>
        <v/>
      </c>
    </row>
    <row r="2253" spans="1:9" ht="13.8">
      <c r="A2253" s="20">
        <f t="shared" ca="1" si="70"/>
        <v>44536</v>
      </c>
      <c r="B2253" s="21" t="str">
        <f ca="1"/>
        <v>2021-12-06</v>
      </c>
      <c r="C2253" s="22">
        <f ca="1"/>
        <v>323.95001200000002</v>
      </c>
      <c r="D2253" s="22">
        <f ca="1"/>
        <v>327.45001200000002</v>
      </c>
      <c r="E2253" s="22">
        <f ca="1"/>
        <v>319.23001099999999</v>
      </c>
      <c r="F2253" s="22">
        <f ca="1"/>
        <v>326.19000199999999</v>
      </c>
      <c r="G2253" s="22">
        <f ca="1"/>
        <v>323.16189600000001</v>
      </c>
      <c r="H2253" s="69">
        <f ca="1"/>
        <v>30032600</v>
      </c>
      <c r="I2253" s="23" t="str">
        <f t="shared" ca="1" si="71"/>
        <v/>
      </c>
    </row>
    <row r="2254" spans="1:9" ht="13.8">
      <c r="A2254" s="20">
        <f t="shared" ca="1" si="70"/>
        <v>44537</v>
      </c>
      <c r="B2254" s="21" t="str">
        <f ca="1"/>
        <v>2021-12-07</v>
      </c>
      <c r="C2254" s="22">
        <f ca="1"/>
        <v>331.64001500000001</v>
      </c>
      <c r="D2254" s="22">
        <f ca="1"/>
        <v>335.79998799999998</v>
      </c>
      <c r="E2254" s="22">
        <f ca="1"/>
        <v>330.10000600000001</v>
      </c>
      <c r="F2254" s="22">
        <f ca="1"/>
        <v>334.92001299999998</v>
      </c>
      <c r="G2254" s="22">
        <f ca="1"/>
        <v>331.81088299999999</v>
      </c>
      <c r="H2254" s="69">
        <f ca="1"/>
        <v>31021900</v>
      </c>
      <c r="I2254" s="23" t="str">
        <f t="shared" ca="1" si="71"/>
        <v/>
      </c>
    </row>
    <row r="2255" spans="1:9" ht="13.8">
      <c r="A2255" s="20">
        <f t="shared" ca="1" si="70"/>
        <v>44538</v>
      </c>
      <c r="B2255" s="21" t="str">
        <f ca="1"/>
        <v>2021-12-08</v>
      </c>
      <c r="C2255" s="22">
        <f ca="1"/>
        <v>335.30999800000001</v>
      </c>
      <c r="D2255" s="22">
        <f ca="1"/>
        <v>335.5</v>
      </c>
      <c r="E2255" s="22">
        <f ca="1"/>
        <v>330.79998799999998</v>
      </c>
      <c r="F2255" s="22">
        <f ca="1"/>
        <v>334.97000100000002</v>
      </c>
      <c r="G2255" s="22">
        <f ca="1"/>
        <v>331.86041299999999</v>
      </c>
      <c r="H2255" s="69">
        <f ca="1"/>
        <v>24761000</v>
      </c>
      <c r="I2255" s="23" t="str">
        <f t="shared" ca="1" si="71"/>
        <v/>
      </c>
    </row>
    <row r="2256" spans="1:9" ht="13.8">
      <c r="A2256" s="20">
        <f t="shared" ca="1" si="70"/>
        <v>44539</v>
      </c>
      <c r="B2256" s="21" t="str">
        <f ca="1"/>
        <v>2021-12-09</v>
      </c>
      <c r="C2256" s="22">
        <f ca="1"/>
        <v>334.41000400000001</v>
      </c>
      <c r="D2256" s="22">
        <f ca="1"/>
        <v>336.48998999999998</v>
      </c>
      <c r="E2256" s="22">
        <f ca="1"/>
        <v>332.11999500000002</v>
      </c>
      <c r="F2256" s="22">
        <f ca="1"/>
        <v>333.10000600000001</v>
      </c>
      <c r="G2256" s="22">
        <f ca="1"/>
        <v>330.00775099999998</v>
      </c>
      <c r="H2256" s="69">
        <f ca="1"/>
        <v>22214200</v>
      </c>
      <c r="I2256" s="23" t="str">
        <f t="shared" ca="1" si="71"/>
        <v/>
      </c>
    </row>
    <row r="2257" spans="1:9" ht="13.8">
      <c r="A2257" s="20">
        <f t="shared" ca="1" si="70"/>
        <v>44540</v>
      </c>
      <c r="B2257" s="21" t="str">
        <f ca="1"/>
        <v>2021-12-10</v>
      </c>
      <c r="C2257" s="22">
        <f ca="1"/>
        <v>334.98001099999999</v>
      </c>
      <c r="D2257" s="22">
        <f ca="1"/>
        <v>343</v>
      </c>
      <c r="E2257" s="22">
        <f ca="1"/>
        <v>334.790009</v>
      </c>
      <c r="F2257" s="22">
        <f ca="1"/>
        <v>342.540009</v>
      </c>
      <c r="G2257" s="22">
        <f ca="1"/>
        <v>339.36016799999999</v>
      </c>
      <c r="H2257" s="69">
        <f ca="1"/>
        <v>38095700</v>
      </c>
      <c r="I2257" s="23" t="str">
        <f t="shared" ca="1" si="71"/>
        <v/>
      </c>
    </row>
    <row r="2258" spans="1:9" ht="13.8">
      <c r="A2258" s="20">
        <f t="shared" ca="1" si="70"/>
        <v>44543</v>
      </c>
      <c r="B2258" s="21" t="str">
        <f ca="1"/>
        <v>2021-12-13</v>
      </c>
      <c r="C2258" s="22">
        <f ca="1"/>
        <v>340.67999300000002</v>
      </c>
      <c r="D2258" s="22">
        <f ca="1"/>
        <v>343.790009</v>
      </c>
      <c r="E2258" s="22">
        <f ca="1"/>
        <v>339.07998700000002</v>
      </c>
      <c r="F2258" s="22">
        <f ca="1"/>
        <v>339.39999399999999</v>
      </c>
      <c r="G2258" s="22">
        <f ca="1"/>
        <v>336.24926799999997</v>
      </c>
      <c r="H2258" s="69">
        <f ca="1"/>
        <v>28899400</v>
      </c>
      <c r="I2258" s="23" t="str">
        <f t="shared" ca="1" si="71"/>
        <v/>
      </c>
    </row>
    <row r="2259" spans="1:9" ht="13.8">
      <c r="A2259" s="20">
        <f t="shared" ca="1" si="70"/>
        <v>44544</v>
      </c>
      <c r="B2259" s="21" t="str">
        <f ca="1"/>
        <v>2021-12-14</v>
      </c>
      <c r="C2259" s="22">
        <f ca="1"/>
        <v>333.22000100000002</v>
      </c>
      <c r="D2259" s="22">
        <f ca="1"/>
        <v>334.64001500000001</v>
      </c>
      <c r="E2259" s="22">
        <f ca="1"/>
        <v>324.10998499999999</v>
      </c>
      <c r="F2259" s="22">
        <f ca="1"/>
        <v>328.33999599999999</v>
      </c>
      <c r="G2259" s="22">
        <f ca="1"/>
        <v>325.29196200000001</v>
      </c>
      <c r="H2259" s="69">
        <f ca="1"/>
        <v>44438700</v>
      </c>
      <c r="I2259" s="23" t="str">
        <f t="shared" ca="1" si="71"/>
        <v/>
      </c>
    </row>
    <row r="2260" spans="1:9" ht="13.8">
      <c r="A2260" s="20">
        <f t="shared" ca="1" si="70"/>
        <v>44545</v>
      </c>
      <c r="B2260" s="21" t="str">
        <f ca="1"/>
        <v>2021-12-15</v>
      </c>
      <c r="C2260" s="22">
        <f ca="1"/>
        <v>328.60998499999999</v>
      </c>
      <c r="D2260" s="22">
        <f ca="1"/>
        <v>335.19000199999999</v>
      </c>
      <c r="E2260" s="22">
        <f ca="1"/>
        <v>324.5</v>
      </c>
      <c r="F2260" s="22">
        <f ca="1"/>
        <v>334.64999399999999</v>
      </c>
      <c r="G2260" s="22">
        <f ca="1"/>
        <v>331.54336499999999</v>
      </c>
      <c r="H2260" s="69">
        <f ca="1"/>
        <v>35381100</v>
      </c>
      <c r="I2260" s="23" t="str">
        <f t="shared" ca="1" si="71"/>
        <v/>
      </c>
    </row>
    <row r="2261" spans="1:9" ht="13.8">
      <c r="A2261" s="20">
        <f t="shared" ca="1" si="70"/>
        <v>44546</v>
      </c>
      <c r="B2261" s="21" t="str">
        <f ca="1"/>
        <v>2021-12-16</v>
      </c>
      <c r="C2261" s="22">
        <f ca="1"/>
        <v>335.709991</v>
      </c>
      <c r="D2261" s="22">
        <f ca="1"/>
        <v>336.76001000000002</v>
      </c>
      <c r="E2261" s="22">
        <f ca="1"/>
        <v>323.01998900000001</v>
      </c>
      <c r="F2261" s="22">
        <f ca="1"/>
        <v>324.89999399999999</v>
      </c>
      <c r="G2261" s="22">
        <f ca="1"/>
        <v>321.88385</v>
      </c>
      <c r="H2261" s="69">
        <f ca="1"/>
        <v>35034800</v>
      </c>
      <c r="I2261" s="23" t="str">
        <f t="shared" ca="1" si="71"/>
        <v/>
      </c>
    </row>
    <row r="2262" spans="1:9" ht="13.8">
      <c r="A2262" s="20">
        <f t="shared" ca="1" si="70"/>
        <v>44547</v>
      </c>
      <c r="B2262" s="21" t="str">
        <f ca="1"/>
        <v>2021-12-17</v>
      </c>
      <c r="C2262" s="22">
        <f ca="1"/>
        <v>320.88000499999998</v>
      </c>
      <c r="D2262" s="22">
        <f ca="1"/>
        <v>324.92001299999998</v>
      </c>
      <c r="E2262" s="22">
        <f ca="1"/>
        <v>317.25</v>
      </c>
      <c r="F2262" s="22">
        <f ca="1"/>
        <v>323.79998799999998</v>
      </c>
      <c r="G2262" s="22">
        <f ca="1"/>
        <v>320.79406699999998</v>
      </c>
      <c r="H2262" s="69">
        <f ca="1"/>
        <v>47750300</v>
      </c>
      <c r="I2262" s="23" t="str">
        <f t="shared" ca="1" si="71"/>
        <v/>
      </c>
    </row>
    <row r="2263" spans="1:9" ht="13.8">
      <c r="A2263" s="20">
        <f t="shared" ca="1" si="70"/>
        <v>44550</v>
      </c>
      <c r="B2263" s="21" t="str">
        <f ca="1"/>
        <v>2021-12-20</v>
      </c>
      <c r="C2263" s="22">
        <f ca="1"/>
        <v>320.04998799999998</v>
      </c>
      <c r="D2263" s="22">
        <f ca="1"/>
        <v>322.79998799999998</v>
      </c>
      <c r="E2263" s="22">
        <f ca="1"/>
        <v>317.57000699999998</v>
      </c>
      <c r="F2263" s="22">
        <f ca="1"/>
        <v>319.91000400000001</v>
      </c>
      <c r="G2263" s="22">
        <f ca="1"/>
        <v>316.94021600000002</v>
      </c>
      <c r="H2263" s="69">
        <f ca="1"/>
        <v>28326500</v>
      </c>
      <c r="I2263" s="23" t="str">
        <f t="shared" ca="1" si="71"/>
        <v/>
      </c>
    </row>
    <row r="2264" spans="1:9" ht="13.8">
      <c r="A2264" s="20">
        <f t="shared" ca="1" si="70"/>
        <v>44551</v>
      </c>
      <c r="B2264" s="21" t="str">
        <f ca="1"/>
        <v>2021-12-21</v>
      </c>
      <c r="C2264" s="22">
        <f ca="1"/>
        <v>323.290009</v>
      </c>
      <c r="D2264" s="22">
        <f ca="1"/>
        <v>327.73001099999999</v>
      </c>
      <c r="E2264" s="22">
        <f ca="1"/>
        <v>319.79998799999998</v>
      </c>
      <c r="F2264" s="22">
        <f ca="1"/>
        <v>327.290009</v>
      </c>
      <c r="G2264" s="22">
        <f ca="1"/>
        <v>324.25170900000001</v>
      </c>
      <c r="H2264" s="69">
        <f ca="1"/>
        <v>24740600</v>
      </c>
      <c r="I2264" s="23" t="str">
        <f t="shared" ca="1" si="71"/>
        <v/>
      </c>
    </row>
    <row r="2265" spans="1:9" ht="13.8">
      <c r="A2265" s="20">
        <f t="shared" ca="1" si="70"/>
        <v>44552</v>
      </c>
      <c r="B2265" s="21" t="str">
        <f ca="1"/>
        <v>2021-12-22</v>
      </c>
      <c r="C2265" s="22">
        <f ca="1"/>
        <v>328.29998799999998</v>
      </c>
      <c r="D2265" s="22">
        <f ca="1"/>
        <v>333.60998499999999</v>
      </c>
      <c r="E2265" s="22">
        <f ca="1"/>
        <v>325.75</v>
      </c>
      <c r="F2265" s="22">
        <f ca="1"/>
        <v>333.20001200000002</v>
      </c>
      <c r="G2265" s="22">
        <f ca="1"/>
        <v>330.10687300000001</v>
      </c>
      <c r="H2265" s="69">
        <f ca="1"/>
        <v>24831500</v>
      </c>
      <c r="I2265" s="23" t="str">
        <f t="shared" ca="1" si="71"/>
        <v/>
      </c>
    </row>
    <row r="2266" spans="1:9" ht="13.8">
      <c r="A2266" s="20">
        <f t="shared" ca="1" si="70"/>
        <v>44553</v>
      </c>
      <c r="B2266" s="21" t="str">
        <f ca="1"/>
        <v>2021-12-23</v>
      </c>
      <c r="C2266" s="22">
        <f ca="1"/>
        <v>332.75</v>
      </c>
      <c r="D2266" s="22">
        <f ca="1"/>
        <v>336.39001500000001</v>
      </c>
      <c r="E2266" s="22">
        <f ca="1"/>
        <v>332.73001099999999</v>
      </c>
      <c r="F2266" s="22">
        <f ca="1"/>
        <v>334.69000199999999</v>
      </c>
      <c r="G2266" s="22">
        <f ca="1"/>
        <v>331.58300800000001</v>
      </c>
      <c r="H2266" s="69">
        <f ca="1"/>
        <v>19617800</v>
      </c>
      <c r="I2266" s="23" t="str">
        <f t="shared" ca="1" si="71"/>
        <v/>
      </c>
    </row>
    <row r="2267" spans="1:9" ht="13.8">
      <c r="A2267" s="20">
        <f t="shared" ca="1" si="70"/>
        <v>44557</v>
      </c>
      <c r="B2267" s="21" t="str">
        <f ca="1"/>
        <v>2021-12-27</v>
      </c>
      <c r="C2267" s="22">
        <f ca="1"/>
        <v>335.459991</v>
      </c>
      <c r="D2267" s="22">
        <f ca="1"/>
        <v>342.48001099999999</v>
      </c>
      <c r="E2267" s="22">
        <f ca="1"/>
        <v>335.42999300000002</v>
      </c>
      <c r="F2267" s="22">
        <f ca="1"/>
        <v>342.45001200000002</v>
      </c>
      <c r="G2267" s="22">
        <f ca="1"/>
        <v>339.27099600000003</v>
      </c>
      <c r="H2267" s="69">
        <f ca="1"/>
        <v>19947000</v>
      </c>
      <c r="I2267" s="23" t="str">
        <f t="shared" ca="1" si="71"/>
        <v/>
      </c>
    </row>
    <row r="2268" spans="1:9" ht="13.8">
      <c r="A2268" s="20">
        <f t="shared" ca="1" si="70"/>
        <v>44558</v>
      </c>
      <c r="B2268" s="21" t="str">
        <f ca="1"/>
        <v>2021-12-28</v>
      </c>
      <c r="C2268" s="22">
        <f ca="1"/>
        <v>343.14999399999999</v>
      </c>
      <c r="D2268" s="22">
        <f ca="1"/>
        <v>343.80999800000001</v>
      </c>
      <c r="E2268" s="22">
        <f ca="1"/>
        <v>340.32000699999998</v>
      </c>
      <c r="F2268" s="22">
        <f ca="1"/>
        <v>341.25</v>
      </c>
      <c r="G2268" s="22">
        <f ca="1"/>
        <v>338.08212300000002</v>
      </c>
      <c r="H2268" s="69">
        <f ca="1"/>
        <v>15661500</v>
      </c>
      <c r="I2268" s="23" t="str">
        <f t="shared" ca="1" si="71"/>
        <v/>
      </c>
    </row>
    <row r="2269" spans="1:9" ht="13.8">
      <c r="A2269" s="20">
        <f t="shared" ca="1" si="70"/>
        <v>44559</v>
      </c>
      <c r="B2269" s="21" t="str">
        <f ca="1"/>
        <v>2021-12-29</v>
      </c>
      <c r="C2269" s="22">
        <f ca="1"/>
        <v>341.29998799999998</v>
      </c>
      <c r="D2269" s="22">
        <f ca="1"/>
        <v>344.29998799999998</v>
      </c>
      <c r="E2269" s="22">
        <f ca="1"/>
        <v>339.67999300000002</v>
      </c>
      <c r="F2269" s="22">
        <f ca="1"/>
        <v>341.95001200000002</v>
      </c>
      <c r="G2269" s="22">
        <f ca="1"/>
        <v>338.775665</v>
      </c>
      <c r="H2269" s="69">
        <f ca="1"/>
        <v>15042000</v>
      </c>
      <c r="I2269" s="23" t="str">
        <f t="shared" ca="1" si="71"/>
        <v/>
      </c>
    </row>
    <row r="2270" spans="1:9" ht="13.8">
      <c r="A2270" s="20">
        <f t="shared" ca="1" si="70"/>
        <v>44560</v>
      </c>
      <c r="B2270" s="21" t="str">
        <f ca="1"/>
        <v>2021-12-30</v>
      </c>
      <c r="C2270" s="22">
        <f ca="1"/>
        <v>341.91000400000001</v>
      </c>
      <c r="D2270" s="22">
        <f ca="1"/>
        <v>343.13000499999998</v>
      </c>
      <c r="E2270" s="22">
        <f ca="1"/>
        <v>338.82000699999998</v>
      </c>
      <c r="F2270" s="22">
        <f ca="1"/>
        <v>339.32000699999998</v>
      </c>
      <c r="G2270" s="22">
        <f ca="1"/>
        <v>336.17004400000002</v>
      </c>
      <c r="H2270" s="69">
        <f ca="1"/>
        <v>15994500</v>
      </c>
      <c r="I2270" s="23" t="str">
        <f t="shared" ca="1" si="71"/>
        <v/>
      </c>
    </row>
    <row r="2271" spans="1:9" ht="13.8">
      <c r="A2271" s="20">
        <f t="shared" ca="1" si="70"/>
        <v>44561</v>
      </c>
      <c r="B2271" s="21" t="str">
        <f ca="1"/>
        <v>2021-12-31</v>
      </c>
      <c r="C2271" s="22">
        <f ca="1"/>
        <v>338.51001000000002</v>
      </c>
      <c r="D2271" s="22">
        <f ca="1"/>
        <v>339.35998499999999</v>
      </c>
      <c r="E2271" s="22">
        <f ca="1"/>
        <v>335.85000600000001</v>
      </c>
      <c r="F2271" s="22">
        <f ca="1"/>
        <v>336.32000699999998</v>
      </c>
      <c r="G2271" s="22">
        <f ca="1"/>
        <v>333.19793700000002</v>
      </c>
      <c r="H2271" s="69">
        <f ca="1"/>
        <v>18000800</v>
      </c>
      <c r="I2271" s="23" t="str">
        <f t="shared" ca="1" si="71"/>
        <v/>
      </c>
    </row>
    <row r="2272" spans="1:9" ht="13.8">
      <c r="A2272" s="20">
        <f t="shared" ca="1" si="70"/>
        <v>44564</v>
      </c>
      <c r="B2272" s="21" t="str">
        <f ca="1"/>
        <v>2022-01-03</v>
      </c>
      <c r="C2272" s="22">
        <f ca="1"/>
        <v>335.35000600000001</v>
      </c>
      <c r="D2272" s="22">
        <f ca="1"/>
        <v>338</v>
      </c>
      <c r="E2272" s="22">
        <f ca="1"/>
        <v>329.77999899999998</v>
      </c>
      <c r="F2272" s="22">
        <f ca="1"/>
        <v>334.75</v>
      </c>
      <c r="G2272" s="22">
        <f ca="1"/>
        <v>331.642426</v>
      </c>
      <c r="H2272" s="69">
        <f ca="1"/>
        <v>28865100</v>
      </c>
      <c r="I2272" s="23" t="str">
        <f t="shared" ca="1" si="71"/>
        <v/>
      </c>
    </row>
    <row r="2273" spans="1:9" ht="13.8">
      <c r="A2273" s="20">
        <f t="shared" ca="1" si="70"/>
        <v>44565</v>
      </c>
      <c r="B2273" s="21" t="str">
        <f ca="1"/>
        <v>2022-01-04</v>
      </c>
      <c r="C2273" s="22">
        <f ca="1"/>
        <v>334.82998700000002</v>
      </c>
      <c r="D2273" s="22">
        <f ca="1"/>
        <v>335.20001200000002</v>
      </c>
      <c r="E2273" s="22">
        <f ca="1"/>
        <v>326.11999500000002</v>
      </c>
      <c r="F2273" s="22">
        <f ca="1"/>
        <v>329.01001000000002</v>
      </c>
      <c r="G2273" s="22">
        <f ca="1"/>
        <v>325.95575000000002</v>
      </c>
      <c r="H2273" s="69">
        <f ca="1"/>
        <v>32674300</v>
      </c>
      <c r="I2273" s="23" t="str">
        <f t="shared" ca="1" si="71"/>
        <v/>
      </c>
    </row>
    <row r="2274" spans="1:9" ht="13.8">
      <c r="A2274" s="20">
        <f t="shared" ca="1" si="70"/>
        <v>44566</v>
      </c>
      <c r="B2274" s="21" t="str">
        <f ca="1"/>
        <v>2022-01-05</v>
      </c>
      <c r="C2274" s="22">
        <f ca="1"/>
        <v>325.85998499999999</v>
      </c>
      <c r="D2274" s="22">
        <f ca="1"/>
        <v>326.07000699999998</v>
      </c>
      <c r="E2274" s="22">
        <f ca="1"/>
        <v>315.98001099999999</v>
      </c>
      <c r="F2274" s="22">
        <f ca="1"/>
        <v>316.38000499999998</v>
      </c>
      <c r="G2274" s="22">
        <f ca="1"/>
        <v>313.442993</v>
      </c>
      <c r="H2274" s="69">
        <f ca="1"/>
        <v>40054300</v>
      </c>
      <c r="I2274" s="23" t="str">
        <f t="shared" ca="1" si="71"/>
        <v/>
      </c>
    </row>
    <row r="2275" spans="1:9" ht="13.8">
      <c r="A2275" s="20">
        <f t="shared" ca="1" si="70"/>
        <v>44567</v>
      </c>
      <c r="B2275" s="21" t="str">
        <f ca="1"/>
        <v>2022-01-06</v>
      </c>
      <c r="C2275" s="22">
        <f ca="1"/>
        <v>313.14999399999999</v>
      </c>
      <c r="D2275" s="22">
        <f ca="1"/>
        <v>318.70001200000002</v>
      </c>
      <c r="E2275" s="22">
        <f ca="1"/>
        <v>311.48998999999998</v>
      </c>
      <c r="F2275" s="22">
        <f ca="1"/>
        <v>313.88000499999998</v>
      </c>
      <c r="G2275" s="22">
        <f ca="1"/>
        <v>310.96618699999999</v>
      </c>
      <c r="H2275" s="69">
        <f ca="1"/>
        <v>39646100</v>
      </c>
      <c r="I2275" s="23" t="str">
        <f t="shared" ca="1" si="71"/>
        <v/>
      </c>
    </row>
    <row r="2276" spans="1:9" ht="13.8">
      <c r="A2276" s="20">
        <f t="shared" ca="1" si="70"/>
        <v>44568</v>
      </c>
      <c r="B2276" s="21" t="str">
        <f ca="1"/>
        <v>2022-01-07</v>
      </c>
      <c r="C2276" s="22">
        <f ca="1"/>
        <v>314.14999399999999</v>
      </c>
      <c r="D2276" s="22">
        <f ca="1"/>
        <v>316.5</v>
      </c>
      <c r="E2276" s="22">
        <f ca="1"/>
        <v>310.08999599999999</v>
      </c>
      <c r="F2276" s="22">
        <f ca="1"/>
        <v>314.040009</v>
      </c>
      <c r="G2276" s="22">
        <f ca="1"/>
        <v>311.12469499999997</v>
      </c>
      <c r="H2276" s="69">
        <f ca="1"/>
        <v>32720000</v>
      </c>
      <c r="I2276" s="23" t="str">
        <f t="shared" ca="1" si="71"/>
        <v/>
      </c>
    </row>
    <row r="2277" spans="1:9" ht="13.8">
      <c r="A2277" s="20">
        <f t="shared" ca="1" si="70"/>
        <v>44571</v>
      </c>
      <c r="B2277" s="21" t="str">
        <f ca="1"/>
        <v>2022-01-10</v>
      </c>
      <c r="C2277" s="22">
        <f ca="1"/>
        <v>309.48998999999998</v>
      </c>
      <c r="D2277" s="22">
        <f ca="1"/>
        <v>314.72000100000002</v>
      </c>
      <c r="E2277" s="22">
        <f ca="1"/>
        <v>304.69000199999999</v>
      </c>
      <c r="F2277" s="22">
        <f ca="1"/>
        <v>314.26998900000001</v>
      </c>
      <c r="G2277" s="22">
        <f ca="1"/>
        <v>311.35257000000001</v>
      </c>
      <c r="H2277" s="69">
        <f ca="1"/>
        <v>44289500</v>
      </c>
      <c r="I2277" s="23" t="str">
        <f t="shared" ca="1" si="71"/>
        <v/>
      </c>
    </row>
    <row r="2278" spans="1:9" ht="13.8">
      <c r="A2278" s="20">
        <f t="shared" ca="1" si="70"/>
        <v>44572</v>
      </c>
      <c r="B2278" s="21" t="str">
        <f ca="1"/>
        <v>2022-01-11</v>
      </c>
      <c r="C2278" s="22">
        <f ca="1"/>
        <v>313.38000499999998</v>
      </c>
      <c r="D2278" s="22">
        <f ca="1"/>
        <v>316.60998499999999</v>
      </c>
      <c r="E2278" s="22">
        <f ca="1"/>
        <v>309.89001500000001</v>
      </c>
      <c r="F2278" s="22">
        <f ca="1"/>
        <v>314.98001099999999</v>
      </c>
      <c r="G2278" s="22">
        <f ca="1"/>
        <v>312.05599999999998</v>
      </c>
      <c r="H2278" s="69">
        <f ca="1"/>
        <v>29386800</v>
      </c>
      <c r="I2278" s="23" t="str">
        <f t="shared" ca="1" si="71"/>
        <v/>
      </c>
    </row>
    <row r="2279" spans="1:9" ht="13.8">
      <c r="A2279" s="20">
        <f t="shared" ca="1" si="70"/>
        <v>44573</v>
      </c>
      <c r="B2279" s="21" t="str">
        <f ca="1"/>
        <v>2022-01-12</v>
      </c>
      <c r="C2279" s="22">
        <f ca="1"/>
        <v>319.67001299999998</v>
      </c>
      <c r="D2279" s="22">
        <f ca="1"/>
        <v>323.41000400000001</v>
      </c>
      <c r="E2279" s="22">
        <f ca="1"/>
        <v>317.07998700000002</v>
      </c>
      <c r="F2279" s="22">
        <f ca="1"/>
        <v>318.26998900000001</v>
      </c>
      <c r="G2279" s="22">
        <f ca="1"/>
        <v>315.31542999999999</v>
      </c>
      <c r="H2279" s="69">
        <f ca="1"/>
        <v>34372200</v>
      </c>
      <c r="I2279" s="23" t="str">
        <f t="shared" ca="1" si="71"/>
        <v/>
      </c>
    </row>
    <row r="2280" spans="1:9" ht="13.8">
      <c r="A2280" s="20">
        <f t="shared" ca="1" si="70"/>
        <v>44574</v>
      </c>
      <c r="B2280" s="21" t="str">
        <f ca="1"/>
        <v>2022-01-13</v>
      </c>
      <c r="C2280" s="22">
        <f ca="1"/>
        <v>320.47000100000002</v>
      </c>
      <c r="D2280" s="22">
        <f ca="1"/>
        <v>320.88000499999998</v>
      </c>
      <c r="E2280" s="22">
        <f ca="1"/>
        <v>304</v>
      </c>
      <c r="F2280" s="22">
        <f ca="1"/>
        <v>304.79998799999998</v>
      </c>
      <c r="G2280" s="22">
        <f ca="1"/>
        <v>301.97045900000001</v>
      </c>
      <c r="H2280" s="69">
        <f ca="1"/>
        <v>45366000</v>
      </c>
      <c r="I2280" s="23" t="str">
        <f t="shared" ca="1" si="71"/>
        <v/>
      </c>
    </row>
    <row r="2281" spans="1:9" ht="13.8">
      <c r="A2281" s="20">
        <f t="shared" ca="1" si="70"/>
        <v>44575</v>
      </c>
      <c r="B2281" s="21" t="str">
        <f ca="1"/>
        <v>2022-01-14</v>
      </c>
      <c r="C2281" s="22">
        <f ca="1"/>
        <v>304.25</v>
      </c>
      <c r="D2281" s="22">
        <f ca="1"/>
        <v>310.82000699999998</v>
      </c>
      <c r="E2281" s="22">
        <f ca="1"/>
        <v>303.75</v>
      </c>
      <c r="F2281" s="22">
        <f ca="1"/>
        <v>310.20001200000002</v>
      </c>
      <c r="G2281" s="22">
        <f ca="1"/>
        <v>307.32037400000002</v>
      </c>
      <c r="H2281" s="69">
        <f ca="1"/>
        <v>39846400</v>
      </c>
      <c r="I2281" s="23" t="str">
        <f t="shared" ca="1" si="71"/>
        <v/>
      </c>
    </row>
    <row r="2282" spans="1:9" ht="13.8">
      <c r="A2282" s="20">
        <f t="shared" ca="1" si="70"/>
        <v>44579</v>
      </c>
      <c r="B2282" s="21" t="str">
        <f ca="1"/>
        <v>2022-01-18</v>
      </c>
      <c r="C2282" s="22">
        <f ca="1"/>
        <v>304.07000699999998</v>
      </c>
      <c r="D2282" s="22">
        <f ca="1"/>
        <v>309.79998799999998</v>
      </c>
      <c r="E2282" s="22">
        <f ca="1"/>
        <v>301.73998999999998</v>
      </c>
      <c r="F2282" s="22">
        <f ca="1"/>
        <v>302.64999399999999</v>
      </c>
      <c r="G2282" s="22">
        <f ca="1"/>
        <v>299.84042399999998</v>
      </c>
      <c r="H2282" s="69">
        <f ca="1"/>
        <v>42333200</v>
      </c>
      <c r="I2282" s="23" t="str">
        <f t="shared" ca="1" si="71"/>
        <v/>
      </c>
    </row>
    <row r="2283" spans="1:9" ht="13.8">
      <c r="A2283" s="20">
        <f t="shared" ca="1" si="70"/>
        <v>44580</v>
      </c>
      <c r="B2283" s="21" t="str">
        <f ca="1"/>
        <v>2022-01-19</v>
      </c>
      <c r="C2283" s="22">
        <f ca="1"/>
        <v>306.290009</v>
      </c>
      <c r="D2283" s="22">
        <f ca="1"/>
        <v>313.91000400000001</v>
      </c>
      <c r="E2283" s="22">
        <f ca="1"/>
        <v>302.70001200000002</v>
      </c>
      <c r="F2283" s="22">
        <f ca="1"/>
        <v>303.32998700000002</v>
      </c>
      <c r="G2283" s="22">
        <f ca="1"/>
        <v>300.51413000000002</v>
      </c>
      <c r="H2283" s="69">
        <f ca="1"/>
        <v>45933900</v>
      </c>
      <c r="I2283" s="23" t="str">
        <f t="shared" ca="1" si="71"/>
        <v/>
      </c>
    </row>
    <row r="2284" spans="1:9" ht="13.8">
      <c r="A2284" s="20">
        <f t="shared" ca="1" si="70"/>
        <v>44581</v>
      </c>
      <c r="B2284" s="21" t="str">
        <f ca="1"/>
        <v>2022-01-20</v>
      </c>
      <c r="C2284" s="22">
        <f ca="1"/>
        <v>309.07000699999998</v>
      </c>
      <c r="D2284" s="22">
        <f ca="1"/>
        <v>311.64999399999999</v>
      </c>
      <c r="E2284" s="22">
        <f ca="1"/>
        <v>301.14001500000001</v>
      </c>
      <c r="F2284" s="22">
        <f ca="1"/>
        <v>301.60000600000001</v>
      </c>
      <c r="G2284" s="22">
        <f ca="1"/>
        <v>298.80020100000002</v>
      </c>
      <c r="H2284" s="69">
        <f ca="1"/>
        <v>35380700</v>
      </c>
      <c r="I2284" s="23" t="str">
        <f t="shared" ca="1" si="71"/>
        <v/>
      </c>
    </row>
    <row r="2285" spans="1:9" ht="13.8">
      <c r="A2285" s="20">
        <f t="shared" ca="1" si="70"/>
        <v>44582</v>
      </c>
      <c r="B2285" s="21" t="str">
        <f ca="1"/>
        <v>2022-01-21</v>
      </c>
      <c r="C2285" s="22">
        <f ca="1"/>
        <v>302.69000199999999</v>
      </c>
      <c r="D2285" s="22">
        <f ca="1"/>
        <v>304.10998499999999</v>
      </c>
      <c r="E2285" s="22">
        <f ca="1"/>
        <v>295.60998499999999</v>
      </c>
      <c r="F2285" s="22">
        <f ca="1"/>
        <v>296.02999899999998</v>
      </c>
      <c r="G2285" s="22">
        <f ca="1"/>
        <v>293.28192100000001</v>
      </c>
      <c r="H2285" s="69">
        <f ca="1"/>
        <v>57984400</v>
      </c>
      <c r="I2285" s="23" t="str">
        <f t="shared" ca="1" si="71"/>
        <v/>
      </c>
    </row>
    <row r="2286" spans="1:9" ht="13.8">
      <c r="A2286" s="20">
        <f t="shared" ca="1" si="70"/>
        <v>44585</v>
      </c>
      <c r="B2286" s="21" t="str">
        <f ca="1"/>
        <v>2022-01-24</v>
      </c>
      <c r="C2286" s="22">
        <f ca="1"/>
        <v>292.20001200000002</v>
      </c>
      <c r="D2286" s="22">
        <f ca="1"/>
        <v>297.10998499999999</v>
      </c>
      <c r="E2286" s="22">
        <f ca="1"/>
        <v>276.04998799999998</v>
      </c>
      <c r="F2286" s="22">
        <f ca="1"/>
        <v>296.36999500000002</v>
      </c>
      <c r="G2286" s="22">
        <f ca="1"/>
        <v>293.61877399999997</v>
      </c>
      <c r="H2286" s="69">
        <f ca="1"/>
        <v>85731500</v>
      </c>
      <c r="I2286" s="23" t="str">
        <f t="shared" ca="1" si="71"/>
        <v/>
      </c>
    </row>
    <row r="2287" spans="1:9" ht="13.8">
      <c r="A2287" s="20">
        <f t="shared" ca="1" si="70"/>
        <v>44586</v>
      </c>
      <c r="B2287" s="21" t="str">
        <f ca="1"/>
        <v>2022-01-25</v>
      </c>
      <c r="C2287" s="22">
        <f ca="1"/>
        <v>291.51998900000001</v>
      </c>
      <c r="D2287" s="22">
        <f ca="1"/>
        <v>294.98998999999998</v>
      </c>
      <c r="E2287" s="22">
        <f ca="1"/>
        <v>285.17001299999998</v>
      </c>
      <c r="F2287" s="22">
        <f ca="1"/>
        <v>288.48998999999998</v>
      </c>
      <c r="G2287" s="22">
        <f ca="1"/>
        <v>285.81191999999999</v>
      </c>
      <c r="H2287" s="69">
        <f ca="1"/>
        <v>72848600</v>
      </c>
      <c r="I2287" s="23" t="str">
        <f t="shared" ca="1" si="71"/>
        <v/>
      </c>
    </row>
    <row r="2288" spans="1:9" ht="13.8">
      <c r="A2288" s="20">
        <f t="shared" ca="1" si="70"/>
        <v>44587</v>
      </c>
      <c r="B2288" s="21" t="str">
        <f ca="1"/>
        <v>2022-01-26</v>
      </c>
      <c r="C2288" s="22">
        <f ca="1"/>
        <v>307.98998999999998</v>
      </c>
      <c r="D2288" s="22">
        <f ca="1"/>
        <v>308.5</v>
      </c>
      <c r="E2288" s="22">
        <f ca="1"/>
        <v>293.02999899999998</v>
      </c>
      <c r="F2288" s="22">
        <f ca="1"/>
        <v>296.709991</v>
      </c>
      <c r="G2288" s="22">
        <f ca="1"/>
        <v>293.95559700000001</v>
      </c>
      <c r="H2288" s="69">
        <f ca="1"/>
        <v>90428900</v>
      </c>
      <c r="I2288" s="23" t="str">
        <f t="shared" ca="1" si="71"/>
        <v/>
      </c>
    </row>
    <row r="2289" spans="1:9" ht="13.8">
      <c r="A2289" s="20">
        <f t="shared" ca="1" si="70"/>
        <v>44588</v>
      </c>
      <c r="B2289" s="21" t="str">
        <f ca="1"/>
        <v>2022-01-27</v>
      </c>
      <c r="C2289" s="22">
        <f ca="1"/>
        <v>302.66000400000001</v>
      </c>
      <c r="D2289" s="22">
        <f ca="1"/>
        <v>307.29998799999998</v>
      </c>
      <c r="E2289" s="22">
        <f ca="1"/>
        <v>297.92999300000002</v>
      </c>
      <c r="F2289" s="22">
        <f ca="1"/>
        <v>299.83999599999999</v>
      </c>
      <c r="G2289" s="22">
        <f ca="1"/>
        <v>297.05651899999998</v>
      </c>
      <c r="H2289" s="69">
        <f ca="1"/>
        <v>53481300</v>
      </c>
      <c r="I2289" s="23" t="str">
        <f t="shared" ca="1" si="71"/>
        <v/>
      </c>
    </row>
    <row r="2290" spans="1:9" ht="13.8">
      <c r="A2290" s="20">
        <f t="shared" ca="1" si="70"/>
        <v>44589</v>
      </c>
      <c r="B2290" s="21" t="str">
        <f ca="1"/>
        <v>2022-01-28</v>
      </c>
      <c r="C2290" s="22">
        <f ca="1"/>
        <v>300.23001099999999</v>
      </c>
      <c r="D2290" s="22">
        <f ca="1"/>
        <v>308.48001099999999</v>
      </c>
      <c r="E2290" s="22">
        <f ca="1"/>
        <v>294.45001200000002</v>
      </c>
      <c r="F2290" s="22">
        <f ca="1"/>
        <v>308.26001000000002</v>
      </c>
      <c r="G2290" s="22">
        <f ca="1"/>
        <v>305.39837599999998</v>
      </c>
      <c r="H2290" s="69">
        <f ca="1"/>
        <v>49743700</v>
      </c>
      <c r="I2290" s="23" t="str">
        <f t="shared" ca="1" si="71"/>
        <v/>
      </c>
    </row>
    <row r="2291" spans="1:9" ht="13.8">
      <c r="A2291" s="20">
        <f t="shared" ca="1" si="70"/>
        <v>44592</v>
      </c>
      <c r="B2291" s="21" t="str">
        <f ca="1"/>
        <v>2022-01-31</v>
      </c>
      <c r="C2291" s="22">
        <f ca="1"/>
        <v>308.95001200000002</v>
      </c>
      <c r="D2291" s="22">
        <f ca="1"/>
        <v>312.38000499999998</v>
      </c>
      <c r="E2291" s="22">
        <f ca="1"/>
        <v>306.36999500000002</v>
      </c>
      <c r="F2291" s="22">
        <f ca="1"/>
        <v>310.98001099999999</v>
      </c>
      <c r="G2291" s="22">
        <f ca="1"/>
        <v>308.09310900000003</v>
      </c>
      <c r="H2291" s="69">
        <f ca="1"/>
        <v>46444500</v>
      </c>
      <c r="I2291" s="23" t="str">
        <f t="shared" ca="1" si="71"/>
        <v/>
      </c>
    </row>
    <row r="2292" spans="1:9" ht="13.8">
      <c r="A2292" s="20">
        <f t="shared" ca="1" si="70"/>
        <v>44593</v>
      </c>
      <c r="B2292" s="21" t="str">
        <f ca="1"/>
        <v>2022-02-01</v>
      </c>
      <c r="C2292" s="22">
        <f ca="1"/>
        <v>310.41000400000001</v>
      </c>
      <c r="D2292" s="22">
        <f ca="1"/>
        <v>310.63000499999998</v>
      </c>
      <c r="E2292" s="22">
        <f ca="1"/>
        <v>305.13000499999998</v>
      </c>
      <c r="F2292" s="22">
        <f ca="1"/>
        <v>308.76001000000002</v>
      </c>
      <c r="G2292" s="22">
        <f ca="1"/>
        <v>305.89373799999998</v>
      </c>
      <c r="H2292" s="69">
        <f ca="1"/>
        <v>40950400</v>
      </c>
      <c r="I2292" s="23" t="str">
        <f t="shared" ca="1" si="71"/>
        <v/>
      </c>
    </row>
    <row r="2293" spans="1:9" ht="13.8">
      <c r="A2293" s="20">
        <f t="shared" ca="1" si="70"/>
        <v>44594</v>
      </c>
      <c r="B2293" s="21" t="str">
        <f ca="1"/>
        <v>2022-02-02</v>
      </c>
      <c r="C2293" s="22">
        <f ca="1"/>
        <v>309.63000499999998</v>
      </c>
      <c r="D2293" s="22">
        <f ca="1"/>
        <v>315.11999500000002</v>
      </c>
      <c r="E2293" s="22">
        <f ca="1"/>
        <v>308.88000499999998</v>
      </c>
      <c r="F2293" s="22">
        <f ca="1"/>
        <v>313.459991</v>
      </c>
      <c r="G2293" s="22">
        <f ca="1"/>
        <v>310.550049</v>
      </c>
      <c r="H2293" s="69">
        <f ca="1"/>
        <v>36636000</v>
      </c>
      <c r="I2293" s="23" t="str">
        <f t="shared" ca="1" si="71"/>
        <v/>
      </c>
    </row>
    <row r="2294" spans="1:9" ht="13.8">
      <c r="A2294" s="20">
        <f t="shared" ca="1" si="70"/>
        <v>44595</v>
      </c>
      <c r="B2294" s="21" t="str">
        <f ca="1"/>
        <v>2022-02-03</v>
      </c>
      <c r="C2294" s="22">
        <f ca="1"/>
        <v>309.48998999999998</v>
      </c>
      <c r="D2294" s="22">
        <f ca="1"/>
        <v>311.23001099999999</v>
      </c>
      <c r="E2294" s="22">
        <f ca="1"/>
        <v>299.959991</v>
      </c>
      <c r="F2294" s="22">
        <f ca="1"/>
        <v>301.25</v>
      </c>
      <c r="G2294" s="22">
        <f ca="1"/>
        <v>298.45343000000003</v>
      </c>
      <c r="H2294" s="69">
        <f ca="1"/>
        <v>43730000</v>
      </c>
      <c r="I2294" s="23" t="str">
        <f t="shared" ca="1" si="71"/>
        <v/>
      </c>
    </row>
    <row r="2295" spans="1:9" ht="13.8">
      <c r="A2295" s="20">
        <f t="shared" ca="1" si="70"/>
        <v>44596</v>
      </c>
      <c r="B2295" s="21" t="str">
        <f ca="1"/>
        <v>2022-02-04</v>
      </c>
      <c r="C2295" s="22">
        <f ca="1"/>
        <v>300.209991</v>
      </c>
      <c r="D2295" s="22">
        <f ca="1"/>
        <v>308.79998799999998</v>
      </c>
      <c r="E2295" s="22">
        <f ca="1"/>
        <v>299.97000100000002</v>
      </c>
      <c r="F2295" s="22">
        <f ca="1"/>
        <v>305.94000199999999</v>
      </c>
      <c r="G2295" s="22">
        <f ca="1"/>
        <v>303.09991500000001</v>
      </c>
      <c r="H2295" s="69">
        <f ca="1"/>
        <v>35096500</v>
      </c>
      <c r="I2295" s="23" t="str">
        <f t="shared" ca="1" si="71"/>
        <v/>
      </c>
    </row>
    <row r="2296" spans="1:9" ht="13.8">
      <c r="A2296" s="20">
        <f t="shared" ca="1" si="70"/>
        <v>44599</v>
      </c>
      <c r="B2296" s="21" t="str">
        <f ca="1"/>
        <v>2022-02-07</v>
      </c>
      <c r="C2296" s="22">
        <f ca="1"/>
        <v>306.17001299999998</v>
      </c>
      <c r="D2296" s="22">
        <f ca="1"/>
        <v>307.83999599999999</v>
      </c>
      <c r="E2296" s="22">
        <f ca="1"/>
        <v>299.89999399999999</v>
      </c>
      <c r="F2296" s="22">
        <f ca="1"/>
        <v>300.95001200000002</v>
      </c>
      <c r="G2296" s="22">
        <f ca="1"/>
        <v>298.15625</v>
      </c>
      <c r="H2296" s="69">
        <f ca="1"/>
        <v>28533300</v>
      </c>
      <c r="I2296" s="23" t="str">
        <f t="shared" ca="1" si="71"/>
        <v/>
      </c>
    </row>
    <row r="2297" spans="1:9" ht="13.8">
      <c r="A2297" s="20">
        <f t="shared" ca="1" si="70"/>
        <v>44600</v>
      </c>
      <c r="B2297" s="21" t="str">
        <f ca="1"/>
        <v>2022-02-08</v>
      </c>
      <c r="C2297" s="22">
        <f ca="1"/>
        <v>301.25</v>
      </c>
      <c r="D2297" s="22">
        <f ca="1"/>
        <v>305.55999800000001</v>
      </c>
      <c r="E2297" s="22">
        <f ca="1"/>
        <v>299.95001200000002</v>
      </c>
      <c r="F2297" s="22">
        <f ca="1"/>
        <v>304.55999800000001</v>
      </c>
      <c r="G2297" s="22">
        <f ca="1"/>
        <v>301.73269699999997</v>
      </c>
      <c r="H2297" s="69">
        <f ca="1"/>
        <v>32421200</v>
      </c>
      <c r="I2297" s="23" t="str">
        <f t="shared" ca="1" si="71"/>
        <v/>
      </c>
    </row>
    <row r="2298" spans="1:9" ht="13.8">
      <c r="A2298" s="20">
        <f t="shared" ca="1" si="70"/>
        <v>44601</v>
      </c>
      <c r="B2298" s="21" t="str">
        <f ca="1"/>
        <v>2022-02-09</v>
      </c>
      <c r="C2298" s="22">
        <f ca="1"/>
        <v>309.86999500000002</v>
      </c>
      <c r="D2298" s="22">
        <f ca="1"/>
        <v>311.92999300000002</v>
      </c>
      <c r="E2298" s="22">
        <f ca="1"/>
        <v>307.39001500000001</v>
      </c>
      <c r="F2298" s="22">
        <f ca="1"/>
        <v>311.209991</v>
      </c>
      <c r="G2298" s="22">
        <f ca="1"/>
        <v>308.32098400000001</v>
      </c>
      <c r="H2298" s="69">
        <f ca="1"/>
        <v>31284700</v>
      </c>
      <c r="I2298" s="23" t="str">
        <f t="shared" ca="1" si="71"/>
        <v/>
      </c>
    </row>
    <row r="2299" spans="1:9" ht="13.8">
      <c r="A2299" s="20">
        <f t="shared" ca="1" si="70"/>
        <v>44602</v>
      </c>
      <c r="B2299" s="21" t="str">
        <f ca="1"/>
        <v>2022-02-10</v>
      </c>
      <c r="C2299" s="22">
        <f ca="1"/>
        <v>304.040009</v>
      </c>
      <c r="D2299" s="22">
        <f ca="1"/>
        <v>309.11999500000002</v>
      </c>
      <c r="E2299" s="22">
        <f ca="1"/>
        <v>300.70001200000002</v>
      </c>
      <c r="F2299" s="22">
        <f ca="1"/>
        <v>302.38000499999998</v>
      </c>
      <c r="G2299" s="22">
        <f ca="1"/>
        <v>299.572968</v>
      </c>
      <c r="H2299" s="69">
        <f ca="1"/>
        <v>45386200</v>
      </c>
      <c r="I2299" s="23" t="str">
        <f t="shared" ca="1" si="71"/>
        <v/>
      </c>
    </row>
    <row r="2300" spans="1:9" ht="13.8">
      <c r="A2300" s="20">
        <f t="shared" ca="1" si="70"/>
        <v>44603</v>
      </c>
      <c r="B2300" s="21" t="str">
        <f ca="1"/>
        <v>2022-02-11</v>
      </c>
      <c r="C2300" s="22">
        <f ca="1"/>
        <v>303.19000199999999</v>
      </c>
      <c r="D2300" s="22">
        <f ca="1"/>
        <v>304.290009</v>
      </c>
      <c r="E2300" s="22">
        <f ca="1"/>
        <v>294.22000100000002</v>
      </c>
      <c r="F2300" s="22">
        <f ca="1"/>
        <v>295.040009</v>
      </c>
      <c r="G2300" s="22">
        <f ca="1"/>
        <v>292.301086</v>
      </c>
      <c r="H2300" s="69">
        <f ca="1"/>
        <v>39175600</v>
      </c>
      <c r="I2300" s="23" t="str">
        <f t="shared" ca="1" si="71"/>
        <v/>
      </c>
    </row>
    <row r="2301" spans="1:9" ht="13.8">
      <c r="A2301" s="20">
        <f t="shared" ca="1" si="70"/>
        <v>44606</v>
      </c>
      <c r="B2301" s="21" t="str">
        <f ca="1"/>
        <v>2022-02-14</v>
      </c>
      <c r="C2301" s="22">
        <f ca="1"/>
        <v>293.76998900000001</v>
      </c>
      <c r="D2301" s="22">
        <f ca="1"/>
        <v>296.76001000000002</v>
      </c>
      <c r="E2301" s="22">
        <f ca="1"/>
        <v>291.35000600000001</v>
      </c>
      <c r="F2301" s="22">
        <f ca="1"/>
        <v>295</v>
      </c>
      <c r="G2301" s="22">
        <f ca="1"/>
        <v>292.26147500000002</v>
      </c>
      <c r="H2301" s="69">
        <f ca="1"/>
        <v>36359500</v>
      </c>
      <c r="I2301" s="23" t="str">
        <f t="shared" ca="1" si="71"/>
        <v/>
      </c>
    </row>
    <row r="2302" spans="1:9" ht="13.8">
      <c r="A2302" s="20">
        <f t="shared" ca="1" si="70"/>
        <v>44607</v>
      </c>
      <c r="B2302" s="21" t="str">
        <f ca="1"/>
        <v>2022-02-15</v>
      </c>
      <c r="C2302" s="22">
        <f ca="1"/>
        <v>300.01001000000002</v>
      </c>
      <c r="D2302" s="22">
        <f ca="1"/>
        <v>300.79998799999998</v>
      </c>
      <c r="E2302" s="22">
        <f ca="1"/>
        <v>297.01998900000001</v>
      </c>
      <c r="F2302" s="22">
        <f ca="1"/>
        <v>300.47000100000002</v>
      </c>
      <c r="G2302" s="22">
        <f ca="1"/>
        <v>297.68069500000001</v>
      </c>
      <c r="H2302" s="69">
        <f ca="1"/>
        <v>27058300</v>
      </c>
      <c r="I2302" s="23" t="str">
        <f t="shared" ca="1" si="71"/>
        <v/>
      </c>
    </row>
    <row r="2303" spans="1:9" ht="13.8">
      <c r="A2303" s="20">
        <f t="shared" ca="1" si="70"/>
        <v>44608</v>
      </c>
      <c r="B2303" s="21" t="str">
        <f ca="1"/>
        <v>2022-02-16</v>
      </c>
      <c r="C2303" s="22">
        <f ca="1"/>
        <v>298.36999500000002</v>
      </c>
      <c r="D2303" s="22">
        <f ca="1"/>
        <v>300.86999500000002</v>
      </c>
      <c r="E2303" s="22">
        <f ca="1"/>
        <v>293.67999300000002</v>
      </c>
      <c r="F2303" s="22">
        <f ca="1"/>
        <v>299.5</v>
      </c>
      <c r="G2303" s="22">
        <f ca="1"/>
        <v>297.33322099999998</v>
      </c>
      <c r="H2303" s="69">
        <f ca="1"/>
        <v>29982100</v>
      </c>
      <c r="I2303" s="23">
        <f t="shared" ca="1" si="71"/>
        <v>0.62</v>
      </c>
    </row>
    <row r="2304" spans="1:9" ht="13.8">
      <c r="A2304" s="20">
        <f t="shared" ca="1" si="70"/>
        <v>44609</v>
      </c>
      <c r="B2304" s="21" t="str">
        <f ca="1"/>
        <v>2022-02-17</v>
      </c>
      <c r="C2304" s="22">
        <f ca="1"/>
        <v>296.35998499999999</v>
      </c>
      <c r="D2304" s="22">
        <f ca="1"/>
        <v>296.79998799999998</v>
      </c>
      <c r="E2304" s="22">
        <f ca="1"/>
        <v>290</v>
      </c>
      <c r="F2304" s="22">
        <f ca="1"/>
        <v>290.73001099999999</v>
      </c>
      <c r="G2304" s="22">
        <f ca="1"/>
        <v>288.62667800000003</v>
      </c>
      <c r="H2304" s="69">
        <f ca="1"/>
        <v>32461600</v>
      </c>
      <c r="I2304" s="23" t="str">
        <f t="shared" ca="1" si="71"/>
        <v/>
      </c>
    </row>
    <row r="2305" spans="1:9" ht="13.8">
      <c r="A2305" s="20">
        <f t="shared" ca="1" si="70"/>
        <v>44610</v>
      </c>
      <c r="B2305" s="21" t="str">
        <f ca="1"/>
        <v>2022-02-18</v>
      </c>
      <c r="C2305" s="22">
        <f ca="1"/>
        <v>293.04998799999998</v>
      </c>
      <c r="D2305" s="22">
        <f ca="1"/>
        <v>293.85998499999999</v>
      </c>
      <c r="E2305" s="22">
        <f ca="1"/>
        <v>286.30999800000001</v>
      </c>
      <c r="F2305" s="22">
        <f ca="1"/>
        <v>287.92999300000002</v>
      </c>
      <c r="G2305" s="22">
        <f ca="1"/>
        <v>285.84689300000002</v>
      </c>
      <c r="H2305" s="69">
        <f ca="1"/>
        <v>34264000</v>
      </c>
      <c r="I2305" s="23" t="str">
        <f t="shared" ca="1" si="71"/>
        <v/>
      </c>
    </row>
    <row r="2306" spans="1:9" ht="13.8">
      <c r="A2306" s="20">
        <f t="shared" ca="1" si="70"/>
        <v>44614</v>
      </c>
      <c r="B2306" s="21" t="str">
        <f ca="1"/>
        <v>2022-02-22</v>
      </c>
      <c r="C2306" s="22">
        <f ca="1"/>
        <v>285</v>
      </c>
      <c r="D2306" s="22">
        <f ca="1"/>
        <v>291.540009</v>
      </c>
      <c r="E2306" s="22">
        <f ca="1"/>
        <v>284.5</v>
      </c>
      <c r="F2306" s="22">
        <f ca="1"/>
        <v>287.72000100000002</v>
      </c>
      <c r="G2306" s="22">
        <f ca="1"/>
        <v>285.63845800000001</v>
      </c>
      <c r="H2306" s="69">
        <f ca="1"/>
        <v>41736100</v>
      </c>
      <c r="I2306" s="23" t="str">
        <f t="shared" ca="1" si="71"/>
        <v/>
      </c>
    </row>
    <row r="2307" spans="1:9" ht="13.8">
      <c r="A2307" s="20">
        <f t="shared" ca="1" si="70"/>
        <v>44615</v>
      </c>
      <c r="B2307" s="21" t="str">
        <f ca="1"/>
        <v>2022-02-23</v>
      </c>
      <c r="C2307" s="22">
        <f ca="1"/>
        <v>290.17999300000002</v>
      </c>
      <c r="D2307" s="22">
        <f ca="1"/>
        <v>291.70001200000002</v>
      </c>
      <c r="E2307" s="22">
        <f ca="1"/>
        <v>280.10000600000001</v>
      </c>
      <c r="F2307" s="22">
        <f ca="1"/>
        <v>280.26998900000001</v>
      </c>
      <c r="G2307" s="22">
        <f ca="1"/>
        <v>278.24237099999999</v>
      </c>
      <c r="H2307" s="69">
        <f ca="1"/>
        <v>37811200</v>
      </c>
      <c r="I2307" s="23" t="str">
        <f t="shared" ca="1" si="71"/>
        <v/>
      </c>
    </row>
    <row r="2308" spans="1:9" ht="13.8">
      <c r="A2308" s="20">
        <f t="shared" ca="1" si="70"/>
        <v>44616</v>
      </c>
      <c r="B2308" s="21" t="str">
        <f ca="1"/>
        <v>2022-02-24</v>
      </c>
      <c r="C2308" s="22">
        <f ca="1"/>
        <v>272.51001000000002</v>
      </c>
      <c r="D2308" s="22">
        <f ca="1"/>
        <v>295.16000400000001</v>
      </c>
      <c r="E2308" s="22">
        <f ca="1"/>
        <v>271.51998900000001</v>
      </c>
      <c r="F2308" s="22">
        <f ca="1"/>
        <v>294.58999599999999</v>
      </c>
      <c r="G2308" s="22">
        <f ca="1"/>
        <v>292.45873999999998</v>
      </c>
      <c r="H2308" s="69">
        <f ca="1"/>
        <v>56989700</v>
      </c>
      <c r="I2308" s="23" t="str">
        <f t="shared" ca="1" si="71"/>
        <v/>
      </c>
    </row>
    <row r="2309" spans="1:9" ht="13.8">
      <c r="A2309" s="20">
        <f t="shared" ca="1" si="70"/>
        <v>44617</v>
      </c>
      <c r="B2309" s="21" t="str">
        <f ca="1"/>
        <v>2022-02-25</v>
      </c>
      <c r="C2309" s="22">
        <f ca="1"/>
        <v>295.14001500000001</v>
      </c>
      <c r="D2309" s="22">
        <f ca="1"/>
        <v>297.63000499999998</v>
      </c>
      <c r="E2309" s="22">
        <f ca="1"/>
        <v>291.64999399999999</v>
      </c>
      <c r="F2309" s="22">
        <f ca="1"/>
        <v>297.30999800000001</v>
      </c>
      <c r="G2309" s="22">
        <f ca="1"/>
        <v>295.15905800000002</v>
      </c>
      <c r="H2309" s="69">
        <f ca="1"/>
        <v>32546700</v>
      </c>
      <c r="I2309" s="23" t="str">
        <f t="shared" ca="1" si="71"/>
        <v/>
      </c>
    </row>
    <row r="2310" spans="1:9" ht="13.8">
      <c r="A2310" s="20">
        <f t="shared" ref="A2310:A2373" ca="1" si="72">IFERROR(DATEVALUE($B2310),"--")</f>
        <v>44620</v>
      </c>
      <c r="B2310" s="21" t="str">
        <f ca="1"/>
        <v>2022-02-28</v>
      </c>
      <c r="C2310" s="22">
        <f ca="1"/>
        <v>294.30999800000001</v>
      </c>
      <c r="D2310" s="22">
        <f ca="1"/>
        <v>299.14001500000001</v>
      </c>
      <c r="E2310" s="22">
        <f ca="1"/>
        <v>293</v>
      </c>
      <c r="F2310" s="22">
        <f ca="1"/>
        <v>298.790009</v>
      </c>
      <c r="G2310" s="22">
        <f ca="1"/>
        <v>296.62835699999999</v>
      </c>
      <c r="H2310" s="69">
        <f ca="1"/>
        <v>34627500</v>
      </c>
      <c r="I2310" s="23" t="str">
        <f t="shared" ref="I2310:I2373" ca="1" si="73">IFERROR(IF(Ticker&lt;&gt;$Q$2,"",INDEX($P:$P,MATCH($A2310,$O:$O,0))),"")</f>
        <v/>
      </c>
    </row>
    <row r="2311" spans="1:9" ht="13.8">
      <c r="A2311" s="20">
        <f t="shared" ca="1" si="72"/>
        <v>44621</v>
      </c>
      <c r="B2311" s="21" t="str">
        <f ca="1"/>
        <v>2022-03-01</v>
      </c>
      <c r="C2311" s="22">
        <f ca="1"/>
        <v>296.39999399999999</v>
      </c>
      <c r="D2311" s="22">
        <f ca="1"/>
        <v>299.97000100000002</v>
      </c>
      <c r="E2311" s="22">
        <f ca="1"/>
        <v>292.14999399999999</v>
      </c>
      <c r="F2311" s="22">
        <f ca="1"/>
        <v>294.95001200000002</v>
      </c>
      <c r="G2311" s="22">
        <f ca="1"/>
        <v>292.81616200000002</v>
      </c>
      <c r="H2311" s="69">
        <f ca="1"/>
        <v>31217800</v>
      </c>
      <c r="I2311" s="23" t="str">
        <f t="shared" ca="1" si="73"/>
        <v/>
      </c>
    </row>
    <row r="2312" spans="1:9" ht="13.8">
      <c r="A2312" s="20">
        <f t="shared" ca="1" si="72"/>
        <v>44622</v>
      </c>
      <c r="B2312" s="21" t="str">
        <f ca="1"/>
        <v>2022-03-02</v>
      </c>
      <c r="C2312" s="22">
        <f ca="1"/>
        <v>295.35998499999999</v>
      </c>
      <c r="D2312" s="22">
        <f ca="1"/>
        <v>301.47000100000002</v>
      </c>
      <c r="E2312" s="22">
        <f ca="1"/>
        <v>293.70001200000002</v>
      </c>
      <c r="F2312" s="22">
        <f ca="1"/>
        <v>300.19000199999999</v>
      </c>
      <c r="G2312" s="22">
        <f ca="1"/>
        <v>298.01821899999999</v>
      </c>
      <c r="H2312" s="69">
        <f ca="1"/>
        <v>31873000</v>
      </c>
      <c r="I2312" s="23" t="str">
        <f t="shared" ca="1" si="73"/>
        <v/>
      </c>
    </row>
    <row r="2313" spans="1:9" ht="13.8">
      <c r="A2313" s="20">
        <f t="shared" ca="1" si="72"/>
        <v>44623</v>
      </c>
      <c r="B2313" s="21" t="str">
        <f ca="1"/>
        <v>2022-03-03</v>
      </c>
      <c r="C2313" s="22">
        <f ca="1"/>
        <v>302.89001500000001</v>
      </c>
      <c r="D2313" s="22">
        <f ca="1"/>
        <v>303.13000499999998</v>
      </c>
      <c r="E2313" s="22">
        <f ca="1"/>
        <v>294.04998799999998</v>
      </c>
      <c r="F2313" s="22">
        <f ca="1"/>
        <v>295.92001299999998</v>
      </c>
      <c r="G2313" s="22">
        <f ca="1"/>
        <v>293.77914399999997</v>
      </c>
      <c r="H2313" s="69">
        <f ca="1"/>
        <v>27314500</v>
      </c>
      <c r="I2313" s="23" t="str">
        <f t="shared" ca="1" si="73"/>
        <v/>
      </c>
    </row>
    <row r="2314" spans="1:9" ht="13.8">
      <c r="A2314" s="20">
        <f t="shared" ca="1" si="72"/>
        <v>44624</v>
      </c>
      <c r="B2314" s="21" t="str">
        <f ca="1"/>
        <v>2022-03-04</v>
      </c>
      <c r="C2314" s="22">
        <f ca="1"/>
        <v>294.290009</v>
      </c>
      <c r="D2314" s="22">
        <f ca="1"/>
        <v>295.66000400000001</v>
      </c>
      <c r="E2314" s="22">
        <f ca="1"/>
        <v>287.17001299999998</v>
      </c>
      <c r="F2314" s="22">
        <f ca="1"/>
        <v>289.85998499999999</v>
      </c>
      <c r="G2314" s="22">
        <f ca="1"/>
        <v>287.76293900000002</v>
      </c>
      <c r="H2314" s="69">
        <f ca="1"/>
        <v>32356500</v>
      </c>
      <c r="I2314" s="23" t="str">
        <f t="shared" ca="1" si="73"/>
        <v/>
      </c>
    </row>
    <row r="2315" spans="1:9" ht="13.8">
      <c r="A2315" s="20">
        <f t="shared" ca="1" si="72"/>
        <v>44627</v>
      </c>
      <c r="B2315" s="21" t="str">
        <f ca="1"/>
        <v>2022-03-07</v>
      </c>
      <c r="C2315" s="22">
        <f ca="1"/>
        <v>288.52999899999998</v>
      </c>
      <c r="D2315" s="22">
        <f ca="1"/>
        <v>289.69000199999999</v>
      </c>
      <c r="E2315" s="22">
        <f ca="1"/>
        <v>278.52999899999998</v>
      </c>
      <c r="F2315" s="22">
        <f ca="1"/>
        <v>278.91000400000001</v>
      </c>
      <c r="G2315" s="22">
        <f ca="1"/>
        <v>276.89218099999999</v>
      </c>
      <c r="H2315" s="69">
        <f ca="1"/>
        <v>43157200</v>
      </c>
      <c r="I2315" s="23" t="str">
        <f t="shared" ca="1" si="73"/>
        <v/>
      </c>
    </row>
    <row r="2316" spans="1:9" ht="13.8">
      <c r="A2316" s="20">
        <f t="shared" ca="1" si="72"/>
        <v>44628</v>
      </c>
      <c r="B2316" s="21" t="str">
        <f ca="1"/>
        <v>2022-03-08</v>
      </c>
      <c r="C2316" s="22">
        <f ca="1"/>
        <v>277.79998799999998</v>
      </c>
      <c r="D2316" s="22">
        <f ca="1"/>
        <v>283.959991</v>
      </c>
      <c r="E2316" s="22">
        <f ca="1"/>
        <v>270</v>
      </c>
      <c r="F2316" s="22">
        <f ca="1"/>
        <v>275.85000600000001</v>
      </c>
      <c r="G2316" s="22">
        <f ca="1"/>
        <v>273.85433999999998</v>
      </c>
      <c r="H2316" s="69">
        <f ca="1"/>
        <v>48159500</v>
      </c>
      <c r="I2316" s="23" t="str">
        <f t="shared" ca="1" si="73"/>
        <v/>
      </c>
    </row>
    <row r="2317" spans="1:9" ht="13.8">
      <c r="A2317" s="20">
        <f t="shared" ca="1" si="72"/>
        <v>44629</v>
      </c>
      <c r="B2317" s="21" t="str">
        <f ca="1"/>
        <v>2022-03-09</v>
      </c>
      <c r="C2317" s="22">
        <f ca="1"/>
        <v>283.44000199999999</v>
      </c>
      <c r="D2317" s="22">
        <f ca="1"/>
        <v>289.60000600000001</v>
      </c>
      <c r="E2317" s="22">
        <f ca="1"/>
        <v>280.77999899999998</v>
      </c>
      <c r="F2317" s="22">
        <f ca="1"/>
        <v>288.5</v>
      </c>
      <c r="G2317" s="22">
        <f ca="1"/>
        <v>286.41281099999998</v>
      </c>
      <c r="H2317" s="69">
        <f ca="1"/>
        <v>35204500</v>
      </c>
      <c r="I2317" s="23" t="str">
        <f t="shared" ca="1" si="73"/>
        <v/>
      </c>
    </row>
    <row r="2318" spans="1:9" ht="13.8">
      <c r="A2318" s="20">
        <f t="shared" ca="1" si="72"/>
        <v>44630</v>
      </c>
      <c r="B2318" s="21" t="str">
        <f ca="1"/>
        <v>2022-03-10</v>
      </c>
      <c r="C2318" s="22">
        <f ca="1"/>
        <v>283.01998900000001</v>
      </c>
      <c r="D2318" s="22">
        <f ca="1"/>
        <v>286.60000600000001</v>
      </c>
      <c r="E2318" s="22">
        <f ca="1"/>
        <v>280.57998700000002</v>
      </c>
      <c r="F2318" s="22">
        <f ca="1"/>
        <v>285.58999599999999</v>
      </c>
      <c r="G2318" s="22">
        <f ca="1"/>
        <v>283.52383400000002</v>
      </c>
      <c r="H2318" s="69">
        <f ca="1"/>
        <v>30628000</v>
      </c>
      <c r="I2318" s="23" t="str">
        <f t="shared" ca="1" si="73"/>
        <v/>
      </c>
    </row>
    <row r="2319" spans="1:9" ht="13.8">
      <c r="A2319" s="20">
        <f t="shared" ca="1" si="72"/>
        <v>44631</v>
      </c>
      <c r="B2319" s="21" t="str">
        <f ca="1"/>
        <v>2022-03-11</v>
      </c>
      <c r="C2319" s="22">
        <f ca="1"/>
        <v>287.959991</v>
      </c>
      <c r="D2319" s="22">
        <f ca="1"/>
        <v>289.51001000000002</v>
      </c>
      <c r="E2319" s="22">
        <f ca="1"/>
        <v>279.42999300000002</v>
      </c>
      <c r="F2319" s="22">
        <f ca="1"/>
        <v>280.07000699999998</v>
      </c>
      <c r="G2319" s="22">
        <f ca="1"/>
        <v>278.04382299999997</v>
      </c>
      <c r="H2319" s="69">
        <f ca="1"/>
        <v>27209300</v>
      </c>
      <c r="I2319" s="23" t="str">
        <f t="shared" ca="1" si="73"/>
        <v/>
      </c>
    </row>
    <row r="2320" spans="1:9" ht="13.8">
      <c r="A2320" s="20">
        <f t="shared" ca="1" si="72"/>
        <v>44634</v>
      </c>
      <c r="B2320" s="21" t="str">
        <f ca="1"/>
        <v>2022-03-14</v>
      </c>
      <c r="C2320" s="22">
        <f ca="1"/>
        <v>280.33999599999999</v>
      </c>
      <c r="D2320" s="22">
        <f ca="1"/>
        <v>285.39999399999999</v>
      </c>
      <c r="E2320" s="22">
        <f ca="1"/>
        <v>275.82000699999998</v>
      </c>
      <c r="F2320" s="22">
        <f ca="1"/>
        <v>276.44000199999999</v>
      </c>
      <c r="G2320" s="22">
        <f ca="1"/>
        <v>274.44006300000001</v>
      </c>
      <c r="H2320" s="69">
        <f ca="1"/>
        <v>30660700</v>
      </c>
      <c r="I2320" s="23" t="str">
        <f t="shared" ca="1" si="73"/>
        <v/>
      </c>
    </row>
    <row r="2321" spans="1:9" ht="13.8">
      <c r="A2321" s="20">
        <f t="shared" ca="1" si="72"/>
        <v>44635</v>
      </c>
      <c r="B2321" s="21" t="str">
        <f ca="1"/>
        <v>2022-03-15</v>
      </c>
      <c r="C2321" s="22">
        <f ca="1"/>
        <v>280.35000600000001</v>
      </c>
      <c r="D2321" s="22">
        <f ca="1"/>
        <v>287.82000699999998</v>
      </c>
      <c r="E2321" s="22">
        <f ca="1"/>
        <v>278.73001099999999</v>
      </c>
      <c r="F2321" s="22">
        <f ca="1"/>
        <v>287.14999399999999</v>
      </c>
      <c r="G2321" s="22">
        <f ca="1"/>
        <v>285.07257099999998</v>
      </c>
      <c r="H2321" s="69">
        <f ca="1"/>
        <v>34245100</v>
      </c>
      <c r="I2321" s="23" t="str">
        <f t="shared" ca="1" si="73"/>
        <v/>
      </c>
    </row>
    <row r="2322" spans="1:9" ht="13.8">
      <c r="A2322" s="20">
        <f t="shared" ca="1" si="72"/>
        <v>44636</v>
      </c>
      <c r="B2322" s="21" t="str">
        <f ca="1"/>
        <v>2022-03-16</v>
      </c>
      <c r="C2322" s="22">
        <f ca="1"/>
        <v>289.10998499999999</v>
      </c>
      <c r="D2322" s="22">
        <f ca="1"/>
        <v>294.57000699999998</v>
      </c>
      <c r="E2322" s="22">
        <f ca="1"/>
        <v>283.20001200000002</v>
      </c>
      <c r="F2322" s="22">
        <f ca="1"/>
        <v>294.39001500000001</v>
      </c>
      <c r="G2322" s="22">
        <f ca="1"/>
        <v>292.26019300000002</v>
      </c>
      <c r="H2322" s="69">
        <f ca="1"/>
        <v>37826300</v>
      </c>
      <c r="I2322" s="23" t="str">
        <f t="shared" ca="1" si="73"/>
        <v/>
      </c>
    </row>
    <row r="2323" spans="1:9" ht="13.8">
      <c r="A2323" s="20">
        <f t="shared" ca="1" si="72"/>
        <v>44637</v>
      </c>
      <c r="B2323" s="21" t="str">
        <f ca="1"/>
        <v>2022-03-17</v>
      </c>
      <c r="C2323" s="22">
        <f ca="1"/>
        <v>293.290009</v>
      </c>
      <c r="D2323" s="22">
        <f ca="1"/>
        <v>295.60998499999999</v>
      </c>
      <c r="E2323" s="22">
        <f ca="1"/>
        <v>289.36999500000002</v>
      </c>
      <c r="F2323" s="22">
        <f ca="1"/>
        <v>295.22000100000002</v>
      </c>
      <c r="G2323" s="22">
        <f ca="1"/>
        <v>293.08416699999998</v>
      </c>
      <c r="H2323" s="69">
        <f ca="1"/>
        <v>30816600</v>
      </c>
      <c r="I2323" s="23" t="str">
        <f t="shared" ca="1" si="73"/>
        <v/>
      </c>
    </row>
    <row r="2324" spans="1:9" ht="13.8">
      <c r="A2324" s="20">
        <f t="shared" ca="1" si="72"/>
        <v>44638</v>
      </c>
      <c r="B2324" s="21" t="str">
        <f ca="1"/>
        <v>2022-03-18</v>
      </c>
      <c r="C2324" s="22">
        <f ca="1"/>
        <v>295.36999500000002</v>
      </c>
      <c r="D2324" s="22">
        <f ca="1"/>
        <v>301</v>
      </c>
      <c r="E2324" s="22">
        <f ca="1"/>
        <v>292.73001099999999</v>
      </c>
      <c r="F2324" s="22">
        <f ca="1"/>
        <v>300.42999300000002</v>
      </c>
      <c r="G2324" s="22">
        <f ca="1"/>
        <v>298.25646999999998</v>
      </c>
      <c r="H2324" s="69">
        <f ca="1"/>
        <v>43390600</v>
      </c>
      <c r="I2324" s="23" t="str">
        <f t="shared" ca="1" si="73"/>
        <v/>
      </c>
    </row>
    <row r="2325" spans="1:9" ht="13.8">
      <c r="A2325" s="20">
        <f t="shared" ca="1" si="72"/>
        <v>44641</v>
      </c>
      <c r="B2325" s="21" t="str">
        <f ca="1"/>
        <v>2022-03-21</v>
      </c>
      <c r="C2325" s="22">
        <f ca="1"/>
        <v>298.89001500000001</v>
      </c>
      <c r="D2325" s="22">
        <f ca="1"/>
        <v>300.14001500000001</v>
      </c>
      <c r="E2325" s="22">
        <f ca="1"/>
        <v>294.89999399999999</v>
      </c>
      <c r="F2325" s="22">
        <f ca="1"/>
        <v>299.16000400000001</v>
      </c>
      <c r="G2325" s="22">
        <f ca="1"/>
        <v>296.99569700000001</v>
      </c>
      <c r="H2325" s="69">
        <f ca="1"/>
        <v>28351200</v>
      </c>
      <c r="I2325" s="23" t="str">
        <f t="shared" ca="1" si="73"/>
        <v/>
      </c>
    </row>
    <row r="2326" spans="1:9" ht="13.8">
      <c r="A2326" s="20">
        <f t="shared" ca="1" si="72"/>
        <v>44642</v>
      </c>
      <c r="B2326" s="21" t="str">
        <f ca="1"/>
        <v>2022-03-22</v>
      </c>
      <c r="C2326" s="22">
        <f ca="1"/>
        <v>299.79998799999998</v>
      </c>
      <c r="D2326" s="22">
        <f ca="1"/>
        <v>305</v>
      </c>
      <c r="E2326" s="22">
        <f ca="1"/>
        <v>298.76998900000001</v>
      </c>
      <c r="F2326" s="22">
        <f ca="1"/>
        <v>304.05999800000001</v>
      </c>
      <c r="G2326" s="22">
        <f ca="1"/>
        <v>301.860229</v>
      </c>
      <c r="H2326" s="69">
        <f ca="1"/>
        <v>27599700</v>
      </c>
      <c r="I2326" s="23" t="str">
        <f t="shared" ca="1" si="73"/>
        <v/>
      </c>
    </row>
    <row r="2327" spans="1:9" ht="13.8">
      <c r="A2327" s="20">
        <f t="shared" ca="1" si="72"/>
        <v>44643</v>
      </c>
      <c r="B2327" s="21" t="str">
        <f ca="1"/>
        <v>2022-03-23</v>
      </c>
      <c r="C2327" s="22">
        <f ca="1"/>
        <v>300.51001000000002</v>
      </c>
      <c r="D2327" s="22">
        <f ca="1"/>
        <v>303.23001099999999</v>
      </c>
      <c r="E2327" s="22">
        <f ca="1"/>
        <v>297.72000100000002</v>
      </c>
      <c r="F2327" s="22">
        <f ca="1"/>
        <v>299.48998999999998</v>
      </c>
      <c r="G2327" s="22">
        <f ca="1"/>
        <v>297.32330300000001</v>
      </c>
      <c r="H2327" s="69">
        <f ca="1"/>
        <v>25715400</v>
      </c>
      <c r="I2327" s="23" t="str">
        <f t="shared" ca="1" si="73"/>
        <v/>
      </c>
    </row>
    <row r="2328" spans="1:9" ht="13.8">
      <c r="A2328" s="20">
        <f t="shared" ca="1" si="72"/>
        <v>44644</v>
      </c>
      <c r="B2328" s="21" t="str">
        <f ca="1"/>
        <v>2022-03-24</v>
      </c>
      <c r="C2328" s="22">
        <f ca="1"/>
        <v>299.14001500000001</v>
      </c>
      <c r="D2328" s="22">
        <f ca="1"/>
        <v>304.20001200000002</v>
      </c>
      <c r="E2328" s="22">
        <f ca="1"/>
        <v>298.32000699999998</v>
      </c>
      <c r="F2328" s="22">
        <f ca="1"/>
        <v>304.10000600000001</v>
      </c>
      <c r="G2328" s="22">
        <f ca="1"/>
        <v>301.89996300000001</v>
      </c>
      <c r="H2328" s="69">
        <f ca="1"/>
        <v>24484500</v>
      </c>
      <c r="I2328" s="23" t="str">
        <f t="shared" ca="1" si="73"/>
        <v/>
      </c>
    </row>
    <row r="2329" spans="1:9" ht="13.8">
      <c r="A2329" s="20">
        <f t="shared" ca="1" si="72"/>
        <v>44645</v>
      </c>
      <c r="B2329" s="21" t="str">
        <f ca="1"/>
        <v>2022-03-25</v>
      </c>
      <c r="C2329" s="22">
        <f ca="1"/>
        <v>305.23001099999999</v>
      </c>
      <c r="D2329" s="22">
        <f ca="1"/>
        <v>305.5</v>
      </c>
      <c r="E2329" s="22">
        <f ca="1"/>
        <v>299.290009</v>
      </c>
      <c r="F2329" s="22">
        <f ca="1"/>
        <v>303.67999300000002</v>
      </c>
      <c r="G2329" s="22">
        <f ca="1"/>
        <v>301.48297100000002</v>
      </c>
      <c r="H2329" s="69">
        <f ca="1"/>
        <v>22566500</v>
      </c>
      <c r="I2329" s="23" t="str">
        <f t="shared" ca="1" si="73"/>
        <v/>
      </c>
    </row>
    <row r="2330" spans="1:9" ht="13.8">
      <c r="A2330" s="20">
        <f t="shared" ca="1" si="72"/>
        <v>44648</v>
      </c>
      <c r="B2330" s="21" t="str">
        <f ca="1"/>
        <v>2022-03-28</v>
      </c>
      <c r="C2330" s="22">
        <f ca="1"/>
        <v>304.32998700000002</v>
      </c>
      <c r="D2330" s="22">
        <f ca="1"/>
        <v>310.79998799999998</v>
      </c>
      <c r="E2330" s="22">
        <f ca="1"/>
        <v>304.32998700000002</v>
      </c>
      <c r="F2330" s="22">
        <f ca="1"/>
        <v>310.70001200000002</v>
      </c>
      <c r="G2330" s="22">
        <f ca="1"/>
        <v>308.45224000000002</v>
      </c>
      <c r="H2330" s="69">
        <f ca="1"/>
        <v>29578200</v>
      </c>
      <c r="I2330" s="23" t="str">
        <f t="shared" ca="1" si="73"/>
        <v/>
      </c>
    </row>
    <row r="2331" spans="1:9" ht="13.8">
      <c r="A2331" s="20">
        <f t="shared" ca="1" si="72"/>
        <v>44649</v>
      </c>
      <c r="B2331" s="21" t="str">
        <f ca="1"/>
        <v>2022-03-29</v>
      </c>
      <c r="C2331" s="22">
        <f ca="1"/>
        <v>313.91000400000001</v>
      </c>
      <c r="D2331" s="22">
        <f ca="1"/>
        <v>315.82000699999998</v>
      </c>
      <c r="E2331" s="22">
        <f ca="1"/>
        <v>309.04998799999998</v>
      </c>
      <c r="F2331" s="22">
        <f ca="1"/>
        <v>315.41000400000001</v>
      </c>
      <c r="G2331" s="22">
        <f ca="1"/>
        <v>313.12811299999998</v>
      </c>
      <c r="H2331" s="69">
        <f ca="1"/>
        <v>30393400</v>
      </c>
      <c r="I2331" s="23" t="str">
        <f t="shared" ca="1" si="73"/>
        <v/>
      </c>
    </row>
    <row r="2332" spans="1:9" ht="13.8">
      <c r="A2332" s="20">
        <f t="shared" ca="1" si="72"/>
        <v>44650</v>
      </c>
      <c r="B2332" s="21" t="str">
        <f ca="1"/>
        <v>2022-03-30</v>
      </c>
      <c r="C2332" s="22">
        <f ca="1"/>
        <v>313.76001000000002</v>
      </c>
      <c r="D2332" s="22">
        <f ca="1"/>
        <v>315.95001200000002</v>
      </c>
      <c r="E2332" s="22">
        <f ca="1"/>
        <v>311.57998700000002</v>
      </c>
      <c r="F2332" s="22">
        <f ca="1"/>
        <v>313.85998499999999</v>
      </c>
      <c r="G2332" s="22">
        <f ca="1"/>
        <v>311.58932499999997</v>
      </c>
      <c r="H2332" s="69">
        <f ca="1"/>
        <v>28163600</v>
      </c>
      <c r="I2332" s="23" t="str">
        <f t="shared" ca="1" si="73"/>
        <v/>
      </c>
    </row>
    <row r="2333" spans="1:9" ht="13.8">
      <c r="A2333" s="20">
        <f t="shared" ca="1" si="72"/>
        <v>44651</v>
      </c>
      <c r="B2333" s="21" t="str">
        <f ca="1"/>
        <v>2022-03-31</v>
      </c>
      <c r="C2333" s="22">
        <f ca="1"/>
        <v>313.89999399999999</v>
      </c>
      <c r="D2333" s="22">
        <f ca="1"/>
        <v>315.14001500000001</v>
      </c>
      <c r="E2333" s="22">
        <f ca="1"/>
        <v>307.89001500000001</v>
      </c>
      <c r="F2333" s="22">
        <f ca="1"/>
        <v>308.30999800000001</v>
      </c>
      <c r="G2333" s="22">
        <f ca="1"/>
        <v>306.07946800000002</v>
      </c>
      <c r="H2333" s="69">
        <f ca="1"/>
        <v>33422100</v>
      </c>
      <c r="I2333" s="23" t="str">
        <f t="shared" ca="1" si="73"/>
        <v/>
      </c>
    </row>
    <row r="2334" spans="1:9" ht="13.8">
      <c r="A2334" s="20">
        <f t="shared" ca="1" si="72"/>
        <v>44652</v>
      </c>
      <c r="B2334" s="21" t="str">
        <f ca="1"/>
        <v>2022-04-01</v>
      </c>
      <c r="C2334" s="22">
        <f ca="1"/>
        <v>309.36999500000002</v>
      </c>
      <c r="D2334" s="22">
        <f ca="1"/>
        <v>310.13000499999998</v>
      </c>
      <c r="E2334" s="22">
        <f ca="1"/>
        <v>305.540009</v>
      </c>
      <c r="F2334" s="22">
        <f ca="1"/>
        <v>309.42001299999998</v>
      </c>
      <c r="G2334" s="22">
        <f ca="1"/>
        <v>307.18145800000002</v>
      </c>
      <c r="H2334" s="69">
        <f ca="1"/>
        <v>27110500</v>
      </c>
      <c r="I2334" s="23" t="str">
        <f t="shared" ca="1" si="73"/>
        <v/>
      </c>
    </row>
    <row r="2335" spans="1:9" ht="13.8">
      <c r="A2335" s="20">
        <f t="shared" ca="1" si="72"/>
        <v>44655</v>
      </c>
      <c r="B2335" s="21" t="str">
        <f ca="1"/>
        <v>2022-04-04</v>
      </c>
      <c r="C2335" s="22">
        <f ca="1"/>
        <v>310.08999599999999</v>
      </c>
      <c r="D2335" s="22">
        <f ca="1"/>
        <v>315.10998499999999</v>
      </c>
      <c r="E2335" s="22">
        <f ca="1"/>
        <v>309.709991</v>
      </c>
      <c r="F2335" s="22">
        <f ca="1"/>
        <v>314.97000100000002</v>
      </c>
      <c r="G2335" s="22">
        <f ca="1"/>
        <v>312.691284</v>
      </c>
      <c r="H2335" s="69">
        <f ca="1"/>
        <v>24289600</v>
      </c>
      <c r="I2335" s="23" t="str">
        <f t="shared" ca="1" si="73"/>
        <v/>
      </c>
    </row>
    <row r="2336" spans="1:9" ht="13.8">
      <c r="A2336" s="20">
        <f t="shared" ca="1" si="72"/>
        <v>44656</v>
      </c>
      <c r="B2336" s="21" t="str">
        <f ca="1"/>
        <v>2022-04-05</v>
      </c>
      <c r="C2336" s="22">
        <f ca="1"/>
        <v>313.26998900000001</v>
      </c>
      <c r="D2336" s="22">
        <f ca="1"/>
        <v>314.86999500000002</v>
      </c>
      <c r="E2336" s="22">
        <f ca="1"/>
        <v>309.86999500000002</v>
      </c>
      <c r="F2336" s="22">
        <f ca="1"/>
        <v>310.88000499999998</v>
      </c>
      <c r="G2336" s="22">
        <f ca="1"/>
        <v>308.63089000000002</v>
      </c>
      <c r="H2336" s="69">
        <f ca="1"/>
        <v>23156700</v>
      </c>
      <c r="I2336" s="23" t="str">
        <f t="shared" ca="1" si="73"/>
        <v/>
      </c>
    </row>
    <row r="2337" spans="1:9" ht="13.8">
      <c r="A2337" s="20">
        <f t="shared" ca="1" si="72"/>
        <v>44657</v>
      </c>
      <c r="B2337" s="21" t="str">
        <f ca="1"/>
        <v>2022-04-06</v>
      </c>
      <c r="C2337" s="22">
        <f ca="1"/>
        <v>305.19000199999999</v>
      </c>
      <c r="D2337" s="22">
        <f ca="1"/>
        <v>307</v>
      </c>
      <c r="E2337" s="22">
        <f ca="1"/>
        <v>296.709991</v>
      </c>
      <c r="F2337" s="22">
        <f ca="1"/>
        <v>299.5</v>
      </c>
      <c r="G2337" s="22">
        <f ca="1"/>
        <v>297.33322099999998</v>
      </c>
      <c r="H2337" s="69">
        <f ca="1"/>
        <v>40110400</v>
      </c>
      <c r="I2337" s="23" t="str">
        <f t="shared" ca="1" si="73"/>
        <v/>
      </c>
    </row>
    <row r="2338" spans="1:9" ht="13.8">
      <c r="A2338" s="20">
        <f t="shared" ca="1" si="72"/>
        <v>44658</v>
      </c>
      <c r="B2338" s="21" t="str">
        <f ca="1"/>
        <v>2022-04-07</v>
      </c>
      <c r="C2338" s="22">
        <f ca="1"/>
        <v>296.66000400000001</v>
      </c>
      <c r="D2338" s="22">
        <f ca="1"/>
        <v>303.64999399999999</v>
      </c>
      <c r="E2338" s="22">
        <f ca="1"/>
        <v>296.35000600000001</v>
      </c>
      <c r="F2338" s="22">
        <f ca="1"/>
        <v>301.36999500000002</v>
      </c>
      <c r="G2338" s="22">
        <f ca="1"/>
        <v>299.18969700000002</v>
      </c>
      <c r="H2338" s="69">
        <f ca="1"/>
        <v>31411200</v>
      </c>
      <c r="I2338" s="23" t="str">
        <f t="shared" ca="1" si="73"/>
        <v/>
      </c>
    </row>
    <row r="2339" spans="1:9" ht="13.8">
      <c r="A2339" s="20">
        <f t="shared" ca="1" si="72"/>
        <v>44659</v>
      </c>
      <c r="B2339" s="21" t="str">
        <f ca="1"/>
        <v>2022-04-08</v>
      </c>
      <c r="C2339" s="22">
        <f ca="1"/>
        <v>300.44000199999999</v>
      </c>
      <c r="D2339" s="22">
        <f ca="1"/>
        <v>301.11999500000002</v>
      </c>
      <c r="E2339" s="22">
        <f ca="1"/>
        <v>296.27999899999998</v>
      </c>
      <c r="F2339" s="22">
        <f ca="1"/>
        <v>296.97000100000002</v>
      </c>
      <c r="G2339" s="22">
        <f ca="1"/>
        <v>294.82153299999999</v>
      </c>
      <c r="H2339" s="69">
        <f ca="1"/>
        <v>24361900</v>
      </c>
      <c r="I2339" s="23" t="str">
        <f t="shared" ca="1" si="73"/>
        <v/>
      </c>
    </row>
    <row r="2340" spans="1:9" ht="13.8">
      <c r="A2340" s="20">
        <f t="shared" ca="1" si="72"/>
        <v>44662</v>
      </c>
      <c r="B2340" s="21" t="str">
        <f ca="1"/>
        <v>2022-04-11</v>
      </c>
      <c r="C2340" s="22">
        <f ca="1"/>
        <v>291.790009</v>
      </c>
      <c r="D2340" s="22">
        <f ca="1"/>
        <v>292.60998499999999</v>
      </c>
      <c r="E2340" s="22">
        <f ca="1"/>
        <v>285</v>
      </c>
      <c r="F2340" s="22">
        <f ca="1"/>
        <v>285.26001000000002</v>
      </c>
      <c r="G2340" s="22">
        <f ca="1"/>
        <v>283.196259</v>
      </c>
      <c r="H2340" s="69">
        <f ca="1"/>
        <v>34569300</v>
      </c>
      <c r="I2340" s="23" t="str">
        <f t="shared" ca="1" si="73"/>
        <v/>
      </c>
    </row>
    <row r="2341" spans="1:9" ht="13.8">
      <c r="A2341" s="20">
        <f t="shared" ca="1" si="72"/>
        <v>44663</v>
      </c>
      <c r="B2341" s="21" t="str">
        <f ca="1"/>
        <v>2022-04-12</v>
      </c>
      <c r="C2341" s="22">
        <f ca="1"/>
        <v>289.23998999999998</v>
      </c>
      <c r="D2341" s="22">
        <f ca="1"/>
        <v>290.73998999999998</v>
      </c>
      <c r="E2341" s="22">
        <f ca="1"/>
        <v>280.48998999999998</v>
      </c>
      <c r="F2341" s="22">
        <f ca="1"/>
        <v>282.05999800000001</v>
      </c>
      <c r="G2341" s="22">
        <f ca="1"/>
        <v>280.01937900000001</v>
      </c>
      <c r="H2341" s="69">
        <f ca="1"/>
        <v>30966700</v>
      </c>
      <c r="I2341" s="23" t="str">
        <f t="shared" ca="1" si="73"/>
        <v/>
      </c>
    </row>
    <row r="2342" spans="1:9" ht="13.8">
      <c r="A2342" s="20">
        <f t="shared" ca="1" si="72"/>
        <v>44664</v>
      </c>
      <c r="B2342" s="21" t="str">
        <f ca="1"/>
        <v>2022-04-13</v>
      </c>
      <c r="C2342" s="22">
        <f ca="1"/>
        <v>282.73001099999999</v>
      </c>
      <c r="D2342" s="22">
        <f ca="1"/>
        <v>288.57998700000002</v>
      </c>
      <c r="E2342" s="22">
        <f ca="1"/>
        <v>281.29998799999998</v>
      </c>
      <c r="F2342" s="22">
        <f ca="1"/>
        <v>287.61999500000002</v>
      </c>
      <c r="G2342" s="22">
        <f ca="1"/>
        <v>285.53918499999997</v>
      </c>
      <c r="H2342" s="69">
        <f ca="1"/>
        <v>21907200</v>
      </c>
      <c r="I2342" s="23" t="str">
        <f t="shared" ca="1" si="73"/>
        <v/>
      </c>
    </row>
    <row r="2343" spans="1:9" ht="13.8">
      <c r="A2343" s="20">
        <f t="shared" ca="1" si="72"/>
        <v>44665</v>
      </c>
      <c r="B2343" s="21" t="str">
        <f ca="1"/>
        <v>2022-04-14</v>
      </c>
      <c r="C2343" s="22">
        <f ca="1"/>
        <v>288.08999599999999</v>
      </c>
      <c r="D2343" s="22">
        <f ca="1"/>
        <v>288.30999800000001</v>
      </c>
      <c r="E2343" s="22">
        <f ca="1"/>
        <v>279.32000699999998</v>
      </c>
      <c r="F2343" s="22">
        <f ca="1"/>
        <v>279.82998700000002</v>
      </c>
      <c r="G2343" s="22">
        <f ca="1"/>
        <v>277.80551100000002</v>
      </c>
      <c r="H2343" s="69">
        <f ca="1"/>
        <v>28221600</v>
      </c>
      <c r="I2343" s="23" t="str">
        <f t="shared" ca="1" si="73"/>
        <v/>
      </c>
    </row>
    <row r="2344" spans="1:9" ht="13.8">
      <c r="A2344" s="20">
        <f t="shared" ca="1" si="72"/>
        <v>44669</v>
      </c>
      <c r="B2344" s="21" t="str">
        <f ca="1"/>
        <v>2022-04-18</v>
      </c>
      <c r="C2344" s="22">
        <f ca="1"/>
        <v>278.91000400000001</v>
      </c>
      <c r="D2344" s="22">
        <f ca="1"/>
        <v>282.459991</v>
      </c>
      <c r="E2344" s="22">
        <f ca="1"/>
        <v>278.33999599999999</v>
      </c>
      <c r="F2344" s="22">
        <f ca="1"/>
        <v>280.51998900000001</v>
      </c>
      <c r="G2344" s="22">
        <f ca="1"/>
        <v>278.49050899999997</v>
      </c>
      <c r="H2344" s="69">
        <f ca="1"/>
        <v>20778000</v>
      </c>
      <c r="I2344" s="23" t="str">
        <f t="shared" ca="1" si="73"/>
        <v/>
      </c>
    </row>
    <row r="2345" spans="1:9" ht="13.8">
      <c r="A2345" s="20">
        <f t="shared" ca="1" si="72"/>
        <v>44670</v>
      </c>
      <c r="B2345" s="21" t="str">
        <f ca="1"/>
        <v>2022-04-19</v>
      </c>
      <c r="C2345" s="22">
        <f ca="1"/>
        <v>279.38000499999998</v>
      </c>
      <c r="D2345" s="22">
        <f ca="1"/>
        <v>286.17001299999998</v>
      </c>
      <c r="E2345" s="22">
        <f ca="1"/>
        <v>278.41000400000001</v>
      </c>
      <c r="F2345" s="22">
        <f ca="1"/>
        <v>285.29998799999998</v>
      </c>
      <c r="G2345" s="22">
        <f ca="1"/>
        <v>283.23593099999999</v>
      </c>
      <c r="H2345" s="69">
        <f ca="1"/>
        <v>22297700</v>
      </c>
      <c r="I2345" s="23" t="str">
        <f t="shared" ca="1" si="73"/>
        <v/>
      </c>
    </row>
    <row r="2346" spans="1:9" ht="13.8">
      <c r="A2346" s="20">
        <f t="shared" ca="1" si="72"/>
        <v>44671</v>
      </c>
      <c r="B2346" s="21" t="str">
        <f ca="1"/>
        <v>2022-04-20</v>
      </c>
      <c r="C2346" s="22">
        <f ca="1"/>
        <v>289.39999399999999</v>
      </c>
      <c r="D2346" s="22">
        <f ca="1"/>
        <v>289.70001200000002</v>
      </c>
      <c r="E2346" s="22">
        <f ca="1"/>
        <v>285.36999500000002</v>
      </c>
      <c r="F2346" s="22">
        <f ca="1"/>
        <v>286.35998499999999</v>
      </c>
      <c r="G2346" s="22">
        <f ca="1"/>
        <v>284.28826900000001</v>
      </c>
      <c r="H2346" s="69">
        <f ca="1"/>
        <v>22906700</v>
      </c>
      <c r="I2346" s="23" t="str">
        <f t="shared" ca="1" si="73"/>
        <v/>
      </c>
    </row>
    <row r="2347" spans="1:9" ht="13.8">
      <c r="A2347" s="20">
        <f t="shared" ca="1" si="72"/>
        <v>44672</v>
      </c>
      <c r="B2347" s="21" t="str">
        <f ca="1"/>
        <v>2022-04-21</v>
      </c>
      <c r="C2347" s="22">
        <f ca="1"/>
        <v>288.57998700000002</v>
      </c>
      <c r="D2347" s="22">
        <f ca="1"/>
        <v>293.29998799999998</v>
      </c>
      <c r="E2347" s="22">
        <f ca="1"/>
        <v>280.05999800000001</v>
      </c>
      <c r="F2347" s="22">
        <f ca="1"/>
        <v>280.80999800000001</v>
      </c>
      <c r="G2347" s="22">
        <f ca="1"/>
        <v>278.778412</v>
      </c>
      <c r="H2347" s="69">
        <f ca="1"/>
        <v>29454600</v>
      </c>
      <c r="I2347" s="23" t="str">
        <f t="shared" ca="1" si="73"/>
        <v/>
      </c>
    </row>
    <row r="2348" spans="1:9" ht="13.8">
      <c r="A2348" s="20">
        <f t="shared" ca="1" si="72"/>
        <v>44673</v>
      </c>
      <c r="B2348" s="21" t="str">
        <f ca="1"/>
        <v>2022-04-22</v>
      </c>
      <c r="C2348" s="22">
        <f ca="1"/>
        <v>281.67999300000002</v>
      </c>
      <c r="D2348" s="22">
        <f ca="1"/>
        <v>283.20001200000002</v>
      </c>
      <c r="E2348" s="22">
        <f ca="1"/>
        <v>273.38000499999998</v>
      </c>
      <c r="F2348" s="22">
        <f ca="1"/>
        <v>274.02999899999998</v>
      </c>
      <c r="G2348" s="22">
        <f ca="1"/>
        <v>272.04751599999997</v>
      </c>
      <c r="H2348" s="69">
        <f ca="1"/>
        <v>29405800</v>
      </c>
      <c r="I2348" s="23" t="str">
        <f t="shared" ca="1" si="73"/>
        <v/>
      </c>
    </row>
    <row r="2349" spans="1:9" ht="13.8">
      <c r="A2349" s="20">
        <f t="shared" ca="1" si="72"/>
        <v>44676</v>
      </c>
      <c r="B2349" s="21" t="str">
        <f ca="1"/>
        <v>2022-04-25</v>
      </c>
      <c r="C2349" s="22">
        <f ca="1"/>
        <v>273.290009</v>
      </c>
      <c r="D2349" s="22">
        <f ca="1"/>
        <v>281.10998499999999</v>
      </c>
      <c r="E2349" s="22">
        <f ca="1"/>
        <v>270.76998900000001</v>
      </c>
      <c r="F2349" s="22">
        <f ca="1"/>
        <v>280.72000100000002</v>
      </c>
      <c r="G2349" s="22">
        <f ca="1"/>
        <v>278.68908699999997</v>
      </c>
      <c r="H2349" s="69">
        <f ca="1"/>
        <v>35678900</v>
      </c>
      <c r="I2349" s="23" t="str">
        <f t="shared" ca="1" si="73"/>
        <v/>
      </c>
    </row>
    <row r="2350" spans="1:9" ht="13.8">
      <c r="A2350" s="20">
        <f t="shared" ca="1" si="72"/>
        <v>44677</v>
      </c>
      <c r="B2350" s="21" t="str">
        <f ca="1"/>
        <v>2022-04-26</v>
      </c>
      <c r="C2350" s="22">
        <f ca="1"/>
        <v>277.5</v>
      </c>
      <c r="D2350" s="22">
        <f ca="1"/>
        <v>278.35998499999999</v>
      </c>
      <c r="E2350" s="22">
        <f ca="1"/>
        <v>270</v>
      </c>
      <c r="F2350" s="22">
        <f ca="1"/>
        <v>270.22000100000002</v>
      </c>
      <c r="G2350" s="22">
        <f ca="1"/>
        <v>268.26507600000002</v>
      </c>
      <c r="H2350" s="69">
        <f ca="1"/>
        <v>46518400</v>
      </c>
      <c r="I2350" s="23" t="str">
        <f t="shared" ca="1" si="73"/>
        <v/>
      </c>
    </row>
    <row r="2351" spans="1:9" ht="13.8">
      <c r="A2351" s="20">
        <f t="shared" ca="1" si="72"/>
        <v>44678</v>
      </c>
      <c r="B2351" s="21" t="str">
        <f ca="1"/>
        <v>2022-04-27</v>
      </c>
      <c r="C2351" s="22">
        <f ca="1"/>
        <v>282.10000600000001</v>
      </c>
      <c r="D2351" s="22">
        <f ca="1"/>
        <v>290.97000100000002</v>
      </c>
      <c r="E2351" s="22">
        <f ca="1"/>
        <v>279.16000400000001</v>
      </c>
      <c r="F2351" s="22">
        <f ca="1"/>
        <v>283.22000100000002</v>
      </c>
      <c r="G2351" s="22">
        <f ca="1"/>
        <v>281.17099000000002</v>
      </c>
      <c r="H2351" s="69">
        <f ca="1"/>
        <v>63477700</v>
      </c>
      <c r="I2351" s="23" t="str">
        <f t="shared" ca="1" si="73"/>
        <v/>
      </c>
    </row>
    <row r="2352" spans="1:9" ht="13.8">
      <c r="A2352" s="20">
        <f t="shared" ca="1" si="72"/>
        <v>44679</v>
      </c>
      <c r="B2352" s="21" t="str">
        <f ca="1"/>
        <v>2022-04-28</v>
      </c>
      <c r="C2352" s="22">
        <f ca="1"/>
        <v>285.19000199999999</v>
      </c>
      <c r="D2352" s="22">
        <f ca="1"/>
        <v>290.98001099999999</v>
      </c>
      <c r="E2352" s="22">
        <f ca="1"/>
        <v>281.459991</v>
      </c>
      <c r="F2352" s="22">
        <f ca="1"/>
        <v>289.63000499999998</v>
      </c>
      <c r="G2352" s="22">
        <f ca="1"/>
        <v>287.53463699999998</v>
      </c>
      <c r="H2352" s="69">
        <f ca="1"/>
        <v>33646600</v>
      </c>
      <c r="I2352" s="23" t="str">
        <f t="shared" ca="1" si="73"/>
        <v/>
      </c>
    </row>
    <row r="2353" spans="1:9" ht="13.8">
      <c r="A2353" s="20">
        <f t="shared" ca="1" si="72"/>
        <v>44680</v>
      </c>
      <c r="B2353" s="21" t="str">
        <f ca="1"/>
        <v>2022-04-29</v>
      </c>
      <c r="C2353" s="22">
        <f ca="1"/>
        <v>288.60998499999999</v>
      </c>
      <c r="D2353" s="22">
        <f ca="1"/>
        <v>289.88000499999998</v>
      </c>
      <c r="E2353" s="22">
        <f ca="1"/>
        <v>276.5</v>
      </c>
      <c r="F2353" s="22">
        <f ca="1"/>
        <v>277.51998900000001</v>
      </c>
      <c r="G2353" s="22">
        <f ca="1"/>
        <v>275.51223800000002</v>
      </c>
      <c r="H2353" s="69">
        <f ca="1"/>
        <v>37073900</v>
      </c>
      <c r="I2353" s="23" t="str">
        <f t="shared" ca="1" si="73"/>
        <v/>
      </c>
    </row>
    <row r="2354" spans="1:9" ht="13.8">
      <c r="A2354" s="20">
        <f t="shared" ca="1" si="72"/>
        <v>44683</v>
      </c>
      <c r="B2354" s="21" t="str">
        <f ca="1"/>
        <v>2022-05-02</v>
      </c>
      <c r="C2354" s="22">
        <f ca="1"/>
        <v>277.709991</v>
      </c>
      <c r="D2354" s="22">
        <f ca="1"/>
        <v>284.94000199999999</v>
      </c>
      <c r="E2354" s="22">
        <f ca="1"/>
        <v>276.22000100000002</v>
      </c>
      <c r="F2354" s="22">
        <f ca="1"/>
        <v>284.47000100000002</v>
      </c>
      <c r="G2354" s="22">
        <f ca="1"/>
        <v>282.41198700000001</v>
      </c>
      <c r="H2354" s="69">
        <f ca="1"/>
        <v>35151100</v>
      </c>
      <c r="I2354" s="23" t="str">
        <f t="shared" ca="1" si="73"/>
        <v/>
      </c>
    </row>
    <row r="2355" spans="1:9" ht="13.8">
      <c r="A2355" s="20">
        <f t="shared" ca="1" si="72"/>
        <v>44684</v>
      </c>
      <c r="B2355" s="21" t="str">
        <f ca="1"/>
        <v>2022-05-03</v>
      </c>
      <c r="C2355" s="22">
        <f ca="1"/>
        <v>283.959991</v>
      </c>
      <c r="D2355" s="22">
        <f ca="1"/>
        <v>284.13000499999998</v>
      </c>
      <c r="E2355" s="22">
        <f ca="1"/>
        <v>280.14999399999999</v>
      </c>
      <c r="F2355" s="22">
        <f ca="1"/>
        <v>281.77999899999998</v>
      </c>
      <c r="G2355" s="22">
        <f ca="1"/>
        <v>279.74142499999999</v>
      </c>
      <c r="H2355" s="69">
        <f ca="1"/>
        <v>25978600</v>
      </c>
      <c r="I2355" s="23" t="str">
        <f t="shared" ca="1" si="73"/>
        <v/>
      </c>
    </row>
    <row r="2356" spans="1:9" ht="13.8">
      <c r="A2356" s="20">
        <f t="shared" ca="1" si="72"/>
        <v>44685</v>
      </c>
      <c r="B2356" s="21" t="str">
        <f ca="1"/>
        <v>2022-05-04</v>
      </c>
      <c r="C2356" s="22">
        <f ca="1"/>
        <v>282.58999599999999</v>
      </c>
      <c r="D2356" s="22">
        <f ca="1"/>
        <v>290.88000499999998</v>
      </c>
      <c r="E2356" s="22">
        <f ca="1"/>
        <v>276.73001099999999</v>
      </c>
      <c r="F2356" s="22">
        <f ca="1"/>
        <v>289.98001099999999</v>
      </c>
      <c r="G2356" s="22">
        <f ca="1"/>
        <v>287.88207999999997</v>
      </c>
      <c r="H2356" s="69">
        <f ca="1"/>
        <v>33599300</v>
      </c>
      <c r="I2356" s="23" t="str">
        <f t="shared" ca="1" si="73"/>
        <v/>
      </c>
    </row>
    <row r="2357" spans="1:9" ht="13.8">
      <c r="A2357" s="20">
        <f t="shared" ca="1" si="72"/>
        <v>44686</v>
      </c>
      <c r="B2357" s="21" t="str">
        <f ca="1"/>
        <v>2022-05-05</v>
      </c>
      <c r="C2357" s="22">
        <f ca="1"/>
        <v>285.540009</v>
      </c>
      <c r="D2357" s="22">
        <f ca="1"/>
        <v>286.35000600000001</v>
      </c>
      <c r="E2357" s="22">
        <f ca="1"/>
        <v>274.33999599999999</v>
      </c>
      <c r="F2357" s="22">
        <f ca="1"/>
        <v>277.35000600000001</v>
      </c>
      <c r="G2357" s="22">
        <f ca="1"/>
        <v>275.34347500000001</v>
      </c>
      <c r="H2357" s="69">
        <f ca="1"/>
        <v>43260400</v>
      </c>
      <c r="I2357" s="23" t="str">
        <f t="shared" ca="1" si="73"/>
        <v/>
      </c>
    </row>
    <row r="2358" spans="1:9" ht="13.8">
      <c r="A2358" s="20">
        <f t="shared" ca="1" si="72"/>
        <v>44687</v>
      </c>
      <c r="B2358" s="21" t="str">
        <f ca="1"/>
        <v>2022-05-06</v>
      </c>
      <c r="C2358" s="22">
        <f ca="1"/>
        <v>274.80999800000001</v>
      </c>
      <c r="D2358" s="22">
        <f ca="1"/>
        <v>279.25</v>
      </c>
      <c r="E2358" s="22">
        <f ca="1"/>
        <v>271.26998900000001</v>
      </c>
      <c r="F2358" s="22">
        <f ca="1"/>
        <v>274.73001099999999</v>
      </c>
      <c r="G2358" s="22">
        <f ca="1"/>
        <v>272.74240099999997</v>
      </c>
      <c r="H2358" s="69">
        <f ca="1"/>
        <v>37780300</v>
      </c>
      <c r="I2358" s="23" t="str">
        <f t="shared" ca="1" si="73"/>
        <v/>
      </c>
    </row>
    <row r="2359" spans="1:9" ht="13.8">
      <c r="A2359" s="20">
        <f t="shared" ca="1" si="72"/>
        <v>44690</v>
      </c>
      <c r="B2359" s="21" t="str">
        <f ca="1"/>
        <v>2022-05-09</v>
      </c>
      <c r="C2359" s="22">
        <f ca="1"/>
        <v>270.05999800000001</v>
      </c>
      <c r="D2359" s="22">
        <f ca="1"/>
        <v>272.35998499999999</v>
      </c>
      <c r="E2359" s="22">
        <f ca="1"/>
        <v>263.32000699999998</v>
      </c>
      <c r="F2359" s="22">
        <f ca="1"/>
        <v>264.57998700000002</v>
      </c>
      <c r="G2359" s="22">
        <f ca="1"/>
        <v>262.66583300000002</v>
      </c>
      <c r="H2359" s="69">
        <f ca="1"/>
        <v>47726000</v>
      </c>
      <c r="I2359" s="23" t="str">
        <f t="shared" ca="1" si="73"/>
        <v/>
      </c>
    </row>
    <row r="2360" spans="1:9" ht="13.8">
      <c r="A2360" s="20">
        <f t="shared" ca="1" si="72"/>
        <v>44691</v>
      </c>
      <c r="B2360" s="21" t="str">
        <f ca="1"/>
        <v>2022-05-10</v>
      </c>
      <c r="C2360" s="22">
        <f ca="1"/>
        <v>271.69000199999999</v>
      </c>
      <c r="D2360" s="22">
        <f ca="1"/>
        <v>273.75</v>
      </c>
      <c r="E2360" s="22">
        <f ca="1"/>
        <v>265.07000699999998</v>
      </c>
      <c r="F2360" s="22">
        <f ca="1"/>
        <v>269.5</v>
      </c>
      <c r="G2360" s="22">
        <f ca="1"/>
        <v>267.55026199999998</v>
      </c>
      <c r="H2360" s="69">
        <f ca="1"/>
        <v>39336400</v>
      </c>
      <c r="I2360" s="23" t="str">
        <f t="shared" ca="1" si="73"/>
        <v/>
      </c>
    </row>
    <row r="2361" spans="1:9" ht="13.8">
      <c r="A2361" s="20">
        <f t="shared" ca="1" si="72"/>
        <v>44692</v>
      </c>
      <c r="B2361" s="21" t="str">
        <f ca="1"/>
        <v>2022-05-11</v>
      </c>
      <c r="C2361" s="22">
        <f ca="1"/>
        <v>265.67999300000002</v>
      </c>
      <c r="D2361" s="22">
        <f ca="1"/>
        <v>271.35998499999999</v>
      </c>
      <c r="E2361" s="22">
        <f ca="1"/>
        <v>259.29998799999998</v>
      </c>
      <c r="F2361" s="22">
        <f ca="1"/>
        <v>260.54998799999998</v>
      </c>
      <c r="G2361" s="22">
        <f ca="1"/>
        <v>258.66497800000002</v>
      </c>
      <c r="H2361" s="69">
        <f ca="1"/>
        <v>48975900</v>
      </c>
      <c r="I2361" s="23" t="str">
        <f t="shared" ca="1" si="73"/>
        <v/>
      </c>
    </row>
    <row r="2362" spans="1:9" ht="13.8">
      <c r="A2362" s="20">
        <f t="shared" ca="1" si="72"/>
        <v>44693</v>
      </c>
      <c r="B2362" s="21" t="str">
        <f ca="1"/>
        <v>2022-05-12</v>
      </c>
      <c r="C2362" s="22">
        <f ca="1"/>
        <v>257.69000199999999</v>
      </c>
      <c r="D2362" s="22">
        <f ca="1"/>
        <v>259.88000499999998</v>
      </c>
      <c r="E2362" s="22">
        <f ca="1"/>
        <v>250.020004</v>
      </c>
      <c r="F2362" s="22">
        <f ca="1"/>
        <v>255.35000600000001</v>
      </c>
      <c r="G2362" s="22">
        <f ca="1"/>
        <v>253.50264000000001</v>
      </c>
      <c r="H2362" s="69">
        <f ca="1"/>
        <v>51033800</v>
      </c>
      <c r="I2362" s="23" t="str">
        <f t="shared" ca="1" si="73"/>
        <v/>
      </c>
    </row>
    <row r="2363" spans="1:9" ht="13.8">
      <c r="A2363" s="20">
        <f t="shared" ca="1" si="72"/>
        <v>44694</v>
      </c>
      <c r="B2363" s="21" t="str">
        <f ca="1"/>
        <v>2022-05-13</v>
      </c>
      <c r="C2363" s="22">
        <f ca="1"/>
        <v>257.35000600000001</v>
      </c>
      <c r="D2363" s="22">
        <f ca="1"/>
        <v>263.040009</v>
      </c>
      <c r="E2363" s="22">
        <f ca="1"/>
        <v>255.35000600000001</v>
      </c>
      <c r="F2363" s="22">
        <f ca="1"/>
        <v>261.11999500000002</v>
      </c>
      <c r="G2363" s="22">
        <f ca="1"/>
        <v>259.23089599999997</v>
      </c>
      <c r="H2363" s="69">
        <f ca="1"/>
        <v>34925100</v>
      </c>
      <c r="I2363" s="23" t="str">
        <f t="shared" ca="1" si="73"/>
        <v/>
      </c>
    </row>
    <row r="2364" spans="1:9" ht="13.8">
      <c r="A2364" s="20">
        <f t="shared" ca="1" si="72"/>
        <v>44697</v>
      </c>
      <c r="B2364" s="21" t="str">
        <f ca="1"/>
        <v>2022-05-16</v>
      </c>
      <c r="C2364" s="22">
        <f ca="1"/>
        <v>259.959991</v>
      </c>
      <c r="D2364" s="22">
        <f ca="1"/>
        <v>265.82000699999998</v>
      </c>
      <c r="E2364" s="22">
        <f ca="1"/>
        <v>255.779999</v>
      </c>
      <c r="F2364" s="22">
        <f ca="1"/>
        <v>261.5</v>
      </c>
      <c r="G2364" s="22">
        <f ca="1"/>
        <v>259.60812399999998</v>
      </c>
      <c r="H2364" s="69">
        <f ca="1"/>
        <v>32550900</v>
      </c>
      <c r="I2364" s="23" t="str">
        <f t="shared" ca="1" si="73"/>
        <v/>
      </c>
    </row>
    <row r="2365" spans="1:9" ht="13.8">
      <c r="A2365" s="20">
        <f t="shared" ca="1" si="72"/>
        <v>44698</v>
      </c>
      <c r="B2365" s="21" t="str">
        <f ca="1"/>
        <v>2022-05-17</v>
      </c>
      <c r="C2365" s="22">
        <f ca="1"/>
        <v>266.10998499999999</v>
      </c>
      <c r="D2365" s="22">
        <f ca="1"/>
        <v>268.32998700000002</v>
      </c>
      <c r="E2365" s="22">
        <f ca="1"/>
        <v>262.459991</v>
      </c>
      <c r="F2365" s="22">
        <f ca="1"/>
        <v>266.82000699999998</v>
      </c>
      <c r="G2365" s="22">
        <f ca="1"/>
        <v>264.889679</v>
      </c>
      <c r="H2365" s="69">
        <f ca="1"/>
        <v>28828800</v>
      </c>
      <c r="I2365" s="23" t="str">
        <f t="shared" ca="1" si="73"/>
        <v/>
      </c>
    </row>
    <row r="2366" spans="1:9" ht="13.8">
      <c r="A2366" s="20">
        <f t="shared" ca="1" si="72"/>
        <v>44699</v>
      </c>
      <c r="B2366" s="21" t="str">
        <f ca="1"/>
        <v>2022-05-18</v>
      </c>
      <c r="C2366" s="22">
        <f ca="1"/>
        <v>263</v>
      </c>
      <c r="D2366" s="22">
        <f ca="1"/>
        <v>263.60000600000001</v>
      </c>
      <c r="E2366" s="22">
        <f ca="1"/>
        <v>252.770004</v>
      </c>
      <c r="F2366" s="22">
        <f ca="1"/>
        <v>254.08000200000001</v>
      </c>
      <c r="G2366" s="22">
        <f ca="1"/>
        <v>252.82933</v>
      </c>
      <c r="H2366" s="69">
        <f ca="1"/>
        <v>31356000</v>
      </c>
      <c r="I2366" s="23">
        <f t="shared" ca="1" si="73"/>
        <v>0.62</v>
      </c>
    </row>
    <row r="2367" spans="1:9" ht="13.8">
      <c r="A2367" s="20">
        <f t="shared" ca="1" si="72"/>
        <v>44700</v>
      </c>
      <c r="B2367" s="21" t="str">
        <f ca="1"/>
        <v>2022-05-19</v>
      </c>
      <c r="C2367" s="22">
        <f ca="1"/>
        <v>253.89999399999999</v>
      </c>
      <c r="D2367" s="22">
        <f ca="1"/>
        <v>257.67001299999998</v>
      </c>
      <c r="E2367" s="22">
        <f ca="1"/>
        <v>251.88000500000001</v>
      </c>
      <c r="F2367" s="22">
        <f ca="1"/>
        <v>253.13999899999999</v>
      </c>
      <c r="G2367" s="22">
        <f ca="1"/>
        <v>251.893936</v>
      </c>
      <c r="H2367" s="69">
        <f ca="1"/>
        <v>32692300</v>
      </c>
      <c r="I2367" s="23" t="str">
        <f t="shared" ca="1" si="73"/>
        <v/>
      </c>
    </row>
    <row r="2368" spans="1:9" ht="13.8">
      <c r="A2368" s="20">
        <f t="shared" ca="1" si="72"/>
        <v>44701</v>
      </c>
      <c r="B2368" s="21" t="str">
        <f ca="1"/>
        <v>2022-05-20</v>
      </c>
      <c r="C2368" s="22">
        <f ca="1"/>
        <v>257.23998999999998</v>
      </c>
      <c r="D2368" s="22">
        <f ca="1"/>
        <v>258.540009</v>
      </c>
      <c r="E2368" s="22">
        <f ca="1"/>
        <v>246.44000199999999</v>
      </c>
      <c r="F2368" s="22">
        <f ca="1"/>
        <v>252.55999800000001</v>
      </c>
      <c r="G2368" s="22">
        <f ca="1"/>
        <v>251.31680299999999</v>
      </c>
      <c r="H2368" s="69">
        <f ca="1"/>
        <v>39199300</v>
      </c>
      <c r="I2368" s="23" t="str">
        <f t="shared" ca="1" si="73"/>
        <v/>
      </c>
    </row>
    <row r="2369" spans="1:9" ht="13.8">
      <c r="A2369" s="20">
        <f t="shared" ca="1" si="72"/>
        <v>44704</v>
      </c>
      <c r="B2369" s="21" t="str">
        <f ca="1"/>
        <v>2022-05-23</v>
      </c>
      <c r="C2369" s="22">
        <f ca="1"/>
        <v>255.490005</v>
      </c>
      <c r="D2369" s="22">
        <f ca="1"/>
        <v>261.5</v>
      </c>
      <c r="E2369" s="22">
        <f ca="1"/>
        <v>253.429993</v>
      </c>
      <c r="F2369" s="22">
        <f ca="1"/>
        <v>260.64999399999999</v>
      </c>
      <c r="G2369" s="22">
        <f ca="1"/>
        <v>259.36697400000003</v>
      </c>
      <c r="H2369" s="69">
        <f ca="1"/>
        <v>33175400</v>
      </c>
      <c r="I2369" s="23" t="str">
        <f t="shared" ca="1" si="73"/>
        <v/>
      </c>
    </row>
    <row r="2370" spans="1:9" ht="13.8">
      <c r="A2370" s="20">
        <f t="shared" ca="1" si="72"/>
        <v>44705</v>
      </c>
      <c r="B2370" s="21" t="str">
        <f ca="1"/>
        <v>2022-05-24</v>
      </c>
      <c r="C2370" s="22">
        <f ca="1"/>
        <v>257.89001500000001</v>
      </c>
      <c r="D2370" s="22">
        <f ca="1"/>
        <v>261.32998700000002</v>
      </c>
      <c r="E2370" s="22">
        <f ca="1"/>
        <v>253.5</v>
      </c>
      <c r="F2370" s="22">
        <f ca="1"/>
        <v>259.61999500000002</v>
      </c>
      <c r="G2370" s="22">
        <f ca="1"/>
        <v>258.34204099999999</v>
      </c>
      <c r="H2370" s="69">
        <f ca="1"/>
        <v>29043900</v>
      </c>
      <c r="I2370" s="23" t="str">
        <f t="shared" ca="1" si="73"/>
        <v/>
      </c>
    </row>
    <row r="2371" spans="1:9" ht="13.8">
      <c r="A2371" s="20">
        <f t="shared" ca="1" si="72"/>
        <v>44706</v>
      </c>
      <c r="B2371" s="21" t="str">
        <f ca="1"/>
        <v>2022-05-25</v>
      </c>
      <c r="C2371" s="22">
        <f ca="1"/>
        <v>258.14001500000001</v>
      </c>
      <c r="D2371" s="22">
        <f ca="1"/>
        <v>264.57998700000002</v>
      </c>
      <c r="E2371" s="22">
        <f ca="1"/>
        <v>257.13000499999998</v>
      </c>
      <c r="F2371" s="22">
        <f ca="1"/>
        <v>262.51998900000001</v>
      </c>
      <c r="G2371" s="22">
        <f ca="1"/>
        <v>261.22775300000001</v>
      </c>
      <c r="H2371" s="69">
        <f ca="1"/>
        <v>28547900</v>
      </c>
      <c r="I2371" s="23" t="str">
        <f t="shared" ca="1" si="73"/>
        <v/>
      </c>
    </row>
    <row r="2372" spans="1:9" ht="13.8">
      <c r="A2372" s="20">
        <f t="shared" ca="1" si="72"/>
        <v>44707</v>
      </c>
      <c r="B2372" s="21" t="str">
        <f ca="1"/>
        <v>2022-05-26</v>
      </c>
      <c r="C2372" s="22">
        <f ca="1"/>
        <v>262.26998900000001</v>
      </c>
      <c r="D2372" s="22">
        <f ca="1"/>
        <v>267.10998499999999</v>
      </c>
      <c r="E2372" s="22">
        <f ca="1"/>
        <v>261.42999300000002</v>
      </c>
      <c r="F2372" s="22">
        <f ca="1"/>
        <v>265.89999399999999</v>
      </c>
      <c r="G2372" s="22">
        <f ca="1"/>
        <v>264.59112499999998</v>
      </c>
      <c r="H2372" s="69">
        <f ca="1"/>
        <v>25002100</v>
      </c>
      <c r="I2372" s="23" t="str">
        <f t="shared" ca="1" si="73"/>
        <v/>
      </c>
    </row>
    <row r="2373" spans="1:9" ht="13.8">
      <c r="A2373" s="20">
        <f t="shared" ca="1" si="72"/>
        <v>44708</v>
      </c>
      <c r="B2373" s="21" t="str">
        <f ca="1"/>
        <v>2022-05-27</v>
      </c>
      <c r="C2373" s="22">
        <f ca="1"/>
        <v>268.48001099999999</v>
      </c>
      <c r="D2373" s="22">
        <f ca="1"/>
        <v>273.33999599999999</v>
      </c>
      <c r="E2373" s="22">
        <f ca="1"/>
        <v>267.55999800000001</v>
      </c>
      <c r="F2373" s="22">
        <f ca="1"/>
        <v>273.23998999999998</v>
      </c>
      <c r="G2373" s="22">
        <f ca="1"/>
        <v>271.89498900000001</v>
      </c>
      <c r="H2373" s="69">
        <f ca="1"/>
        <v>26910800</v>
      </c>
      <c r="I2373" s="23" t="str">
        <f t="shared" ca="1" si="73"/>
        <v/>
      </c>
    </row>
    <row r="2374" spans="1:9" ht="13.8">
      <c r="A2374" s="20">
        <f t="shared" ref="A2374:A2437" ca="1" si="74">IFERROR(DATEVALUE($B2374),"--")</f>
        <v>44712</v>
      </c>
      <c r="B2374" s="21" t="str">
        <f ca="1"/>
        <v>2022-05-31</v>
      </c>
      <c r="C2374" s="22">
        <f ca="1"/>
        <v>272.52999899999998</v>
      </c>
      <c r="D2374" s="22">
        <f ca="1"/>
        <v>274.76998900000001</v>
      </c>
      <c r="E2374" s="22">
        <f ca="1"/>
        <v>268.92999300000002</v>
      </c>
      <c r="F2374" s="22">
        <f ca="1"/>
        <v>271.86999500000002</v>
      </c>
      <c r="G2374" s="22">
        <f ca="1"/>
        <v>270.531769</v>
      </c>
      <c r="H2374" s="69">
        <f ca="1"/>
        <v>37827700</v>
      </c>
      <c r="I2374" s="23" t="str">
        <f t="shared" ref="I2374:I2437" ca="1" si="75">IFERROR(IF(Ticker&lt;&gt;$Q$2,"",INDEX($P:$P,MATCH($A2374,$O:$O,0))),"")</f>
        <v/>
      </c>
    </row>
    <row r="2375" spans="1:9" ht="13.8">
      <c r="A2375" s="20">
        <f t="shared" ca="1" si="74"/>
        <v>44713</v>
      </c>
      <c r="B2375" s="21" t="str">
        <f ca="1"/>
        <v>2022-06-01</v>
      </c>
      <c r="C2375" s="22">
        <f ca="1"/>
        <v>275.20001200000002</v>
      </c>
      <c r="D2375" s="22">
        <f ca="1"/>
        <v>277.69000199999999</v>
      </c>
      <c r="E2375" s="22">
        <f ca="1"/>
        <v>270.040009</v>
      </c>
      <c r="F2375" s="22">
        <f ca="1"/>
        <v>272.42001299999998</v>
      </c>
      <c r="G2375" s="22">
        <f ca="1"/>
        <v>271.07904100000002</v>
      </c>
      <c r="H2375" s="69">
        <f ca="1"/>
        <v>25292200</v>
      </c>
      <c r="I2375" s="23" t="str">
        <f t="shared" ca="1" si="75"/>
        <v/>
      </c>
    </row>
    <row r="2376" spans="1:9" ht="13.8">
      <c r="A2376" s="20">
        <f t="shared" ca="1" si="74"/>
        <v>44714</v>
      </c>
      <c r="B2376" s="21" t="str">
        <f ca="1"/>
        <v>2022-06-02</v>
      </c>
      <c r="C2376" s="22">
        <f ca="1"/>
        <v>264.45001200000002</v>
      </c>
      <c r="D2376" s="22">
        <f ca="1"/>
        <v>274.64999399999999</v>
      </c>
      <c r="E2376" s="22">
        <f ca="1"/>
        <v>261.60000600000001</v>
      </c>
      <c r="F2376" s="22">
        <f ca="1"/>
        <v>274.57998700000002</v>
      </c>
      <c r="G2376" s="22">
        <f ca="1"/>
        <v>273.22839399999998</v>
      </c>
      <c r="H2376" s="69">
        <f ca="1"/>
        <v>44008200</v>
      </c>
      <c r="I2376" s="23" t="str">
        <f t="shared" ca="1" si="75"/>
        <v/>
      </c>
    </row>
    <row r="2377" spans="1:9" ht="13.8">
      <c r="A2377" s="20">
        <f t="shared" ca="1" si="74"/>
        <v>44715</v>
      </c>
      <c r="B2377" s="21" t="str">
        <f ca="1"/>
        <v>2022-06-03</v>
      </c>
      <c r="C2377" s="22">
        <f ca="1"/>
        <v>270.30999800000001</v>
      </c>
      <c r="D2377" s="22">
        <f ca="1"/>
        <v>273.45001200000002</v>
      </c>
      <c r="E2377" s="22">
        <f ca="1"/>
        <v>268.41000400000001</v>
      </c>
      <c r="F2377" s="22">
        <f ca="1"/>
        <v>270.01998900000001</v>
      </c>
      <c r="G2377" s="22">
        <f ca="1"/>
        <v>268.69085699999999</v>
      </c>
      <c r="H2377" s="69">
        <f ca="1"/>
        <v>28059000</v>
      </c>
      <c r="I2377" s="23" t="str">
        <f t="shared" ca="1" si="75"/>
        <v/>
      </c>
    </row>
    <row r="2378" spans="1:9" ht="13.8">
      <c r="A2378" s="20">
        <f t="shared" ca="1" si="74"/>
        <v>44718</v>
      </c>
      <c r="B2378" s="21" t="str">
        <f ca="1"/>
        <v>2022-06-06</v>
      </c>
      <c r="C2378" s="22">
        <f ca="1"/>
        <v>272.05999800000001</v>
      </c>
      <c r="D2378" s="22">
        <f ca="1"/>
        <v>274.17999300000002</v>
      </c>
      <c r="E2378" s="22">
        <f ca="1"/>
        <v>267.22000100000002</v>
      </c>
      <c r="F2378" s="22">
        <f ca="1"/>
        <v>268.75</v>
      </c>
      <c r="G2378" s="22">
        <f ca="1"/>
        <v>267.42709400000001</v>
      </c>
      <c r="H2378" s="69">
        <f ca="1"/>
        <v>22400300</v>
      </c>
      <c r="I2378" s="23" t="str">
        <f t="shared" ca="1" si="75"/>
        <v/>
      </c>
    </row>
    <row r="2379" spans="1:9" ht="13.8">
      <c r="A2379" s="20">
        <f t="shared" ca="1" si="74"/>
        <v>44719</v>
      </c>
      <c r="B2379" s="21" t="str">
        <f ca="1"/>
        <v>2022-06-07</v>
      </c>
      <c r="C2379" s="22">
        <f ca="1"/>
        <v>266.64001500000001</v>
      </c>
      <c r="D2379" s="22">
        <f ca="1"/>
        <v>273.13000499999998</v>
      </c>
      <c r="E2379" s="22">
        <f ca="1"/>
        <v>265.94000199999999</v>
      </c>
      <c r="F2379" s="22">
        <f ca="1"/>
        <v>272.5</v>
      </c>
      <c r="G2379" s="22">
        <f ca="1"/>
        <v>271.158661</v>
      </c>
      <c r="H2379" s="69">
        <f ca="1"/>
        <v>22860700</v>
      </c>
      <c r="I2379" s="23" t="str">
        <f t="shared" ca="1" si="75"/>
        <v/>
      </c>
    </row>
    <row r="2380" spans="1:9" ht="13.8">
      <c r="A2380" s="20">
        <f t="shared" ca="1" si="74"/>
        <v>44720</v>
      </c>
      <c r="B2380" s="21" t="str">
        <f ca="1"/>
        <v>2022-06-08</v>
      </c>
      <c r="C2380" s="22">
        <f ca="1"/>
        <v>271.709991</v>
      </c>
      <c r="D2380" s="22">
        <f ca="1"/>
        <v>273</v>
      </c>
      <c r="E2380" s="22">
        <f ca="1"/>
        <v>269.60998499999999</v>
      </c>
      <c r="F2380" s="22">
        <f ca="1"/>
        <v>270.41000400000001</v>
      </c>
      <c r="G2380" s="22">
        <f ca="1"/>
        <v>269.07894900000002</v>
      </c>
      <c r="H2380" s="69">
        <f ca="1"/>
        <v>17372300</v>
      </c>
      <c r="I2380" s="23" t="str">
        <f t="shared" ca="1" si="75"/>
        <v/>
      </c>
    </row>
    <row r="2381" spans="1:9" ht="13.8">
      <c r="A2381" s="20">
        <f t="shared" ca="1" si="74"/>
        <v>44721</v>
      </c>
      <c r="B2381" s="21" t="str">
        <f ca="1"/>
        <v>2022-06-09</v>
      </c>
      <c r="C2381" s="22">
        <f ca="1"/>
        <v>267.77999899999998</v>
      </c>
      <c r="D2381" s="22">
        <f ca="1"/>
        <v>272.709991</v>
      </c>
      <c r="E2381" s="22">
        <f ca="1"/>
        <v>264.63000499999998</v>
      </c>
      <c r="F2381" s="22">
        <f ca="1"/>
        <v>264.790009</v>
      </c>
      <c r="G2381" s="22">
        <f ca="1"/>
        <v>263.486603</v>
      </c>
      <c r="H2381" s="69">
        <f ca="1"/>
        <v>26439700</v>
      </c>
      <c r="I2381" s="23" t="str">
        <f t="shared" ca="1" si="75"/>
        <v/>
      </c>
    </row>
    <row r="2382" spans="1:9" ht="13.8">
      <c r="A2382" s="20">
        <f t="shared" ca="1" si="74"/>
        <v>44722</v>
      </c>
      <c r="B2382" s="21" t="str">
        <f ca="1"/>
        <v>2022-06-10</v>
      </c>
      <c r="C2382" s="22">
        <f ca="1"/>
        <v>260.57998700000002</v>
      </c>
      <c r="D2382" s="22">
        <f ca="1"/>
        <v>260.57998700000002</v>
      </c>
      <c r="E2382" s="22">
        <f ca="1"/>
        <v>252.529999</v>
      </c>
      <c r="F2382" s="22">
        <f ca="1"/>
        <v>252.990005</v>
      </c>
      <c r="G2382" s="22">
        <f ca="1"/>
        <v>251.74468999999999</v>
      </c>
      <c r="H2382" s="69">
        <f ca="1"/>
        <v>31422800</v>
      </c>
      <c r="I2382" s="23" t="str">
        <f t="shared" ca="1" si="75"/>
        <v/>
      </c>
    </row>
    <row r="2383" spans="1:9" ht="13.8">
      <c r="A2383" s="20">
        <f t="shared" ca="1" si="74"/>
        <v>44725</v>
      </c>
      <c r="B2383" s="21" t="str">
        <f ca="1"/>
        <v>2022-06-13</v>
      </c>
      <c r="C2383" s="22">
        <f ca="1"/>
        <v>245.11000100000001</v>
      </c>
      <c r="D2383" s="22">
        <f ca="1"/>
        <v>249.020004</v>
      </c>
      <c r="E2383" s="22">
        <f ca="1"/>
        <v>241.529999</v>
      </c>
      <c r="F2383" s="22">
        <f ca="1"/>
        <v>242.259995</v>
      </c>
      <c r="G2383" s="22">
        <f ca="1"/>
        <v>241.06748999999999</v>
      </c>
      <c r="H2383" s="69">
        <f ca="1"/>
        <v>46135800</v>
      </c>
      <c r="I2383" s="23" t="str">
        <f t="shared" ca="1" si="75"/>
        <v/>
      </c>
    </row>
    <row r="2384" spans="1:9" ht="13.8">
      <c r="A2384" s="20">
        <f t="shared" ca="1" si="74"/>
        <v>44726</v>
      </c>
      <c r="B2384" s="21" t="str">
        <f ca="1"/>
        <v>2022-06-14</v>
      </c>
      <c r="C2384" s="22">
        <f ca="1"/>
        <v>243.86000100000001</v>
      </c>
      <c r="D2384" s="22">
        <f ca="1"/>
        <v>245.740005</v>
      </c>
      <c r="E2384" s="22">
        <f ca="1"/>
        <v>241.509995</v>
      </c>
      <c r="F2384" s="22">
        <f ca="1"/>
        <v>244.490005</v>
      </c>
      <c r="G2384" s="22">
        <f ca="1"/>
        <v>243.28653</v>
      </c>
      <c r="H2384" s="69">
        <f ca="1"/>
        <v>28651500</v>
      </c>
      <c r="I2384" s="23" t="str">
        <f t="shared" ca="1" si="75"/>
        <v/>
      </c>
    </row>
    <row r="2385" spans="1:9" ht="13.8">
      <c r="A2385" s="20">
        <f t="shared" ca="1" si="74"/>
        <v>44727</v>
      </c>
      <c r="B2385" s="21" t="str">
        <f ca="1"/>
        <v>2022-06-15</v>
      </c>
      <c r="C2385" s="22">
        <f ca="1"/>
        <v>248.30999800000001</v>
      </c>
      <c r="D2385" s="22">
        <f ca="1"/>
        <v>255.300003</v>
      </c>
      <c r="E2385" s="22">
        <f ca="1"/>
        <v>246.41999799999999</v>
      </c>
      <c r="F2385" s="22">
        <f ca="1"/>
        <v>251.759995</v>
      </c>
      <c r="G2385" s="22">
        <f ca="1"/>
        <v>250.520737</v>
      </c>
      <c r="H2385" s="69">
        <f ca="1"/>
        <v>33111700</v>
      </c>
      <c r="I2385" s="23" t="str">
        <f t="shared" ca="1" si="75"/>
        <v/>
      </c>
    </row>
    <row r="2386" spans="1:9" ht="13.8">
      <c r="A2386" s="20">
        <f t="shared" ca="1" si="74"/>
        <v>44728</v>
      </c>
      <c r="B2386" s="21" t="str">
        <f ca="1"/>
        <v>2022-06-16</v>
      </c>
      <c r="C2386" s="22">
        <f ca="1"/>
        <v>245.979996</v>
      </c>
      <c r="D2386" s="22">
        <f ca="1"/>
        <v>247.41999799999999</v>
      </c>
      <c r="E2386" s="22">
        <f ca="1"/>
        <v>243.020004</v>
      </c>
      <c r="F2386" s="22">
        <f ca="1"/>
        <v>244.970001</v>
      </c>
      <c r="G2386" s="22">
        <f ca="1"/>
        <v>243.76416</v>
      </c>
      <c r="H2386" s="69">
        <f ca="1"/>
        <v>33169200</v>
      </c>
      <c r="I2386" s="23" t="str">
        <f t="shared" ca="1" si="75"/>
        <v/>
      </c>
    </row>
    <row r="2387" spans="1:9" ht="13.8">
      <c r="A2387" s="20">
        <f t="shared" ca="1" si="74"/>
        <v>44729</v>
      </c>
      <c r="B2387" s="21" t="str">
        <f ca="1"/>
        <v>2022-06-17</v>
      </c>
      <c r="C2387" s="22">
        <f ca="1"/>
        <v>244.699997</v>
      </c>
      <c r="D2387" s="22">
        <f ca="1"/>
        <v>250.5</v>
      </c>
      <c r="E2387" s="22">
        <f ca="1"/>
        <v>244.029999</v>
      </c>
      <c r="F2387" s="22">
        <f ca="1"/>
        <v>247.64999399999999</v>
      </c>
      <c r="G2387" s="22">
        <f ca="1"/>
        <v>246.43095400000001</v>
      </c>
      <c r="H2387" s="69">
        <f ca="1"/>
        <v>43084800</v>
      </c>
      <c r="I2387" s="23" t="str">
        <f t="shared" ca="1" si="75"/>
        <v/>
      </c>
    </row>
    <row r="2388" spans="1:9" ht="13.8">
      <c r="A2388" s="20">
        <f t="shared" ca="1" si="74"/>
        <v>44733</v>
      </c>
      <c r="B2388" s="21" t="str">
        <f ca="1"/>
        <v>2022-06-21</v>
      </c>
      <c r="C2388" s="22">
        <f ca="1"/>
        <v>250.259995</v>
      </c>
      <c r="D2388" s="22">
        <f ca="1"/>
        <v>254.75</v>
      </c>
      <c r="E2388" s="22">
        <f ca="1"/>
        <v>249.509995</v>
      </c>
      <c r="F2388" s="22">
        <f ca="1"/>
        <v>253.740005</v>
      </c>
      <c r="G2388" s="22">
        <f ca="1"/>
        <v>252.49099699999999</v>
      </c>
      <c r="H2388" s="69">
        <f ca="1"/>
        <v>29928300</v>
      </c>
      <c r="I2388" s="23" t="str">
        <f t="shared" ca="1" si="75"/>
        <v/>
      </c>
    </row>
    <row r="2389" spans="1:9" ht="13.8">
      <c r="A2389" s="20">
        <f t="shared" ca="1" si="74"/>
        <v>44734</v>
      </c>
      <c r="B2389" s="21" t="str">
        <f ca="1"/>
        <v>2022-06-22</v>
      </c>
      <c r="C2389" s="22">
        <f ca="1"/>
        <v>251.88999899999999</v>
      </c>
      <c r="D2389" s="22">
        <f ca="1"/>
        <v>257.17001299999998</v>
      </c>
      <c r="E2389" s="22">
        <f ca="1"/>
        <v>250.36999499999999</v>
      </c>
      <c r="F2389" s="22">
        <f ca="1"/>
        <v>253.13000500000001</v>
      </c>
      <c r="G2389" s="22">
        <f ca="1"/>
        <v>251.88398699999999</v>
      </c>
      <c r="H2389" s="69">
        <f ca="1"/>
        <v>25939900</v>
      </c>
      <c r="I2389" s="23" t="str">
        <f t="shared" ca="1" si="75"/>
        <v/>
      </c>
    </row>
    <row r="2390" spans="1:9" ht="13.8">
      <c r="A2390" s="20">
        <f t="shared" ca="1" si="74"/>
        <v>44735</v>
      </c>
      <c r="B2390" s="21" t="str">
        <f ca="1"/>
        <v>2022-06-23</v>
      </c>
      <c r="C2390" s="22">
        <f ca="1"/>
        <v>255.570007</v>
      </c>
      <c r="D2390" s="22">
        <f ca="1"/>
        <v>259.36999500000002</v>
      </c>
      <c r="E2390" s="22">
        <f ca="1"/>
        <v>253.63000500000001</v>
      </c>
      <c r="F2390" s="22">
        <f ca="1"/>
        <v>258.85998499999999</v>
      </c>
      <c r="G2390" s="22">
        <f ca="1"/>
        <v>257.58575400000001</v>
      </c>
      <c r="H2390" s="69">
        <f ca="1"/>
        <v>25861400</v>
      </c>
      <c r="I2390" s="23" t="str">
        <f t="shared" ca="1" si="75"/>
        <v/>
      </c>
    </row>
    <row r="2391" spans="1:9" ht="13.8">
      <c r="A2391" s="20">
        <f t="shared" ca="1" si="74"/>
        <v>44736</v>
      </c>
      <c r="B2391" s="21" t="str">
        <f ca="1"/>
        <v>2022-06-24</v>
      </c>
      <c r="C2391" s="22">
        <f ca="1"/>
        <v>261.80999800000001</v>
      </c>
      <c r="D2391" s="22">
        <f ca="1"/>
        <v>267.98001099999999</v>
      </c>
      <c r="E2391" s="22">
        <f ca="1"/>
        <v>261.72000100000002</v>
      </c>
      <c r="F2391" s="22">
        <f ca="1"/>
        <v>267.70001200000002</v>
      </c>
      <c r="G2391" s="22">
        <f ca="1"/>
        <v>266.382294</v>
      </c>
      <c r="H2391" s="69">
        <f ca="1"/>
        <v>33923200</v>
      </c>
      <c r="I2391" s="23" t="str">
        <f t="shared" ca="1" si="75"/>
        <v/>
      </c>
    </row>
    <row r="2392" spans="1:9" ht="13.8">
      <c r="A2392" s="20">
        <f t="shared" ca="1" si="74"/>
        <v>44739</v>
      </c>
      <c r="B2392" s="21" t="str">
        <f ca="1"/>
        <v>2022-06-27</v>
      </c>
      <c r="C2392" s="22">
        <f ca="1"/>
        <v>268.209991</v>
      </c>
      <c r="D2392" s="22">
        <f ca="1"/>
        <v>268.29998799999998</v>
      </c>
      <c r="E2392" s="22">
        <f ca="1"/>
        <v>263.27999899999998</v>
      </c>
      <c r="F2392" s="22">
        <f ca="1"/>
        <v>264.89001500000001</v>
      </c>
      <c r="G2392" s="22">
        <f ca="1"/>
        <v>263.58612099999999</v>
      </c>
      <c r="H2392" s="69">
        <f ca="1"/>
        <v>24615100</v>
      </c>
      <c r="I2392" s="23" t="str">
        <f t="shared" ca="1" si="75"/>
        <v/>
      </c>
    </row>
    <row r="2393" spans="1:9" ht="13.8">
      <c r="A2393" s="20">
        <f t="shared" ca="1" si="74"/>
        <v>44740</v>
      </c>
      <c r="B2393" s="21" t="str">
        <f ca="1"/>
        <v>2022-06-28</v>
      </c>
      <c r="C2393" s="22">
        <f ca="1"/>
        <v>263.98001099999999</v>
      </c>
      <c r="D2393" s="22">
        <f ca="1"/>
        <v>266.91000400000001</v>
      </c>
      <c r="E2393" s="22">
        <f ca="1"/>
        <v>256.32000699999998</v>
      </c>
      <c r="F2393" s="22">
        <f ca="1"/>
        <v>256.48001099999999</v>
      </c>
      <c r="G2393" s="22">
        <f ca="1"/>
        <v>255.21751399999999</v>
      </c>
      <c r="H2393" s="69">
        <f ca="1"/>
        <v>27295500</v>
      </c>
      <c r="I2393" s="23" t="str">
        <f t="shared" ca="1" si="75"/>
        <v/>
      </c>
    </row>
    <row r="2394" spans="1:9" ht="13.8">
      <c r="A2394" s="20">
        <f t="shared" ca="1" si="74"/>
        <v>44741</v>
      </c>
      <c r="B2394" s="21" t="str">
        <f ca="1"/>
        <v>2022-06-29</v>
      </c>
      <c r="C2394" s="22">
        <f ca="1"/>
        <v>257.58999599999999</v>
      </c>
      <c r="D2394" s="22">
        <f ca="1"/>
        <v>261.97000100000002</v>
      </c>
      <c r="E2394" s="22">
        <f ca="1"/>
        <v>255.759995</v>
      </c>
      <c r="F2394" s="22">
        <f ca="1"/>
        <v>260.26001000000002</v>
      </c>
      <c r="G2394" s="22">
        <f ca="1"/>
        <v>258.978882</v>
      </c>
      <c r="H2394" s="69">
        <f ca="1"/>
        <v>20069800</v>
      </c>
      <c r="I2394" s="23" t="str">
        <f t="shared" ca="1" si="75"/>
        <v/>
      </c>
    </row>
    <row r="2395" spans="1:9" ht="13.8">
      <c r="A2395" s="20">
        <f t="shared" ca="1" si="74"/>
        <v>44742</v>
      </c>
      <c r="B2395" s="21" t="str">
        <f ca="1"/>
        <v>2022-06-30</v>
      </c>
      <c r="C2395" s="22">
        <f ca="1"/>
        <v>257.04998799999998</v>
      </c>
      <c r="D2395" s="22">
        <f ca="1"/>
        <v>259.52999899999998</v>
      </c>
      <c r="E2395" s="22">
        <f ca="1"/>
        <v>252.89999399999999</v>
      </c>
      <c r="F2395" s="22">
        <f ca="1"/>
        <v>256.82998700000002</v>
      </c>
      <c r="G2395" s="22">
        <f ca="1"/>
        <v>255.56575000000001</v>
      </c>
      <c r="H2395" s="69">
        <f ca="1"/>
        <v>31730900</v>
      </c>
      <c r="I2395" s="23" t="str">
        <f t="shared" ca="1" si="75"/>
        <v/>
      </c>
    </row>
    <row r="2396" spans="1:9" ht="13.8">
      <c r="A2396" s="20">
        <f t="shared" ca="1" si="74"/>
        <v>44743</v>
      </c>
      <c r="B2396" s="21" t="str">
        <f ca="1"/>
        <v>2022-07-01</v>
      </c>
      <c r="C2396" s="22">
        <f ca="1"/>
        <v>256.39001500000001</v>
      </c>
      <c r="D2396" s="22">
        <f ca="1"/>
        <v>259.76998900000001</v>
      </c>
      <c r="E2396" s="22">
        <f ca="1"/>
        <v>254.61000100000001</v>
      </c>
      <c r="F2396" s="22">
        <f ca="1"/>
        <v>259.57998700000002</v>
      </c>
      <c r="G2396" s="22">
        <f ca="1"/>
        <v>258.30224600000003</v>
      </c>
      <c r="H2396" s="69">
        <f ca="1"/>
        <v>22837700</v>
      </c>
      <c r="I2396" s="23" t="str">
        <f t="shared" ca="1" si="75"/>
        <v/>
      </c>
    </row>
    <row r="2397" spans="1:9" ht="13.8">
      <c r="A2397" s="20">
        <f t="shared" ca="1" si="74"/>
        <v>44747</v>
      </c>
      <c r="B2397" s="21" t="str">
        <f ca="1"/>
        <v>2022-07-05</v>
      </c>
      <c r="C2397" s="22">
        <f ca="1"/>
        <v>256.16000400000001</v>
      </c>
      <c r="D2397" s="22">
        <f ca="1"/>
        <v>262.98001099999999</v>
      </c>
      <c r="E2397" s="22">
        <f ca="1"/>
        <v>254.740005</v>
      </c>
      <c r="F2397" s="22">
        <f ca="1"/>
        <v>262.85000600000001</v>
      </c>
      <c r="G2397" s="22">
        <f ca="1"/>
        <v>261.556152</v>
      </c>
      <c r="H2397" s="69">
        <f ca="1"/>
        <v>22941000</v>
      </c>
      <c r="I2397" s="23" t="str">
        <f t="shared" ca="1" si="75"/>
        <v/>
      </c>
    </row>
    <row r="2398" spans="1:9" ht="13.8">
      <c r="A2398" s="20">
        <f t="shared" ca="1" si="74"/>
        <v>44748</v>
      </c>
      <c r="B2398" s="21" t="str">
        <f ca="1"/>
        <v>2022-07-06</v>
      </c>
      <c r="C2398" s="22">
        <f ca="1"/>
        <v>263.75</v>
      </c>
      <c r="D2398" s="22">
        <f ca="1"/>
        <v>267.98998999999998</v>
      </c>
      <c r="E2398" s="22">
        <f ca="1"/>
        <v>262.39999399999999</v>
      </c>
      <c r="F2398" s="22">
        <f ca="1"/>
        <v>266.209991</v>
      </c>
      <c r="G2398" s="22">
        <f ca="1"/>
        <v>264.89959700000003</v>
      </c>
      <c r="H2398" s="69">
        <f ca="1"/>
        <v>23824400</v>
      </c>
      <c r="I2398" s="23" t="str">
        <f t="shared" ca="1" si="75"/>
        <v/>
      </c>
    </row>
    <row r="2399" spans="1:9" ht="13.8">
      <c r="A2399" s="20">
        <f t="shared" ca="1" si="74"/>
        <v>44749</v>
      </c>
      <c r="B2399" s="21" t="str">
        <f ca="1"/>
        <v>2022-07-07</v>
      </c>
      <c r="C2399" s="22">
        <f ca="1"/>
        <v>265.11999500000002</v>
      </c>
      <c r="D2399" s="22">
        <f ca="1"/>
        <v>269.05999800000001</v>
      </c>
      <c r="E2399" s="22">
        <f ca="1"/>
        <v>265.01998900000001</v>
      </c>
      <c r="F2399" s="22">
        <f ca="1"/>
        <v>268.39999399999999</v>
      </c>
      <c r="G2399" s="22">
        <f ca="1"/>
        <v>267.07879600000001</v>
      </c>
      <c r="H2399" s="69">
        <f ca="1"/>
        <v>20859900</v>
      </c>
      <c r="I2399" s="23" t="str">
        <f t="shared" ca="1" si="75"/>
        <v/>
      </c>
    </row>
    <row r="2400" spans="1:9" ht="13.8">
      <c r="A2400" s="20">
        <f t="shared" ca="1" si="74"/>
        <v>44750</v>
      </c>
      <c r="B2400" s="21" t="str">
        <f ca="1"/>
        <v>2022-07-08</v>
      </c>
      <c r="C2400" s="22">
        <f ca="1"/>
        <v>264.790009</v>
      </c>
      <c r="D2400" s="22">
        <f ca="1"/>
        <v>268.10000600000001</v>
      </c>
      <c r="E2400" s="22">
        <f ca="1"/>
        <v>263.290009</v>
      </c>
      <c r="F2400" s="22">
        <f ca="1"/>
        <v>267.66000400000001</v>
      </c>
      <c r="G2400" s="22">
        <f ca="1"/>
        <v>266.342468</v>
      </c>
      <c r="H2400" s="69">
        <f ca="1"/>
        <v>19658800</v>
      </c>
      <c r="I2400" s="23" t="str">
        <f t="shared" ca="1" si="75"/>
        <v/>
      </c>
    </row>
    <row r="2401" spans="1:9" ht="13.8">
      <c r="A2401" s="20">
        <f t="shared" ca="1" si="74"/>
        <v>44753</v>
      </c>
      <c r="B2401" s="21" t="str">
        <f ca="1"/>
        <v>2022-07-11</v>
      </c>
      <c r="C2401" s="22">
        <f ca="1"/>
        <v>265.64999399999999</v>
      </c>
      <c r="D2401" s="22">
        <f ca="1"/>
        <v>266.52999899999998</v>
      </c>
      <c r="E2401" s="22">
        <f ca="1"/>
        <v>262.17999300000002</v>
      </c>
      <c r="F2401" s="22">
        <f ca="1"/>
        <v>264.51001000000002</v>
      </c>
      <c r="G2401" s="22">
        <f ca="1"/>
        <v>263.20797700000003</v>
      </c>
      <c r="H2401" s="69">
        <f ca="1"/>
        <v>19455200</v>
      </c>
      <c r="I2401" s="23" t="str">
        <f t="shared" ca="1" si="75"/>
        <v/>
      </c>
    </row>
    <row r="2402" spans="1:9" ht="13.8">
      <c r="A2402" s="20">
        <f t="shared" ca="1" si="74"/>
        <v>44754</v>
      </c>
      <c r="B2402" s="21" t="str">
        <f ca="1"/>
        <v>2022-07-12</v>
      </c>
      <c r="C2402" s="22">
        <f ca="1"/>
        <v>265.88000499999998</v>
      </c>
      <c r="D2402" s="22">
        <f ca="1"/>
        <v>265.94000199999999</v>
      </c>
      <c r="E2402" s="22">
        <f ca="1"/>
        <v>252.03999300000001</v>
      </c>
      <c r="F2402" s="22">
        <f ca="1"/>
        <v>253.66999799999999</v>
      </c>
      <c r="G2402" s="22">
        <f ca="1"/>
        <v>252.42132599999999</v>
      </c>
      <c r="H2402" s="69">
        <f ca="1"/>
        <v>35868500</v>
      </c>
      <c r="I2402" s="23" t="str">
        <f t="shared" ca="1" si="75"/>
        <v/>
      </c>
    </row>
    <row r="2403" spans="1:9" ht="13.8">
      <c r="A2403" s="20">
        <f t="shared" ca="1" si="74"/>
        <v>44755</v>
      </c>
      <c r="B2403" s="21" t="str">
        <f ca="1"/>
        <v>2022-07-13</v>
      </c>
      <c r="C2403" s="22">
        <f ca="1"/>
        <v>250.19000199999999</v>
      </c>
      <c r="D2403" s="22">
        <f ca="1"/>
        <v>253.550003</v>
      </c>
      <c r="E2403" s="22">
        <f ca="1"/>
        <v>248.11000100000001</v>
      </c>
      <c r="F2403" s="22">
        <f ca="1"/>
        <v>252.720001</v>
      </c>
      <c r="G2403" s="22">
        <f ca="1"/>
        <v>251.47601299999999</v>
      </c>
      <c r="H2403" s="69">
        <f ca="1"/>
        <v>29497400</v>
      </c>
      <c r="I2403" s="23" t="str">
        <f t="shared" ca="1" si="75"/>
        <v/>
      </c>
    </row>
    <row r="2404" spans="1:9" ht="13.8">
      <c r="A2404" s="20">
        <f t="shared" ca="1" si="74"/>
        <v>44756</v>
      </c>
      <c r="B2404" s="21" t="str">
        <f ca="1"/>
        <v>2022-07-14</v>
      </c>
      <c r="C2404" s="22">
        <f ca="1"/>
        <v>250.570007</v>
      </c>
      <c r="D2404" s="22">
        <f ca="1"/>
        <v>255.13999899999999</v>
      </c>
      <c r="E2404" s="22">
        <f ca="1"/>
        <v>245.94000199999999</v>
      </c>
      <c r="F2404" s="22">
        <f ca="1"/>
        <v>254.08000200000001</v>
      </c>
      <c r="G2404" s="22">
        <f ca="1"/>
        <v>252.82933</v>
      </c>
      <c r="H2404" s="69">
        <f ca="1"/>
        <v>25102800</v>
      </c>
      <c r="I2404" s="23" t="str">
        <f t="shared" ca="1" si="75"/>
        <v/>
      </c>
    </row>
    <row r="2405" spans="1:9" ht="13.8">
      <c r="A2405" s="20">
        <f t="shared" ca="1" si="74"/>
        <v>44757</v>
      </c>
      <c r="B2405" s="21" t="str">
        <f ca="1"/>
        <v>2022-07-15</v>
      </c>
      <c r="C2405" s="22">
        <f ca="1"/>
        <v>255.720001</v>
      </c>
      <c r="D2405" s="22">
        <f ca="1"/>
        <v>260.36999500000002</v>
      </c>
      <c r="E2405" s="22">
        <f ca="1"/>
        <v>254.770004</v>
      </c>
      <c r="F2405" s="22">
        <f ca="1"/>
        <v>256.72000100000002</v>
      </c>
      <c r="G2405" s="22">
        <f ca="1"/>
        <v>255.45632900000001</v>
      </c>
      <c r="H2405" s="69">
        <f ca="1"/>
        <v>29774100</v>
      </c>
      <c r="I2405" s="23" t="str">
        <f t="shared" ca="1" si="75"/>
        <v/>
      </c>
    </row>
    <row r="2406" spans="1:9" ht="13.8">
      <c r="A2406" s="20">
        <f t="shared" ca="1" si="74"/>
        <v>44760</v>
      </c>
      <c r="B2406" s="21" t="str">
        <f ca="1"/>
        <v>2022-07-18</v>
      </c>
      <c r="C2406" s="22">
        <f ca="1"/>
        <v>259.75</v>
      </c>
      <c r="D2406" s="22">
        <f ca="1"/>
        <v>260.83999599999999</v>
      </c>
      <c r="E2406" s="22">
        <f ca="1"/>
        <v>253.300003</v>
      </c>
      <c r="F2406" s="22">
        <f ca="1"/>
        <v>254.25</v>
      </c>
      <c r="G2406" s="22">
        <f ca="1"/>
        <v>252.99847399999999</v>
      </c>
      <c r="H2406" s="69">
        <f ca="1"/>
        <v>20975000</v>
      </c>
      <c r="I2406" s="23" t="str">
        <f t="shared" ca="1" si="75"/>
        <v/>
      </c>
    </row>
    <row r="2407" spans="1:9" ht="13.8">
      <c r="A2407" s="20">
        <f t="shared" ca="1" si="74"/>
        <v>44761</v>
      </c>
      <c r="B2407" s="21" t="str">
        <f ca="1"/>
        <v>2022-07-19</v>
      </c>
      <c r="C2407" s="22">
        <f ca="1"/>
        <v>257.57998700000002</v>
      </c>
      <c r="D2407" s="22">
        <f ca="1"/>
        <v>259.72000100000002</v>
      </c>
      <c r="E2407" s="22">
        <f ca="1"/>
        <v>253.679993</v>
      </c>
      <c r="F2407" s="22">
        <f ca="1"/>
        <v>259.52999899999998</v>
      </c>
      <c r="G2407" s="22">
        <f ca="1"/>
        <v>258.25250199999999</v>
      </c>
      <c r="H2407" s="69">
        <f ca="1"/>
        <v>25012600</v>
      </c>
      <c r="I2407" s="23" t="str">
        <f t="shared" ca="1" si="75"/>
        <v/>
      </c>
    </row>
    <row r="2408" spans="1:9" ht="13.8">
      <c r="A2408" s="20">
        <f t="shared" ca="1" si="74"/>
        <v>44762</v>
      </c>
      <c r="B2408" s="21" t="str">
        <f ca="1"/>
        <v>2022-07-20</v>
      </c>
      <c r="C2408" s="22">
        <f ca="1"/>
        <v>259.89999399999999</v>
      </c>
      <c r="D2408" s="22">
        <f ca="1"/>
        <v>264.86999500000002</v>
      </c>
      <c r="E2408" s="22">
        <f ca="1"/>
        <v>258.91000400000001</v>
      </c>
      <c r="F2408" s="22">
        <f ca="1"/>
        <v>262.26998900000001</v>
      </c>
      <c r="G2408" s="22">
        <f ca="1"/>
        <v>260.97900399999997</v>
      </c>
      <c r="H2408" s="69">
        <f ca="1"/>
        <v>22788300</v>
      </c>
      <c r="I2408" s="23" t="str">
        <f t="shared" ca="1" si="75"/>
        <v/>
      </c>
    </row>
    <row r="2409" spans="1:9" ht="13.8">
      <c r="A2409" s="20">
        <f t="shared" ca="1" si="74"/>
        <v>44763</v>
      </c>
      <c r="B2409" s="21" t="str">
        <f ca="1"/>
        <v>2022-07-21</v>
      </c>
      <c r="C2409" s="22">
        <f ca="1"/>
        <v>259.790009</v>
      </c>
      <c r="D2409" s="22">
        <f ca="1"/>
        <v>264.89001500000001</v>
      </c>
      <c r="E2409" s="22">
        <f ca="1"/>
        <v>257.02999899999998</v>
      </c>
      <c r="F2409" s="22">
        <f ca="1"/>
        <v>264.83999599999999</v>
      </c>
      <c r="G2409" s="22">
        <f ca="1"/>
        <v>263.53634599999998</v>
      </c>
      <c r="H2409" s="69">
        <f ca="1"/>
        <v>22404700</v>
      </c>
      <c r="I2409" s="23" t="str">
        <f t="shared" ca="1" si="75"/>
        <v/>
      </c>
    </row>
    <row r="2410" spans="1:9" ht="13.8">
      <c r="A2410" s="20">
        <f t="shared" ca="1" si="74"/>
        <v>44764</v>
      </c>
      <c r="B2410" s="21" t="str">
        <f ca="1"/>
        <v>2022-07-22</v>
      </c>
      <c r="C2410" s="22">
        <f ca="1"/>
        <v>265.23998999999998</v>
      </c>
      <c r="D2410" s="22">
        <f ca="1"/>
        <v>265.32998700000002</v>
      </c>
      <c r="E2410" s="22">
        <f ca="1"/>
        <v>259.07000699999998</v>
      </c>
      <c r="F2410" s="22">
        <f ca="1"/>
        <v>260.35998499999999</v>
      </c>
      <c r="G2410" s="22">
        <f ca="1"/>
        <v>259.07836900000001</v>
      </c>
      <c r="H2410" s="69">
        <f ca="1"/>
        <v>21881300</v>
      </c>
      <c r="I2410" s="23" t="str">
        <f t="shared" ca="1" si="75"/>
        <v/>
      </c>
    </row>
    <row r="2411" spans="1:9" ht="13.8">
      <c r="A2411" s="20">
        <f t="shared" ca="1" si="74"/>
        <v>44767</v>
      </c>
      <c r="B2411" s="21" t="str">
        <f ca="1"/>
        <v>2022-07-25</v>
      </c>
      <c r="C2411" s="22">
        <f ca="1"/>
        <v>261</v>
      </c>
      <c r="D2411" s="22">
        <f ca="1"/>
        <v>261.5</v>
      </c>
      <c r="E2411" s="22">
        <f ca="1"/>
        <v>256.80999800000001</v>
      </c>
      <c r="F2411" s="22">
        <f ca="1"/>
        <v>258.82998700000002</v>
      </c>
      <c r="G2411" s="22">
        <f ca="1"/>
        <v>257.55593900000002</v>
      </c>
      <c r="H2411" s="69">
        <f ca="1"/>
        <v>21056000</v>
      </c>
      <c r="I2411" s="23" t="str">
        <f t="shared" ca="1" si="75"/>
        <v/>
      </c>
    </row>
    <row r="2412" spans="1:9" ht="13.8">
      <c r="A2412" s="20">
        <f t="shared" ca="1" si="74"/>
        <v>44768</v>
      </c>
      <c r="B2412" s="21" t="str">
        <f ca="1"/>
        <v>2022-07-26</v>
      </c>
      <c r="C2412" s="22">
        <f ca="1"/>
        <v>259.85998499999999</v>
      </c>
      <c r="D2412" s="22">
        <f ca="1"/>
        <v>259.88000499999998</v>
      </c>
      <c r="E2412" s="22">
        <f ca="1"/>
        <v>249.570007</v>
      </c>
      <c r="F2412" s="22">
        <f ca="1"/>
        <v>251.89999399999999</v>
      </c>
      <c r="G2412" s="22">
        <f ca="1"/>
        <v>250.660034</v>
      </c>
      <c r="H2412" s="69">
        <f ca="1"/>
        <v>39348000</v>
      </c>
      <c r="I2412" s="23" t="str">
        <f t="shared" ca="1" si="75"/>
        <v/>
      </c>
    </row>
    <row r="2413" spans="1:9" ht="13.8">
      <c r="A2413" s="20">
        <f t="shared" ca="1" si="74"/>
        <v>44769</v>
      </c>
      <c r="B2413" s="21" t="str">
        <f ca="1"/>
        <v>2022-07-27</v>
      </c>
      <c r="C2413" s="22">
        <f ca="1"/>
        <v>261.16000400000001</v>
      </c>
      <c r="D2413" s="22">
        <f ca="1"/>
        <v>270.04998799999998</v>
      </c>
      <c r="E2413" s="22">
        <f ca="1"/>
        <v>258.85000600000001</v>
      </c>
      <c r="F2413" s="22">
        <f ca="1"/>
        <v>268.73998999999998</v>
      </c>
      <c r="G2413" s="22">
        <f ca="1"/>
        <v>267.417145</v>
      </c>
      <c r="H2413" s="69">
        <f ca="1"/>
        <v>45994000</v>
      </c>
      <c r="I2413" s="23" t="str">
        <f t="shared" ca="1" si="75"/>
        <v/>
      </c>
    </row>
    <row r="2414" spans="1:9" ht="13.8">
      <c r="A2414" s="20">
        <f t="shared" ca="1" si="74"/>
        <v>44770</v>
      </c>
      <c r="B2414" s="21" t="str">
        <f ca="1"/>
        <v>2022-07-28</v>
      </c>
      <c r="C2414" s="22">
        <f ca="1"/>
        <v>269.75</v>
      </c>
      <c r="D2414" s="22">
        <f ca="1"/>
        <v>277.83999599999999</v>
      </c>
      <c r="E2414" s="22">
        <f ca="1"/>
        <v>267.86999500000002</v>
      </c>
      <c r="F2414" s="22">
        <f ca="1"/>
        <v>276.41000400000001</v>
      </c>
      <c r="G2414" s="22">
        <f ca="1"/>
        <v>275.04937699999999</v>
      </c>
      <c r="H2414" s="69">
        <f ca="1"/>
        <v>33459300</v>
      </c>
      <c r="I2414" s="23" t="str">
        <f t="shared" ca="1" si="75"/>
        <v/>
      </c>
    </row>
    <row r="2415" spans="1:9" ht="13.8">
      <c r="A2415" s="20">
        <f t="shared" ca="1" si="74"/>
        <v>44771</v>
      </c>
      <c r="B2415" s="21" t="str">
        <f ca="1"/>
        <v>2022-07-29</v>
      </c>
      <c r="C2415" s="22">
        <f ca="1"/>
        <v>277.70001200000002</v>
      </c>
      <c r="D2415" s="22">
        <f ca="1"/>
        <v>282</v>
      </c>
      <c r="E2415" s="22">
        <f ca="1"/>
        <v>276.63000499999998</v>
      </c>
      <c r="F2415" s="22">
        <f ca="1"/>
        <v>280.73998999999998</v>
      </c>
      <c r="G2415" s="22">
        <f ca="1"/>
        <v>279.358093</v>
      </c>
      <c r="H2415" s="69">
        <f ca="1"/>
        <v>32152800</v>
      </c>
      <c r="I2415" s="23" t="str">
        <f t="shared" ca="1" si="75"/>
        <v/>
      </c>
    </row>
    <row r="2416" spans="1:9" ht="13.8">
      <c r="A2416" s="20">
        <f t="shared" ca="1" si="74"/>
        <v>44774</v>
      </c>
      <c r="B2416" s="21" t="str">
        <f ca="1"/>
        <v>2022-08-01</v>
      </c>
      <c r="C2416" s="22">
        <f ca="1"/>
        <v>277.82000699999998</v>
      </c>
      <c r="D2416" s="22">
        <f ca="1"/>
        <v>281.27999899999998</v>
      </c>
      <c r="E2416" s="22">
        <f ca="1"/>
        <v>275.83999599999999</v>
      </c>
      <c r="F2416" s="22">
        <f ca="1"/>
        <v>278.01001000000002</v>
      </c>
      <c r="G2416" s="22">
        <f ca="1"/>
        <v>276.64150999999998</v>
      </c>
      <c r="H2416" s="69">
        <f ca="1"/>
        <v>21539600</v>
      </c>
      <c r="I2416" s="23" t="str">
        <f t="shared" ca="1" si="75"/>
        <v/>
      </c>
    </row>
    <row r="2417" spans="1:9" ht="13.8">
      <c r="A2417" s="20">
        <f t="shared" ca="1" si="74"/>
        <v>44775</v>
      </c>
      <c r="B2417" s="21" t="str">
        <f ca="1"/>
        <v>2022-08-02</v>
      </c>
      <c r="C2417" s="22">
        <f ca="1"/>
        <v>276</v>
      </c>
      <c r="D2417" s="22">
        <f ca="1"/>
        <v>277.89001500000001</v>
      </c>
      <c r="E2417" s="22">
        <f ca="1"/>
        <v>272.38000499999998</v>
      </c>
      <c r="F2417" s="22">
        <f ca="1"/>
        <v>274.82000699999998</v>
      </c>
      <c r="G2417" s="22">
        <f ca="1"/>
        <v>273.46725500000002</v>
      </c>
      <c r="H2417" s="69">
        <f ca="1"/>
        <v>22754200</v>
      </c>
      <c r="I2417" s="23" t="str">
        <f t="shared" ca="1" si="75"/>
        <v/>
      </c>
    </row>
    <row r="2418" spans="1:9" ht="13.8">
      <c r="A2418" s="20">
        <f t="shared" ca="1" si="74"/>
        <v>44776</v>
      </c>
      <c r="B2418" s="21" t="str">
        <f ca="1"/>
        <v>2022-08-03</v>
      </c>
      <c r="C2418" s="22">
        <f ca="1"/>
        <v>276.76001000000002</v>
      </c>
      <c r="D2418" s="22">
        <f ca="1"/>
        <v>283.5</v>
      </c>
      <c r="E2418" s="22">
        <f ca="1"/>
        <v>276.60998499999999</v>
      </c>
      <c r="F2418" s="22">
        <f ca="1"/>
        <v>282.47000100000002</v>
      </c>
      <c r="G2418" s="22">
        <f ca="1"/>
        <v>281.07959</v>
      </c>
      <c r="H2418" s="69">
        <f ca="1"/>
        <v>23518900</v>
      </c>
      <c r="I2418" s="23" t="str">
        <f t="shared" ca="1" si="75"/>
        <v/>
      </c>
    </row>
    <row r="2419" spans="1:9" ht="13.8">
      <c r="A2419" s="20">
        <f t="shared" ca="1" si="74"/>
        <v>44777</v>
      </c>
      <c r="B2419" s="21" t="str">
        <f ca="1"/>
        <v>2022-08-04</v>
      </c>
      <c r="C2419" s="22">
        <f ca="1"/>
        <v>281.79998799999998</v>
      </c>
      <c r="D2419" s="22">
        <f ca="1"/>
        <v>283.79998799999998</v>
      </c>
      <c r="E2419" s="22">
        <f ca="1"/>
        <v>280.17001299999998</v>
      </c>
      <c r="F2419" s="22">
        <f ca="1"/>
        <v>283.64999399999999</v>
      </c>
      <c r="G2419" s="22">
        <f ca="1"/>
        <v>282.25375400000001</v>
      </c>
      <c r="H2419" s="69">
        <f ca="1"/>
        <v>18098700</v>
      </c>
      <c r="I2419" s="23" t="str">
        <f t="shared" ca="1" si="75"/>
        <v/>
      </c>
    </row>
    <row r="2420" spans="1:9" ht="13.8">
      <c r="A2420" s="20">
        <f t="shared" ca="1" si="74"/>
        <v>44778</v>
      </c>
      <c r="B2420" s="21" t="str">
        <f ca="1"/>
        <v>2022-08-05</v>
      </c>
      <c r="C2420" s="22">
        <f ca="1"/>
        <v>279.14999399999999</v>
      </c>
      <c r="D2420" s="22">
        <f ca="1"/>
        <v>283.64999399999999</v>
      </c>
      <c r="E2420" s="22">
        <f ca="1"/>
        <v>278.67999300000002</v>
      </c>
      <c r="F2420" s="22">
        <f ca="1"/>
        <v>282.91000400000001</v>
      </c>
      <c r="G2420" s="22">
        <f ca="1"/>
        <v>281.51739500000002</v>
      </c>
      <c r="H2420" s="69">
        <f ca="1"/>
        <v>16774600</v>
      </c>
      <c r="I2420" s="23" t="str">
        <f t="shared" ca="1" si="75"/>
        <v/>
      </c>
    </row>
    <row r="2421" spans="1:9" ht="13.8">
      <c r="A2421" s="20">
        <f t="shared" ca="1" si="74"/>
        <v>44781</v>
      </c>
      <c r="B2421" s="21" t="str">
        <f ca="1"/>
        <v>2022-08-08</v>
      </c>
      <c r="C2421" s="22">
        <f ca="1"/>
        <v>284.04998799999998</v>
      </c>
      <c r="D2421" s="22">
        <f ca="1"/>
        <v>285.92001299999998</v>
      </c>
      <c r="E2421" s="22">
        <f ca="1"/>
        <v>279.32000699999998</v>
      </c>
      <c r="F2421" s="22">
        <f ca="1"/>
        <v>280.32000699999998</v>
      </c>
      <c r="G2421" s="22">
        <f ca="1"/>
        <v>278.940155</v>
      </c>
      <c r="H2421" s="69">
        <f ca="1"/>
        <v>18739200</v>
      </c>
      <c r="I2421" s="23" t="str">
        <f t="shared" ca="1" si="75"/>
        <v/>
      </c>
    </row>
    <row r="2422" spans="1:9" ht="13.8">
      <c r="A2422" s="20">
        <f t="shared" ca="1" si="74"/>
        <v>44782</v>
      </c>
      <c r="B2422" s="21" t="str">
        <f ca="1"/>
        <v>2022-08-09</v>
      </c>
      <c r="C2422" s="22">
        <f ca="1"/>
        <v>279.64001500000001</v>
      </c>
      <c r="D2422" s="22">
        <f ca="1"/>
        <v>283.07998700000002</v>
      </c>
      <c r="E2422" s="22">
        <f ca="1"/>
        <v>277.60998499999999</v>
      </c>
      <c r="F2422" s="22">
        <f ca="1"/>
        <v>282.29998799999998</v>
      </c>
      <c r="G2422" s="22">
        <f ca="1"/>
        <v>280.91039999999998</v>
      </c>
      <c r="H2422" s="69">
        <f ca="1"/>
        <v>23405200</v>
      </c>
      <c r="I2422" s="23" t="str">
        <f t="shared" ca="1" si="75"/>
        <v/>
      </c>
    </row>
    <row r="2423" spans="1:9" ht="13.8">
      <c r="A2423" s="20">
        <f t="shared" ca="1" si="74"/>
        <v>44783</v>
      </c>
      <c r="B2423" s="21" t="str">
        <f ca="1"/>
        <v>2022-08-10</v>
      </c>
      <c r="C2423" s="22">
        <f ca="1"/>
        <v>288.17001299999998</v>
      </c>
      <c r="D2423" s="22">
        <f ca="1"/>
        <v>289.80999800000001</v>
      </c>
      <c r="E2423" s="22">
        <f ca="1"/>
        <v>286.94000199999999</v>
      </c>
      <c r="F2423" s="22">
        <f ca="1"/>
        <v>289.16000400000001</v>
      </c>
      <c r="G2423" s="22">
        <f ca="1"/>
        <v>287.73663299999998</v>
      </c>
      <c r="H2423" s="69">
        <f ca="1"/>
        <v>24687800</v>
      </c>
      <c r="I2423" s="23" t="str">
        <f t="shared" ca="1" si="75"/>
        <v/>
      </c>
    </row>
    <row r="2424" spans="1:9" ht="13.8">
      <c r="A2424" s="20">
        <f t="shared" ca="1" si="74"/>
        <v>44784</v>
      </c>
      <c r="B2424" s="21" t="str">
        <f ca="1"/>
        <v>2022-08-11</v>
      </c>
      <c r="C2424" s="22">
        <f ca="1"/>
        <v>290.85000600000001</v>
      </c>
      <c r="D2424" s="22">
        <f ca="1"/>
        <v>291.209991</v>
      </c>
      <c r="E2424" s="22">
        <f ca="1"/>
        <v>286.51001000000002</v>
      </c>
      <c r="F2424" s="22">
        <f ca="1"/>
        <v>287.01998900000001</v>
      </c>
      <c r="G2424" s="22">
        <f ca="1"/>
        <v>285.607147</v>
      </c>
      <c r="H2424" s="69">
        <f ca="1"/>
        <v>20065900</v>
      </c>
      <c r="I2424" s="23" t="str">
        <f t="shared" ca="1" si="75"/>
        <v/>
      </c>
    </row>
    <row r="2425" spans="1:9" ht="13.8">
      <c r="A2425" s="20">
        <f t="shared" ca="1" si="74"/>
        <v>44785</v>
      </c>
      <c r="B2425" s="21" t="str">
        <f ca="1"/>
        <v>2022-08-12</v>
      </c>
      <c r="C2425" s="22">
        <f ca="1"/>
        <v>288.48001099999999</v>
      </c>
      <c r="D2425" s="22">
        <f ca="1"/>
        <v>291.91000400000001</v>
      </c>
      <c r="E2425" s="22">
        <f ca="1"/>
        <v>286.94000199999999</v>
      </c>
      <c r="F2425" s="22">
        <f ca="1"/>
        <v>291.91000400000001</v>
      </c>
      <c r="G2425" s="22">
        <f ca="1"/>
        <v>290.47311400000001</v>
      </c>
      <c r="H2425" s="69">
        <f ca="1"/>
        <v>22619700</v>
      </c>
      <c r="I2425" s="23" t="str">
        <f t="shared" ca="1" si="75"/>
        <v/>
      </c>
    </row>
    <row r="2426" spans="1:9" ht="13.8">
      <c r="A2426" s="20">
        <f t="shared" ca="1" si="74"/>
        <v>44788</v>
      </c>
      <c r="B2426" s="21" t="str">
        <f ca="1"/>
        <v>2022-08-15</v>
      </c>
      <c r="C2426" s="22">
        <f ca="1"/>
        <v>291</v>
      </c>
      <c r="D2426" s="22">
        <f ca="1"/>
        <v>294.17999300000002</v>
      </c>
      <c r="E2426" s="22">
        <f ca="1"/>
        <v>290.10998499999999</v>
      </c>
      <c r="F2426" s="22">
        <f ca="1"/>
        <v>293.47000100000002</v>
      </c>
      <c r="G2426" s="22">
        <f ca="1"/>
        <v>292.02542099999999</v>
      </c>
      <c r="H2426" s="69">
        <f ca="1"/>
        <v>18085700</v>
      </c>
      <c r="I2426" s="23" t="str">
        <f t="shared" ca="1" si="75"/>
        <v/>
      </c>
    </row>
    <row r="2427" spans="1:9" ht="13.8">
      <c r="A2427" s="20">
        <f t="shared" ca="1" si="74"/>
        <v>44789</v>
      </c>
      <c r="B2427" s="21" t="str">
        <f ca="1"/>
        <v>2022-08-16</v>
      </c>
      <c r="C2427" s="22">
        <f ca="1"/>
        <v>291.98998999999998</v>
      </c>
      <c r="D2427" s="22">
        <f ca="1"/>
        <v>294.040009</v>
      </c>
      <c r="E2427" s="22">
        <f ca="1"/>
        <v>290.42001299999998</v>
      </c>
      <c r="F2427" s="22">
        <f ca="1"/>
        <v>292.709991</v>
      </c>
      <c r="G2427" s="22">
        <f ca="1"/>
        <v>291.26916499999999</v>
      </c>
      <c r="H2427" s="69">
        <f ca="1"/>
        <v>18102900</v>
      </c>
      <c r="I2427" s="23" t="str">
        <f t="shared" ca="1" si="75"/>
        <v/>
      </c>
    </row>
    <row r="2428" spans="1:9" ht="13.8">
      <c r="A2428" s="20">
        <f t="shared" ca="1" si="74"/>
        <v>44790</v>
      </c>
      <c r="B2428" s="21" t="str">
        <f ca="1"/>
        <v>2022-08-17</v>
      </c>
      <c r="C2428" s="22">
        <f ca="1"/>
        <v>289.73998999999998</v>
      </c>
      <c r="D2428" s="22">
        <f ca="1"/>
        <v>293.35000600000001</v>
      </c>
      <c r="E2428" s="22">
        <f ca="1"/>
        <v>289.47000100000002</v>
      </c>
      <c r="F2428" s="22">
        <f ca="1"/>
        <v>291.32000699999998</v>
      </c>
      <c r="G2428" s="22">
        <f ca="1"/>
        <v>290.50134300000002</v>
      </c>
      <c r="H2428" s="69">
        <f ca="1"/>
        <v>18253400</v>
      </c>
      <c r="I2428" s="23">
        <f t="shared" ca="1" si="75"/>
        <v>0.62</v>
      </c>
    </row>
    <row r="2429" spans="1:9" ht="13.8">
      <c r="A2429" s="20">
        <f t="shared" ca="1" si="74"/>
        <v>44791</v>
      </c>
      <c r="B2429" s="21" t="str">
        <f ca="1"/>
        <v>2022-08-18</v>
      </c>
      <c r="C2429" s="22">
        <f ca="1"/>
        <v>290.19000199999999</v>
      </c>
      <c r="D2429" s="22">
        <f ca="1"/>
        <v>291.91000400000001</v>
      </c>
      <c r="E2429" s="22">
        <f ca="1"/>
        <v>289.07998700000002</v>
      </c>
      <c r="F2429" s="22">
        <f ca="1"/>
        <v>290.17001299999998</v>
      </c>
      <c r="G2429" s="22">
        <f ca="1"/>
        <v>289.35455300000001</v>
      </c>
      <c r="H2429" s="69">
        <f ca="1"/>
        <v>17186200</v>
      </c>
      <c r="I2429" s="23" t="str">
        <f t="shared" ca="1" si="75"/>
        <v/>
      </c>
    </row>
    <row r="2430" spans="1:9" ht="13.8">
      <c r="A2430" s="20">
        <f t="shared" ca="1" si="74"/>
        <v>44792</v>
      </c>
      <c r="B2430" s="21" t="str">
        <f ca="1"/>
        <v>2022-08-19</v>
      </c>
      <c r="C2430" s="22">
        <f ca="1"/>
        <v>288.89999399999999</v>
      </c>
      <c r="D2430" s="22">
        <f ca="1"/>
        <v>289.25</v>
      </c>
      <c r="E2430" s="22">
        <f ca="1"/>
        <v>285.55999800000001</v>
      </c>
      <c r="F2430" s="22">
        <f ca="1"/>
        <v>286.14999399999999</v>
      </c>
      <c r="G2430" s="22">
        <f ca="1"/>
        <v>285.34585600000003</v>
      </c>
      <c r="H2430" s="69">
        <f ca="1"/>
        <v>20570000</v>
      </c>
      <c r="I2430" s="23" t="str">
        <f t="shared" ca="1" si="75"/>
        <v/>
      </c>
    </row>
    <row r="2431" spans="1:9" ht="13.8">
      <c r="A2431" s="20">
        <f t="shared" ca="1" si="74"/>
        <v>44795</v>
      </c>
      <c r="B2431" s="21" t="str">
        <f ca="1"/>
        <v>2022-08-22</v>
      </c>
      <c r="C2431" s="22">
        <f ca="1"/>
        <v>282.07998700000002</v>
      </c>
      <c r="D2431" s="22">
        <f ca="1"/>
        <v>282.459991</v>
      </c>
      <c r="E2431" s="22">
        <f ca="1"/>
        <v>277.22000100000002</v>
      </c>
      <c r="F2431" s="22">
        <f ca="1"/>
        <v>277.75</v>
      </c>
      <c r="G2431" s="22">
        <f ca="1"/>
        <v>276.96945199999999</v>
      </c>
      <c r="H2431" s="69">
        <f ca="1"/>
        <v>25061100</v>
      </c>
      <c r="I2431" s="23" t="str">
        <f t="shared" ca="1" si="75"/>
        <v/>
      </c>
    </row>
    <row r="2432" spans="1:9" ht="13.8">
      <c r="A2432" s="20">
        <f t="shared" ca="1" si="74"/>
        <v>44796</v>
      </c>
      <c r="B2432" s="21" t="str">
        <f ca="1"/>
        <v>2022-08-23</v>
      </c>
      <c r="C2432" s="22">
        <f ca="1"/>
        <v>276.44000199999999</v>
      </c>
      <c r="D2432" s="22">
        <f ca="1"/>
        <v>278.85998499999999</v>
      </c>
      <c r="E2432" s="22">
        <f ca="1"/>
        <v>275.39999399999999</v>
      </c>
      <c r="F2432" s="22">
        <f ca="1"/>
        <v>276.44000199999999</v>
      </c>
      <c r="G2432" s="22">
        <f ca="1"/>
        <v>275.66314699999998</v>
      </c>
      <c r="H2432" s="69">
        <f ca="1"/>
        <v>17527400</v>
      </c>
      <c r="I2432" s="23" t="str">
        <f t="shared" ca="1" si="75"/>
        <v/>
      </c>
    </row>
    <row r="2433" spans="1:9" ht="13.8">
      <c r="A2433" s="20">
        <f t="shared" ca="1" si="74"/>
        <v>44797</v>
      </c>
      <c r="B2433" s="21" t="str">
        <f ca="1"/>
        <v>2022-08-24</v>
      </c>
      <c r="C2433" s="22">
        <f ca="1"/>
        <v>275.41000400000001</v>
      </c>
      <c r="D2433" s="22">
        <f ca="1"/>
        <v>277.23001099999999</v>
      </c>
      <c r="E2433" s="22">
        <f ca="1"/>
        <v>275.10998499999999</v>
      </c>
      <c r="F2433" s="22">
        <f ca="1"/>
        <v>275.790009</v>
      </c>
      <c r="G2433" s="22">
        <f ca="1"/>
        <v>275.01498400000003</v>
      </c>
      <c r="H2433" s="69">
        <f ca="1"/>
        <v>18137000</v>
      </c>
      <c r="I2433" s="23" t="str">
        <f t="shared" ca="1" si="75"/>
        <v/>
      </c>
    </row>
    <row r="2434" spans="1:9" ht="13.8">
      <c r="A2434" s="20">
        <f t="shared" ca="1" si="74"/>
        <v>44798</v>
      </c>
      <c r="B2434" s="21" t="str">
        <f ca="1"/>
        <v>2022-08-25</v>
      </c>
      <c r="C2434" s="22">
        <f ca="1"/>
        <v>277.32998700000002</v>
      </c>
      <c r="D2434" s="22">
        <f ca="1"/>
        <v>279.01998900000001</v>
      </c>
      <c r="E2434" s="22">
        <f ca="1"/>
        <v>274.51998900000001</v>
      </c>
      <c r="F2434" s="22">
        <f ca="1"/>
        <v>278.85000600000001</v>
      </c>
      <c r="G2434" s="22">
        <f ca="1"/>
        <v>278.06637599999999</v>
      </c>
      <c r="H2434" s="69">
        <f ca="1"/>
        <v>16583400</v>
      </c>
      <c r="I2434" s="23" t="str">
        <f t="shared" ca="1" si="75"/>
        <v/>
      </c>
    </row>
    <row r="2435" spans="1:9" ht="13.8">
      <c r="A2435" s="20">
        <f t="shared" ca="1" si="74"/>
        <v>44799</v>
      </c>
      <c r="B2435" s="21" t="str">
        <f ca="1"/>
        <v>2022-08-26</v>
      </c>
      <c r="C2435" s="22">
        <f ca="1"/>
        <v>279.07998700000002</v>
      </c>
      <c r="D2435" s="22">
        <f ca="1"/>
        <v>280.33999599999999</v>
      </c>
      <c r="E2435" s="22">
        <f ca="1"/>
        <v>267.98001099999999</v>
      </c>
      <c r="F2435" s="22">
        <f ca="1"/>
        <v>268.08999599999999</v>
      </c>
      <c r="G2435" s="22">
        <f ca="1"/>
        <v>267.33660900000001</v>
      </c>
      <c r="H2435" s="69">
        <f ca="1"/>
        <v>27549300</v>
      </c>
      <c r="I2435" s="23" t="str">
        <f t="shared" ca="1" si="75"/>
        <v/>
      </c>
    </row>
    <row r="2436" spans="1:9" ht="13.8">
      <c r="A2436" s="20">
        <f t="shared" ca="1" si="74"/>
        <v>44802</v>
      </c>
      <c r="B2436" s="21" t="str">
        <f ca="1"/>
        <v>2022-08-29</v>
      </c>
      <c r="C2436" s="22">
        <f ca="1"/>
        <v>265.85000600000001</v>
      </c>
      <c r="D2436" s="22">
        <f ca="1"/>
        <v>267.39999399999999</v>
      </c>
      <c r="E2436" s="22">
        <f ca="1"/>
        <v>263.85000600000001</v>
      </c>
      <c r="F2436" s="22">
        <f ca="1"/>
        <v>265.23001099999999</v>
      </c>
      <c r="G2436" s="22">
        <f ca="1"/>
        <v>264.48464999999999</v>
      </c>
      <c r="H2436" s="69">
        <f ca="1"/>
        <v>20338500</v>
      </c>
      <c r="I2436" s="23" t="str">
        <f t="shared" ca="1" si="75"/>
        <v/>
      </c>
    </row>
    <row r="2437" spans="1:9" ht="13.8">
      <c r="A2437" s="20">
        <f t="shared" ca="1" si="74"/>
        <v>44803</v>
      </c>
      <c r="B2437" s="21" t="str">
        <f ca="1"/>
        <v>2022-08-30</v>
      </c>
      <c r="C2437" s="22">
        <f ca="1"/>
        <v>266.67001299999998</v>
      </c>
      <c r="D2437" s="22">
        <f ca="1"/>
        <v>267.04998799999998</v>
      </c>
      <c r="E2437" s="22">
        <f ca="1"/>
        <v>260.66000400000001</v>
      </c>
      <c r="F2437" s="22">
        <f ca="1"/>
        <v>262.97000100000002</v>
      </c>
      <c r="G2437" s="22">
        <f ca="1"/>
        <v>262.23098800000002</v>
      </c>
      <c r="H2437" s="69">
        <f ca="1"/>
        <v>22767100</v>
      </c>
      <c r="I2437" s="23" t="str">
        <f t="shared" ca="1" si="75"/>
        <v/>
      </c>
    </row>
    <row r="2438" spans="1:9" ht="13.8">
      <c r="A2438" s="20">
        <f t="shared" ref="A2438:A2501" ca="1" si="76">IFERROR(DATEVALUE($B2438),"--")</f>
        <v>44804</v>
      </c>
      <c r="B2438" s="21" t="str">
        <f ca="1"/>
        <v>2022-08-31</v>
      </c>
      <c r="C2438" s="22">
        <f ca="1"/>
        <v>265.39001500000001</v>
      </c>
      <c r="D2438" s="22">
        <f ca="1"/>
        <v>267.10998499999999</v>
      </c>
      <c r="E2438" s="22">
        <f ca="1"/>
        <v>261.32998700000002</v>
      </c>
      <c r="F2438" s="22">
        <f ca="1"/>
        <v>261.47000100000002</v>
      </c>
      <c r="G2438" s="22">
        <f ca="1"/>
        <v>260.73519900000002</v>
      </c>
      <c r="H2438" s="69">
        <f ca="1"/>
        <v>24791800</v>
      </c>
      <c r="I2438" s="23" t="str">
        <f t="shared" ref="I2438:I2501" ca="1" si="77">IFERROR(IF(Ticker&lt;&gt;$Q$2,"",INDEX($P:$P,MATCH($A2438,$O:$O,0))),"")</f>
        <v/>
      </c>
    </row>
    <row r="2439" spans="1:9" ht="13.8">
      <c r="A2439" s="20">
        <f t="shared" ca="1" si="76"/>
        <v>44805</v>
      </c>
      <c r="B2439" s="21" t="str">
        <f ca="1"/>
        <v>2022-09-01</v>
      </c>
      <c r="C2439" s="22">
        <f ca="1"/>
        <v>258.86999500000002</v>
      </c>
      <c r="D2439" s="22">
        <f ca="1"/>
        <v>260.89001500000001</v>
      </c>
      <c r="E2439" s="22">
        <f ca="1"/>
        <v>255.41000399999999</v>
      </c>
      <c r="F2439" s="22">
        <f ca="1"/>
        <v>260.39999399999999</v>
      </c>
      <c r="G2439" s="22">
        <f ca="1"/>
        <v>259.66821299999998</v>
      </c>
      <c r="H2439" s="69">
        <f ca="1"/>
        <v>23263400</v>
      </c>
      <c r="I2439" s="23" t="str">
        <f t="shared" ca="1" si="77"/>
        <v/>
      </c>
    </row>
    <row r="2440" spans="1:9" ht="13.8">
      <c r="A2440" s="20">
        <f t="shared" ca="1" si="76"/>
        <v>44806</v>
      </c>
      <c r="B2440" s="21" t="str">
        <f ca="1"/>
        <v>2022-09-02</v>
      </c>
      <c r="C2440" s="22">
        <f ca="1"/>
        <v>261.70001200000002</v>
      </c>
      <c r="D2440" s="22">
        <f ca="1"/>
        <v>264.73998999999998</v>
      </c>
      <c r="E2440" s="22">
        <f ca="1"/>
        <v>254.470001</v>
      </c>
      <c r="F2440" s="22">
        <f ca="1"/>
        <v>256.05999800000001</v>
      </c>
      <c r="G2440" s="22">
        <f ca="1"/>
        <v>255.340408</v>
      </c>
      <c r="H2440" s="69">
        <f ca="1"/>
        <v>22855400</v>
      </c>
      <c r="I2440" s="23" t="str">
        <f t="shared" ca="1" si="77"/>
        <v/>
      </c>
    </row>
    <row r="2441" spans="1:9" ht="13.8">
      <c r="A2441" s="20">
        <f t="shared" ca="1" si="76"/>
        <v>44810</v>
      </c>
      <c r="B2441" s="21" t="str">
        <f ca="1"/>
        <v>2022-09-06</v>
      </c>
      <c r="C2441" s="22">
        <f ca="1"/>
        <v>256.20001200000002</v>
      </c>
      <c r="D2441" s="22">
        <f ca="1"/>
        <v>257.82998700000002</v>
      </c>
      <c r="E2441" s="22">
        <f ca="1"/>
        <v>251.94000199999999</v>
      </c>
      <c r="F2441" s="22">
        <f ca="1"/>
        <v>253.25</v>
      </c>
      <c r="G2441" s="22">
        <f ca="1"/>
        <v>252.53829999999999</v>
      </c>
      <c r="H2441" s="69">
        <f ca="1"/>
        <v>21328200</v>
      </c>
      <c r="I2441" s="23" t="str">
        <f t="shared" ca="1" si="77"/>
        <v/>
      </c>
    </row>
    <row r="2442" spans="1:9" ht="13.8">
      <c r="A2442" s="20">
        <f t="shared" ca="1" si="76"/>
        <v>44811</v>
      </c>
      <c r="B2442" s="21" t="str">
        <f ca="1"/>
        <v>2022-09-07</v>
      </c>
      <c r="C2442" s="22">
        <f ca="1"/>
        <v>254.699997</v>
      </c>
      <c r="D2442" s="22">
        <f ca="1"/>
        <v>258.82998700000002</v>
      </c>
      <c r="E2442" s="22">
        <f ca="1"/>
        <v>253.220001</v>
      </c>
      <c r="F2442" s="22">
        <f ca="1"/>
        <v>258.08999599999999</v>
      </c>
      <c r="G2442" s="22">
        <f ca="1"/>
        <v>257.36471599999999</v>
      </c>
      <c r="H2442" s="69">
        <f ca="1"/>
        <v>24126700</v>
      </c>
      <c r="I2442" s="23" t="str">
        <f t="shared" ca="1" si="77"/>
        <v/>
      </c>
    </row>
    <row r="2443" spans="1:9" ht="13.8">
      <c r="A2443" s="20">
        <f t="shared" ca="1" si="76"/>
        <v>44812</v>
      </c>
      <c r="B2443" s="21" t="str">
        <f ca="1"/>
        <v>2022-09-08</v>
      </c>
      <c r="C2443" s="22">
        <f ca="1"/>
        <v>257.51001000000002</v>
      </c>
      <c r="D2443" s="22">
        <f ca="1"/>
        <v>260.42999300000002</v>
      </c>
      <c r="E2443" s="22">
        <f ca="1"/>
        <v>254.78999300000001</v>
      </c>
      <c r="F2443" s="22">
        <f ca="1"/>
        <v>258.51998900000001</v>
      </c>
      <c r="G2443" s="22">
        <f ca="1"/>
        <v>257.79348800000002</v>
      </c>
      <c r="H2443" s="69">
        <f ca="1"/>
        <v>20319900</v>
      </c>
      <c r="I2443" s="23" t="str">
        <f t="shared" ca="1" si="77"/>
        <v/>
      </c>
    </row>
    <row r="2444" spans="1:9" ht="13.8">
      <c r="A2444" s="20">
        <f t="shared" ca="1" si="76"/>
        <v>44813</v>
      </c>
      <c r="B2444" s="21" t="str">
        <f ca="1"/>
        <v>2022-09-09</v>
      </c>
      <c r="C2444" s="22">
        <f ca="1"/>
        <v>260.5</v>
      </c>
      <c r="D2444" s="22">
        <f ca="1"/>
        <v>265.23001099999999</v>
      </c>
      <c r="E2444" s="22">
        <f ca="1"/>
        <v>260.290009</v>
      </c>
      <c r="F2444" s="22">
        <f ca="1"/>
        <v>264.459991</v>
      </c>
      <c r="G2444" s="22">
        <f ca="1"/>
        <v>263.71679699999999</v>
      </c>
      <c r="H2444" s="69">
        <f ca="1"/>
        <v>22084700</v>
      </c>
      <c r="I2444" s="23" t="str">
        <f t="shared" ca="1" si="77"/>
        <v/>
      </c>
    </row>
    <row r="2445" spans="1:9" ht="13.8">
      <c r="A2445" s="20">
        <f t="shared" ca="1" si="76"/>
        <v>44816</v>
      </c>
      <c r="B2445" s="21" t="str">
        <f ca="1"/>
        <v>2022-09-12</v>
      </c>
      <c r="C2445" s="22">
        <f ca="1"/>
        <v>265.77999899999998</v>
      </c>
      <c r="D2445" s="22">
        <f ca="1"/>
        <v>267.45001200000002</v>
      </c>
      <c r="E2445" s="22">
        <f ca="1"/>
        <v>265.16000400000001</v>
      </c>
      <c r="F2445" s="22">
        <f ca="1"/>
        <v>266.64999399999999</v>
      </c>
      <c r="G2445" s="22">
        <f ca="1"/>
        <v>265.90063500000002</v>
      </c>
      <c r="H2445" s="69">
        <f ca="1"/>
        <v>18747700</v>
      </c>
      <c r="I2445" s="23" t="str">
        <f t="shared" ca="1" si="77"/>
        <v/>
      </c>
    </row>
    <row r="2446" spans="1:9" ht="13.8">
      <c r="A2446" s="20">
        <f t="shared" ca="1" si="76"/>
        <v>44817</v>
      </c>
      <c r="B2446" s="21" t="str">
        <f ca="1"/>
        <v>2022-09-13</v>
      </c>
      <c r="C2446" s="22">
        <f ca="1"/>
        <v>258.83999599999999</v>
      </c>
      <c r="D2446" s="22">
        <f ca="1"/>
        <v>260.39999399999999</v>
      </c>
      <c r="E2446" s="22">
        <f ca="1"/>
        <v>251.58999600000001</v>
      </c>
      <c r="F2446" s="22">
        <f ca="1"/>
        <v>251.990005</v>
      </c>
      <c r="G2446" s="22">
        <f ca="1"/>
        <v>251.28185999999999</v>
      </c>
      <c r="H2446" s="69">
        <f ca="1"/>
        <v>33353300</v>
      </c>
      <c r="I2446" s="23" t="str">
        <f t="shared" ca="1" si="77"/>
        <v/>
      </c>
    </row>
    <row r="2447" spans="1:9" ht="13.8">
      <c r="A2447" s="20">
        <f t="shared" ca="1" si="76"/>
        <v>44818</v>
      </c>
      <c r="B2447" s="21" t="str">
        <f ca="1"/>
        <v>2022-09-14</v>
      </c>
      <c r="C2447" s="22">
        <f ca="1"/>
        <v>253.529999</v>
      </c>
      <c r="D2447" s="22">
        <f ca="1"/>
        <v>254.229996</v>
      </c>
      <c r="E2447" s="22">
        <f ca="1"/>
        <v>249.86000100000001</v>
      </c>
      <c r="F2447" s="22">
        <f ca="1"/>
        <v>252.220001</v>
      </c>
      <c r="G2447" s="22">
        <f ca="1"/>
        <v>251.5112</v>
      </c>
      <c r="H2447" s="69">
        <f ca="1"/>
        <v>23913000</v>
      </c>
      <c r="I2447" s="23" t="str">
        <f t="shared" ca="1" si="77"/>
        <v/>
      </c>
    </row>
    <row r="2448" spans="1:9" ht="13.8">
      <c r="A2448" s="20">
        <f t="shared" ca="1" si="76"/>
        <v>44819</v>
      </c>
      <c r="B2448" s="21" t="str">
        <f ca="1"/>
        <v>2022-09-15</v>
      </c>
      <c r="C2448" s="22">
        <f ca="1"/>
        <v>249.770004</v>
      </c>
      <c r="D2448" s="22">
        <f ca="1"/>
        <v>251.39999399999999</v>
      </c>
      <c r="E2448" s="22">
        <f ca="1"/>
        <v>244.020004</v>
      </c>
      <c r="F2448" s="22">
        <f ca="1"/>
        <v>245.38000500000001</v>
      </c>
      <c r="G2448" s="22">
        <f ca="1"/>
        <v>244.69042999999999</v>
      </c>
      <c r="H2448" s="69">
        <f ca="1"/>
        <v>31530900</v>
      </c>
      <c r="I2448" s="23" t="str">
        <f t="shared" ca="1" si="77"/>
        <v/>
      </c>
    </row>
    <row r="2449" spans="1:9" ht="13.8">
      <c r="A2449" s="20">
        <f t="shared" ca="1" si="76"/>
        <v>44820</v>
      </c>
      <c r="B2449" s="21" t="str">
        <f ca="1"/>
        <v>2022-09-16</v>
      </c>
      <c r="C2449" s="22">
        <f ca="1"/>
        <v>244.259995</v>
      </c>
      <c r="D2449" s="22">
        <f ca="1"/>
        <v>245.300003</v>
      </c>
      <c r="E2449" s="22">
        <f ca="1"/>
        <v>242.05999800000001</v>
      </c>
      <c r="F2449" s="22">
        <f ca="1"/>
        <v>244.740005</v>
      </c>
      <c r="G2449" s="22">
        <f ca="1"/>
        <v>244.05223100000001</v>
      </c>
      <c r="H2449" s="69">
        <f ca="1"/>
        <v>39791800</v>
      </c>
      <c r="I2449" s="23" t="str">
        <f t="shared" ca="1" si="77"/>
        <v/>
      </c>
    </row>
    <row r="2450" spans="1:9" ht="13.8">
      <c r="A2450" s="20">
        <f t="shared" ca="1" si="76"/>
        <v>44823</v>
      </c>
      <c r="B2450" s="21" t="str">
        <f ca="1"/>
        <v>2022-09-19</v>
      </c>
      <c r="C2450" s="22">
        <f ca="1"/>
        <v>242.470001</v>
      </c>
      <c r="D2450" s="22">
        <f ca="1"/>
        <v>245.13999899999999</v>
      </c>
      <c r="E2450" s="22">
        <f ca="1"/>
        <v>240.85000600000001</v>
      </c>
      <c r="F2450" s="22">
        <f ca="1"/>
        <v>244.520004</v>
      </c>
      <c r="G2450" s="22">
        <f ca="1"/>
        <v>243.83284</v>
      </c>
      <c r="H2450" s="69">
        <f ca="1"/>
        <v>26826900</v>
      </c>
      <c r="I2450" s="23" t="str">
        <f t="shared" ca="1" si="77"/>
        <v/>
      </c>
    </row>
    <row r="2451" spans="1:9" ht="13.8">
      <c r="A2451" s="20">
        <f t="shared" ca="1" si="76"/>
        <v>44824</v>
      </c>
      <c r="B2451" s="21" t="str">
        <f ca="1"/>
        <v>2022-09-20</v>
      </c>
      <c r="C2451" s="22">
        <f ca="1"/>
        <v>242.070007</v>
      </c>
      <c r="D2451" s="22">
        <f ca="1"/>
        <v>243.509995</v>
      </c>
      <c r="E2451" s="22">
        <f ca="1"/>
        <v>239.63999899999999</v>
      </c>
      <c r="F2451" s="22">
        <f ca="1"/>
        <v>242.449997</v>
      </c>
      <c r="G2451" s="22">
        <f ca="1"/>
        <v>241.76866100000001</v>
      </c>
      <c r="H2451" s="69">
        <f ca="1"/>
        <v>26660300</v>
      </c>
      <c r="I2451" s="23" t="str">
        <f t="shared" ca="1" si="77"/>
        <v/>
      </c>
    </row>
    <row r="2452" spans="1:9" ht="13.8">
      <c r="A2452" s="20">
        <f t="shared" ca="1" si="76"/>
        <v>44825</v>
      </c>
      <c r="B2452" s="21" t="str">
        <f ca="1"/>
        <v>2022-09-21</v>
      </c>
      <c r="C2452" s="22">
        <f ca="1"/>
        <v>244.270004</v>
      </c>
      <c r="D2452" s="22">
        <f ca="1"/>
        <v>247.66000399999999</v>
      </c>
      <c r="E2452" s="22">
        <f ca="1"/>
        <v>238.89999399999999</v>
      </c>
      <c r="F2452" s="22">
        <f ca="1"/>
        <v>238.949997</v>
      </c>
      <c r="G2452" s="22">
        <f ca="1"/>
        <v>238.27848800000001</v>
      </c>
      <c r="H2452" s="69">
        <f ca="1"/>
        <v>28625600</v>
      </c>
      <c r="I2452" s="23" t="str">
        <f t="shared" ca="1" si="77"/>
        <v/>
      </c>
    </row>
    <row r="2453" spans="1:9" ht="13.8">
      <c r="A2453" s="20">
        <f t="shared" ca="1" si="76"/>
        <v>44826</v>
      </c>
      <c r="B2453" s="21" t="str">
        <f ca="1"/>
        <v>2022-09-22</v>
      </c>
      <c r="C2453" s="22">
        <f ca="1"/>
        <v>237.86999499999999</v>
      </c>
      <c r="D2453" s="22">
        <f ca="1"/>
        <v>243.86000100000001</v>
      </c>
      <c r="E2453" s="22">
        <f ca="1"/>
        <v>237.570007</v>
      </c>
      <c r="F2453" s="22">
        <f ca="1"/>
        <v>240.979996</v>
      </c>
      <c r="G2453" s="22">
        <f ca="1"/>
        <v>240.30278000000001</v>
      </c>
      <c r="H2453" s="69">
        <f ca="1"/>
        <v>31061200</v>
      </c>
      <c r="I2453" s="23" t="str">
        <f t="shared" ca="1" si="77"/>
        <v/>
      </c>
    </row>
    <row r="2454" spans="1:9" ht="13.8">
      <c r="A2454" s="20">
        <f t="shared" ca="1" si="76"/>
        <v>44827</v>
      </c>
      <c r="B2454" s="21" t="str">
        <f ca="1"/>
        <v>2022-09-23</v>
      </c>
      <c r="C2454" s="22">
        <f ca="1"/>
        <v>239.53999300000001</v>
      </c>
      <c r="D2454" s="22">
        <f ca="1"/>
        <v>241.13000500000001</v>
      </c>
      <c r="E2454" s="22">
        <f ca="1"/>
        <v>235.199997</v>
      </c>
      <c r="F2454" s="22">
        <f ca="1"/>
        <v>237.91999799999999</v>
      </c>
      <c r="G2454" s="22">
        <f ca="1"/>
        <v>237.25138899999999</v>
      </c>
      <c r="H2454" s="69">
        <f ca="1"/>
        <v>34176000</v>
      </c>
      <c r="I2454" s="23" t="str">
        <f t="shared" ca="1" si="77"/>
        <v/>
      </c>
    </row>
    <row r="2455" spans="1:9" ht="13.8">
      <c r="A2455" s="20">
        <f t="shared" ca="1" si="76"/>
        <v>44830</v>
      </c>
      <c r="B2455" s="21" t="str">
        <f ca="1"/>
        <v>2022-09-26</v>
      </c>
      <c r="C2455" s="22">
        <f ca="1"/>
        <v>237.050003</v>
      </c>
      <c r="D2455" s="22">
        <f ca="1"/>
        <v>241.449997</v>
      </c>
      <c r="E2455" s="22">
        <f ca="1"/>
        <v>236.89999399999999</v>
      </c>
      <c r="F2455" s="22">
        <f ca="1"/>
        <v>237.449997</v>
      </c>
      <c r="G2455" s="22">
        <f ca="1"/>
        <v>236.78270000000001</v>
      </c>
      <c r="H2455" s="69">
        <f ca="1"/>
        <v>27694200</v>
      </c>
      <c r="I2455" s="23" t="str">
        <f t="shared" ca="1" si="77"/>
        <v/>
      </c>
    </row>
    <row r="2456" spans="1:9" ht="13.8">
      <c r="A2456" s="20">
        <f t="shared" ca="1" si="76"/>
        <v>44831</v>
      </c>
      <c r="B2456" s="21" t="str">
        <f ca="1"/>
        <v>2022-09-27</v>
      </c>
      <c r="C2456" s="22">
        <f ca="1"/>
        <v>239.979996</v>
      </c>
      <c r="D2456" s="22">
        <f ca="1"/>
        <v>241.800003</v>
      </c>
      <c r="E2456" s="22">
        <f ca="1"/>
        <v>234.5</v>
      </c>
      <c r="F2456" s="22">
        <f ca="1"/>
        <v>236.41000399999999</v>
      </c>
      <c r="G2456" s="22">
        <f ca="1"/>
        <v>235.74563599999999</v>
      </c>
      <c r="H2456" s="69">
        <f ca="1"/>
        <v>27018700</v>
      </c>
      <c r="I2456" s="23" t="str">
        <f t="shared" ca="1" si="77"/>
        <v/>
      </c>
    </row>
    <row r="2457" spans="1:9" ht="13.8">
      <c r="A2457" s="20">
        <f t="shared" ca="1" si="76"/>
        <v>44832</v>
      </c>
      <c r="B2457" s="21" t="str">
        <f ca="1"/>
        <v>2022-09-28</v>
      </c>
      <c r="C2457" s="22">
        <f ca="1"/>
        <v>236.80999800000001</v>
      </c>
      <c r="D2457" s="22">
        <f ca="1"/>
        <v>242.33000200000001</v>
      </c>
      <c r="E2457" s="22">
        <f ca="1"/>
        <v>234.729996</v>
      </c>
      <c r="F2457" s="22">
        <f ca="1"/>
        <v>241.070007</v>
      </c>
      <c r="G2457" s="22">
        <f ca="1"/>
        <v>240.39254800000001</v>
      </c>
      <c r="H2457" s="69">
        <f ca="1"/>
        <v>29029700</v>
      </c>
      <c r="I2457" s="23" t="str">
        <f t="shared" ca="1" si="77"/>
        <v/>
      </c>
    </row>
    <row r="2458" spans="1:9" ht="13.8">
      <c r="A2458" s="20">
        <f t="shared" ca="1" si="76"/>
        <v>44833</v>
      </c>
      <c r="B2458" s="21" t="str">
        <f ca="1"/>
        <v>2022-09-29</v>
      </c>
      <c r="C2458" s="22">
        <f ca="1"/>
        <v>238.88999899999999</v>
      </c>
      <c r="D2458" s="22">
        <f ca="1"/>
        <v>239.949997</v>
      </c>
      <c r="E2458" s="22">
        <f ca="1"/>
        <v>234.41000399999999</v>
      </c>
      <c r="F2458" s="22">
        <f ca="1"/>
        <v>237.5</v>
      </c>
      <c r="G2458" s="22">
        <f ca="1"/>
        <v>236.83256499999999</v>
      </c>
      <c r="H2458" s="69">
        <f ca="1"/>
        <v>27484200</v>
      </c>
      <c r="I2458" s="23" t="str">
        <f t="shared" ca="1" si="77"/>
        <v/>
      </c>
    </row>
    <row r="2459" spans="1:9" ht="13.8">
      <c r="A2459" s="20">
        <f t="shared" ca="1" si="76"/>
        <v>44834</v>
      </c>
      <c r="B2459" s="21" t="str">
        <f ca="1"/>
        <v>2022-09-30</v>
      </c>
      <c r="C2459" s="22">
        <f ca="1"/>
        <v>238.28999300000001</v>
      </c>
      <c r="D2459" s="22">
        <f ca="1"/>
        <v>240.53999300000001</v>
      </c>
      <c r="E2459" s="22">
        <f ca="1"/>
        <v>232.729996</v>
      </c>
      <c r="F2459" s="22">
        <f ca="1"/>
        <v>232.89999399999999</v>
      </c>
      <c r="G2459" s="22">
        <f ca="1"/>
        <v>232.24548300000001</v>
      </c>
      <c r="H2459" s="69">
        <f ca="1"/>
        <v>35694800</v>
      </c>
      <c r="I2459" s="23" t="str">
        <f t="shared" ca="1" si="77"/>
        <v/>
      </c>
    </row>
    <row r="2460" spans="1:9" ht="13.8">
      <c r="A2460" s="20">
        <f t="shared" ca="1" si="76"/>
        <v>44837</v>
      </c>
      <c r="B2460" s="21" t="str">
        <f ca="1"/>
        <v>2022-10-03</v>
      </c>
      <c r="C2460" s="22">
        <f ca="1"/>
        <v>235.41000399999999</v>
      </c>
      <c r="D2460" s="22">
        <f ca="1"/>
        <v>241.61000100000001</v>
      </c>
      <c r="E2460" s="22">
        <f ca="1"/>
        <v>234.66000399999999</v>
      </c>
      <c r="F2460" s="22">
        <f ca="1"/>
        <v>240.740005</v>
      </c>
      <c r="G2460" s="22">
        <f ca="1"/>
        <v>240.06346099999999</v>
      </c>
      <c r="H2460" s="69">
        <f ca="1"/>
        <v>28880400</v>
      </c>
      <c r="I2460" s="23" t="str">
        <f t="shared" ca="1" si="77"/>
        <v/>
      </c>
    </row>
    <row r="2461" spans="1:9" ht="13.8">
      <c r="A2461" s="20">
        <f t="shared" ca="1" si="76"/>
        <v>44838</v>
      </c>
      <c r="B2461" s="21" t="str">
        <f ca="1"/>
        <v>2022-10-04</v>
      </c>
      <c r="C2461" s="22">
        <f ca="1"/>
        <v>245.08999600000001</v>
      </c>
      <c r="D2461" s="22">
        <f ca="1"/>
        <v>250.36000100000001</v>
      </c>
      <c r="E2461" s="22">
        <f ca="1"/>
        <v>244.979996</v>
      </c>
      <c r="F2461" s="22">
        <f ca="1"/>
        <v>248.88000500000001</v>
      </c>
      <c r="G2461" s="22">
        <f ca="1"/>
        <v>248.180588</v>
      </c>
      <c r="H2461" s="69">
        <f ca="1"/>
        <v>34888400</v>
      </c>
      <c r="I2461" s="23" t="str">
        <f t="shared" ca="1" si="77"/>
        <v/>
      </c>
    </row>
    <row r="2462" spans="1:9" ht="13.8">
      <c r="A2462" s="20">
        <f t="shared" ca="1" si="76"/>
        <v>44839</v>
      </c>
      <c r="B2462" s="21" t="str">
        <f ca="1"/>
        <v>2022-10-05</v>
      </c>
      <c r="C2462" s="22">
        <f ca="1"/>
        <v>245.990005</v>
      </c>
      <c r="D2462" s="22">
        <f ca="1"/>
        <v>250.58000200000001</v>
      </c>
      <c r="E2462" s="22">
        <f ca="1"/>
        <v>244.10000600000001</v>
      </c>
      <c r="F2462" s="22">
        <f ca="1"/>
        <v>249.199997</v>
      </c>
      <c r="G2462" s="22">
        <f ca="1"/>
        <v>248.49968000000001</v>
      </c>
      <c r="H2462" s="69">
        <f ca="1"/>
        <v>20347100</v>
      </c>
      <c r="I2462" s="23" t="str">
        <f t="shared" ca="1" si="77"/>
        <v/>
      </c>
    </row>
    <row r="2463" spans="1:9" ht="13.8">
      <c r="A2463" s="20">
        <f t="shared" ca="1" si="76"/>
        <v>44840</v>
      </c>
      <c r="B2463" s="21" t="str">
        <f ca="1"/>
        <v>2022-10-06</v>
      </c>
      <c r="C2463" s="22">
        <f ca="1"/>
        <v>247.929993</v>
      </c>
      <c r="D2463" s="22">
        <f ca="1"/>
        <v>250.33999600000001</v>
      </c>
      <c r="E2463" s="22">
        <f ca="1"/>
        <v>246.08000200000001</v>
      </c>
      <c r="F2463" s="22">
        <f ca="1"/>
        <v>246.78999300000001</v>
      </c>
      <c r="G2463" s="22">
        <f ca="1"/>
        <v>246.096451</v>
      </c>
      <c r="H2463" s="69">
        <f ca="1"/>
        <v>20239900</v>
      </c>
      <c r="I2463" s="23" t="str">
        <f t="shared" ca="1" si="77"/>
        <v/>
      </c>
    </row>
    <row r="2464" spans="1:9" ht="13.8">
      <c r="A2464" s="20">
        <f t="shared" ca="1" si="76"/>
        <v>44841</v>
      </c>
      <c r="B2464" s="21" t="str">
        <f ca="1"/>
        <v>2022-10-07</v>
      </c>
      <c r="C2464" s="22">
        <f ca="1"/>
        <v>240.89999399999999</v>
      </c>
      <c r="D2464" s="22">
        <f ca="1"/>
        <v>241.320007</v>
      </c>
      <c r="E2464" s="22">
        <f ca="1"/>
        <v>233.16999799999999</v>
      </c>
      <c r="F2464" s="22">
        <f ca="1"/>
        <v>234.240005</v>
      </c>
      <c r="G2464" s="22">
        <f ca="1"/>
        <v>233.58174099999999</v>
      </c>
      <c r="H2464" s="69">
        <f ca="1"/>
        <v>37769600</v>
      </c>
      <c r="I2464" s="23" t="str">
        <f t="shared" ca="1" si="77"/>
        <v/>
      </c>
    </row>
    <row r="2465" spans="1:9" ht="13.8">
      <c r="A2465" s="20">
        <f t="shared" ca="1" si="76"/>
        <v>44844</v>
      </c>
      <c r="B2465" s="21" t="str">
        <f ca="1"/>
        <v>2022-10-10</v>
      </c>
      <c r="C2465" s="22">
        <f ca="1"/>
        <v>233.050003</v>
      </c>
      <c r="D2465" s="22">
        <f ca="1"/>
        <v>234.55999800000001</v>
      </c>
      <c r="E2465" s="22">
        <f ca="1"/>
        <v>226.729996</v>
      </c>
      <c r="F2465" s="22">
        <f ca="1"/>
        <v>229.25</v>
      </c>
      <c r="G2465" s="22">
        <f ca="1"/>
        <v>228.60575900000001</v>
      </c>
      <c r="H2465" s="69">
        <f ca="1"/>
        <v>29743600</v>
      </c>
      <c r="I2465" s="23" t="str">
        <f t="shared" ca="1" si="77"/>
        <v/>
      </c>
    </row>
    <row r="2466" spans="1:9" ht="13.8">
      <c r="A2466" s="20">
        <f t="shared" ca="1" si="76"/>
        <v>44845</v>
      </c>
      <c r="B2466" s="21" t="str">
        <f ca="1"/>
        <v>2022-10-11</v>
      </c>
      <c r="C2466" s="22">
        <f ca="1"/>
        <v>227.61999499999999</v>
      </c>
      <c r="D2466" s="22">
        <f ca="1"/>
        <v>229.05999800000001</v>
      </c>
      <c r="E2466" s="22">
        <f ca="1"/>
        <v>224.11000100000001</v>
      </c>
      <c r="F2466" s="22">
        <f ca="1"/>
        <v>225.41000399999999</v>
      </c>
      <c r="G2466" s="22">
        <f ca="1"/>
        <v>224.77654999999999</v>
      </c>
      <c r="H2466" s="69">
        <f ca="1"/>
        <v>30474000</v>
      </c>
      <c r="I2466" s="23" t="str">
        <f t="shared" ca="1" si="77"/>
        <v/>
      </c>
    </row>
    <row r="2467" spans="1:9" ht="13.8">
      <c r="A2467" s="20">
        <f t="shared" ca="1" si="76"/>
        <v>44846</v>
      </c>
      <c r="B2467" s="21" t="str">
        <f ca="1"/>
        <v>2022-10-12</v>
      </c>
      <c r="C2467" s="22">
        <f ca="1"/>
        <v>225.39999399999999</v>
      </c>
      <c r="D2467" s="22">
        <f ca="1"/>
        <v>227.86000100000001</v>
      </c>
      <c r="E2467" s="22">
        <f ca="1"/>
        <v>223.96000699999999</v>
      </c>
      <c r="F2467" s="22">
        <f ca="1"/>
        <v>225.75</v>
      </c>
      <c r="G2467" s="22">
        <f ca="1"/>
        <v>225.11558500000001</v>
      </c>
      <c r="H2467" s="69">
        <f ca="1"/>
        <v>21903900</v>
      </c>
      <c r="I2467" s="23" t="str">
        <f t="shared" ca="1" si="77"/>
        <v/>
      </c>
    </row>
    <row r="2468" spans="1:9" ht="13.8">
      <c r="A2468" s="20">
        <f t="shared" ca="1" si="76"/>
        <v>44847</v>
      </c>
      <c r="B2468" s="21" t="str">
        <f ca="1"/>
        <v>2022-10-13</v>
      </c>
      <c r="C2468" s="22">
        <f ca="1"/>
        <v>219.85000600000001</v>
      </c>
      <c r="D2468" s="22">
        <f ca="1"/>
        <v>236.10000600000001</v>
      </c>
      <c r="E2468" s="22">
        <f ca="1"/>
        <v>219.13000500000001</v>
      </c>
      <c r="F2468" s="22">
        <f ca="1"/>
        <v>234.240005</v>
      </c>
      <c r="G2468" s="22">
        <f ca="1"/>
        <v>233.58174099999999</v>
      </c>
      <c r="H2468" s="69">
        <f ca="1"/>
        <v>42551800</v>
      </c>
      <c r="I2468" s="23" t="str">
        <f t="shared" ca="1" si="77"/>
        <v/>
      </c>
    </row>
    <row r="2469" spans="1:9" ht="13.8">
      <c r="A2469" s="20">
        <f t="shared" ca="1" si="76"/>
        <v>44848</v>
      </c>
      <c r="B2469" s="21" t="str">
        <f ca="1"/>
        <v>2022-10-14</v>
      </c>
      <c r="C2469" s="22">
        <f ca="1"/>
        <v>235.53999300000001</v>
      </c>
      <c r="D2469" s="22">
        <f ca="1"/>
        <v>237.240005</v>
      </c>
      <c r="E2469" s="22">
        <f ca="1"/>
        <v>228.33999600000001</v>
      </c>
      <c r="F2469" s="22">
        <f ca="1"/>
        <v>228.55999800000001</v>
      </c>
      <c r="G2469" s="22">
        <f ca="1"/>
        <v>227.91769400000001</v>
      </c>
      <c r="H2469" s="69">
        <f ca="1"/>
        <v>30198600</v>
      </c>
      <c r="I2469" s="23" t="str">
        <f t="shared" ca="1" si="77"/>
        <v/>
      </c>
    </row>
    <row r="2470" spans="1:9" ht="13.8">
      <c r="A2470" s="20">
        <f t="shared" ca="1" si="76"/>
        <v>44851</v>
      </c>
      <c r="B2470" s="21" t="str">
        <f ca="1"/>
        <v>2022-10-17</v>
      </c>
      <c r="C2470" s="22">
        <f ca="1"/>
        <v>235.820007</v>
      </c>
      <c r="D2470" s="22">
        <f ca="1"/>
        <v>238.96000699999999</v>
      </c>
      <c r="E2470" s="22">
        <f ca="1"/>
        <v>235.13999899999999</v>
      </c>
      <c r="F2470" s="22">
        <f ca="1"/>
        <v>237.529999</v>
      </c>
      <c r="G2470" s="22">
        <f ca="1"/>
        <v>236.86248800000001</v>
      </c>
      <c r="H2470" s="69">
        <f ca="1"/>
        <v>28142300</v>
      </c>
      <c r="I2470" s="23" t="str">
        <f t="shared" ca="1" si="77"/>
        <v/>
      </c>
    </row>
    <row r="2471" spans="1:9" ht="13.8">
      <c r="A2471" s="20">
        <f t="shared" ca="1" si="76"/>
        <v>44852</v>
      </c>
      <c r="B2471" s="21" t="str">
        <f ca="1"/>
        <v>2022-10-18</v>
      </c>
      <c r="C2471" s="22">
        <f ca="1"/>
        <v>243.240005</v>
      </c>
      <c r="D2471" s="22">
        <f ca="1"/>
        <v>243.929993</v>
      </c>
      <c r="E2471" s="22">
        <f ca="1"/>
        <v>235.36999499999999</v>
      </c>
      <c r="F2471" s="22">
        <f ca="1"/>
        <v>238.5</v>
      </c>
      <c r="G2471" s="22">
        <f ca="1"/>
        <v>237.829758</v>
      </c>
      <c r="H2471" s="69">
        <f ca="1"/>
        <v>26329600</v>
      </c>
      <c r="I2471" s="23" t="str">
        <f t="shared" ca="1" si="77"/>
        <v/>
      </c>
    </row>
    <row r="2472" spans="1:9" ht="13.8">
      <c r="A2472" s="20">
        <f t="shared" ca="1" si="76"/>
        <v>44853</v>
      </c>
      <c r="B2472" s="21" t="str">
        <f ca="1"/>
        <v>2022-10-19</v>
      </c>
      <c r="C2472" s="22">
        <f ca="1"/>
        <v>237.03999300000001</v>
      </c>
      <c r="D2472" s="22">
        <f ca="1"/>
        <v>239.61000100000001</v>
      </c>
      <c r="E2472" s="22">
        <f ca="1"/>
        <v>234.28999300000001</v>
      </c>
      <c r="F2472" s="22">
        <f ca="1"/>
        <v>236.479996</v>
      </c>
      <c r="G2472" s="22">
        <f ca="1"/>
        <v>235.81542999999999</v>
      </c>
      <c r="H2472" s="69">
        <f ca="1"/>
        <v>19985700</v>
      </c>
      <c r="I2472" s="23" t="str">
        <f t="shared" ca="1" si="77"/>
        <v/>
      </c>
    </row>
    <row r="2473" spans="1:9" ht="13.8">
      <c r="A2473" s="20">
        <f t="shared" ca="1" si="76"/>
        <v>44854</v>
      </c>
      <c r="B2473" s="21" t="str">
        <f ca="1"/>
        <v>2022-10-20</v>
      </c>
      <c r="C2473" s="22">
        <f ca="1"/>
        <v>235.770004</v>
      </c>
      <c r="D2473" s="22">
        <f ca="1"/>
        <v>241.30999800000001</v>
      </c>
      <c r="E2473" s="22">
        <f ca="1"/>
        <v>234.86999499999999</v>
      </c>
      <c r="F2473" s="22">
        <f ca="1"/>
        <v>236.14999399999999</v>
      </c>
      <c r="G2473" s="22">
        <f ca="1"/>
        <v>235.48635899999999</v>
      </c>
      <c r="H2473" s="69">
        <f ca="1"/>
        <v>21811000</v>
      </c>
      <c r="I2473" s="23" t="str">
        <f t="shared" ca="1" si="77"/>
        <v/>
      </c>
    </row>
    <row r="2474" spans="1:9" ht="13.8">
      <c r="A2474" s="20">
        <f t="shared" ca="1" si="76"/>
        <v>44855</v>
      </c>
      <c r="B2474" s="21" t="str">
        <f ca="1"/>
        <v>2022-10-21</v>
      </c>
      <c r="C2474" s="22">
        <f ca="1"/>
        <v>234.740005</v>
      </c>
      <c r="D2474" s="22">
        <f ca="1"/>
        <v>243</v>
      </c>
      <c r="E2474" s="22">
        <f ca="1"/>
        <v>234.5</v>
      </c>
      <c r="F2474" s="22">
        <f ca="1"/>
        <v>242.11999499999999</v>
      </c>
      <c r="G2474" s="22">
        <f ca="1"/>
        <v>241.43957499999999</v>
      </c>
      <c r="H2474" s="69">
        <f ca="1"/>
        <v>26299700</v>
      </c>
      <c r="I2474" s="23" t="str">
        <f t="shared" ca="1" si="77"/>
        <v/>
      </c>
    </row>
    <row r="2475" spans="1:9" ht="13.8">
      <c r="A2475" s="20">
        <f t="shared" ca="1" si="76"/>
        <v>44858</v>
      </c>
      <c r="B2475" s="21" t="str">
        <f ca="1"/>
        <v>2022-10-24</v>
      </c>
      <c r="C2475" s="22">
        <f ca="1"/>
        <v>243.759995</v>
      </c>
      <c r="D2475" s="22">
        <f ca="1"/>
        <v>247.83999600000001</v>
      </c>
      <c r="E2475" s="22">
        <f ca="1"/>
        <v>241.300003</v>
      </c>
      <c r="F2475" s="22">
        <f ca="1"/>
        <v>247.25</v>
      </c>
      <c r="G2475" s="22">
        <f ca="1"/>
        <v>246.55517599999999</v>
      </c>
      <c r="H2475" s="69">
        <f ca="1"/>
        <v>24911200</v>
      </c>
      <c r="I2475" s="23" t="str">
        <f t="shared" ca="1" si="77"/>
        <v/>
      </c>
    </row>
    <row r="2476" spans="1:9" ht="13.8">
      <c r="A2476" s="20">
        <f t="shared" ca="1" si="76"/>
        <v>44859</v>
      </c>
      <c r="B2476" s="21" t="str">
        <f ca="1"/>
        <v>2022-10-25</v>
      </c>
      <c r="C2476" s="22">
        <f ca="1"/>
        <v>247.259995</v>
      </c>
      <c r="D2476" s="22">
        <f ca="1"/>
        <v>251.03999300000001</v>
      </c>
      <c r="E2476" s="22">
        <f ca="1"/>
        <v>245.83000200000001</v>
      </c>
      <c r="F2476" s="22">
        <f ca="1"/>
        <v>250.66000399999999</v>
      </c>
      <c r="G2476" s="22">
        <f ca="1"/>
        <v>249.95558199999999</v>
      </c>
      <c r="H2476" s="69">
        <f ca="1"/>
        <v>34775500</v>
      </c>
      <c r="I2476" s="23" t="str">
        <f t="shared" ca="1" si="77"/>
        <v/>
      </c>
    </row>
    <row r="2477" spans="1:9" ht="13.8">
      <c r="A2477" s="20">
        <f t="shared" ca="1" si="76"/>
        <v>44860</v>
      </c>
      <c r="B2477" s="21" t="str">
        <f ca="1"/>
        <v>2022-10-26</v>
      </c>
      <c r="C2477" s="22">
        <f ca="1"/>
        <v>231.16999799999999</v>
      </c>
      <c r="D2477" s="22">
        <f ca="1"/>
        <v>238.300003</v>
      </c>
      <c r="E2477" s="22">
        <f ca="1"/>
        <v>230.05999800000001</v>
      </c>
      <c r="F2477" s="22">
        <f ca="1"/>
        <v>231.320007</v>
      </c>
      <c r="G2477" s="22">
        <f ca="1"/>
        <v>230.669937</v>
      </c>
      <c r="H2477" s="69">
        <f ca="1"/>
        <v>82543200</v>
      </c>
      <c r="I2477" s="23" t="str">
        <f t="shared" ca="1" si="77"/>
        <v/>
      </c>
    </row>
    <row r="2478" spans="1:9" ht="13.8">
      <c r="A2478" s="20">
        <f t="shared" ca="1" si="76"/>
        <v>44861</v>
      </c>
      <c r="B2478" s="21" t="str">
        <f ca="1"/>
        <v>2022-10-27</v>
      </c>
      <c r="C2478" s="22">
        <f ca="1"/>
        <v>231.03999300000001</v>
      </c>
      <c r="D2478" s="22">
        <f ca="1"/>
        <v>233.69000199999999</v>
      </c>
      <c r="E2478" s="22">
        <f ca="1"/>
        <v>225.779999</v>
      </c>
      <c r="F2478" s="22">
        <f ca="1"/>
        <v>226.75</v>
      </c>
      <c r="G2478" s="22">
        <f ca="1"/>
        <v>226.11277799999999</v>
      </c>
      <c r="H2478" s="69">
        <f ca="1"/>
        <v>40424600</v>
      </c>
      <c r="I2478" s="23" t="str">
        <f t="shared" ca="1" si="77"/>
        <v/>
      </c>
    </row>
    <row r="2479" spans="1:9" ht="13.8">
      <c r="A2479" s="20">
        <f t="shared" ca="1" si="76"/>
        <v>44862</v>
      </c>
      <c r="B2479" s="21" t="str">
        <f ca="1"/>
        <v>2022-10-28</v>
      </c>
      <c r="C2479" s="22">
        <f ca="1"/>
        <v>226.240005</v>
      </c>
      <c r="D2479" s="22">
        <f ca="1"/>
        <v>236.60000600000001</v>
      </c>
      <c r="E2479" s="22">
        <f ca="1"/>
        <v>226.050003</v>
      </c>
      <c r="F2479" s="22">
        <f ca="1"/>
        <v>235.86999499999999</v>
      </c>
      <c r="G2479" s="22">
        <f ca="1"/>
        <v>235.20713799999999</v>
      </c>
      <c r="H2479" s="69">
        <f ca="1"/>
        <v>40647700</v>
      </c>
      <c r="I2479" s="23" t="str">
        <f t="shared" ca="1" si="77"/>
        <v/>
      </c>
    </row>
    <row r="2480" spans="1:9" ht="13.8">
      <c r="A2480" s="20">
        <f t="shared" ca="1" si="76"/>
        <v>44865</v>
      </c>
      <c r="B2480" s="21" t="str">
        <f ca="1"/>
        <v>2022-10-31</v>
      </c>
      <c r="C2480" s="22">
        <f ca="1"/>
        <v>233.759995</v>
      </c>
      <c r="D2480" s="22">
        <f ca="1"/>
        <v>234.91999799999999</v>
      </c>
      <c r="E2480" s="22">
        <f ca="1"/>
        <v>231.14999399999999</v>
      </c>
      <c r="F2480" s="22">
        <f ca="1"/>
        <v>232.13000500000001</v>
      </c>
      <c r="G2480" s="22">
        <f ca="1"/>
        <v>231.47766100000001</v>
      </c>
      <c r="H2480" s="69">
        <f ca="1"/>
        <v>28357300</v>
      </c>
      <c r="I2480" s="23" t="str">
        <f t="shared" ca="1" si="77"/>
        <v/>
      </c>
    </row>
    <row r="2481" spans="1:9" ht="13.8">
      <c r="A2481" s="20">
        <f t="shared" ca="1" si="76"/>
        <v>44866</v>
      </c>
      <c r="B2481" s="21" t="str">
        <f ca="1"/>
        <v>2022-11-01</v>
      </c>
      <c r="C2481" s="22">
        <f ca="1"/>
        <v>234.60000600000001</v>
      </c>
      <c r="D2481" s="22">
        <f ca="1"/>
        <v>235.740005</v>
      </c>
      <c r="E2481" s="22">
        <f ca="1"/>
        <v>227.33000200000001</v>
      </c>
      <c r="F2481" s="22">
        <f ca="1"/>
        <v>228.16999799999999</v>
      </c>
      <c r="G2481" s="22">
        <f ca="1"/>
        <v>227.52879300000001</v>
      </c>
      <c r="H2481" s="69">
        <f ca="1"/>
        <v>30592300</v>
      </c>
      <c r="I2481" s="23" t="str">
        <f t="shared" ca="1" si="77"/>
        <v/>
      </c>
    </row>
    <row r="2482" spans="1:9" ht="13.8">
      <c r="A2482" s="20">
        <f t="shared" ca="1" si="76"/>
        <v>44867</v>
      </c>
      <c r="B2482" s="21" t="str">
        <f ca="1"/>
        <v>2022-11-02</v>
      </c>
      <c r="C2482" s="22">
        <f ca="1"/>
        <v>229.46000699999999</v>
      </c>
      <c r="D2482" s="22">
        <f ca="1"/>
        <v>231.300003</v>
      </c>
      <c r="E2482" s="22">
        <f ca="1"/>
        <v>220.03999300000001</v>
      </c>
      <c r="F2482" s="22">
        <f ca="1"/>
        <v>220.10000600000001</v>
      </c>
      <c r="G2482" s="22">
        <f ca="1"/>
        <v>219.48147599999999</v>
      </c>
      <c r="H2482" s="69">
        <f ca="1"/>
        <v>38407000</v>
      </c>
      <c r="I2482" s="23" t="str">
        <f t="shared" ca="1" si="77"/>
        <v/>
      </c>
    </row>
    <row r="2483" spans="1:9" ht="13.8">
      <c r="A2483" s="20">
        <f t="shared" ca="1" si="76"/>
        <v>44868</v>
      </c>
      <c r="B2483" s="21" t="str">
        <f ca="1"/>
        <v>2022-11-03</v>
      </c>
      <c r="C2483" s="22">
        <f ca="1"/>
        <v>220.08999600000001</v>
      </c>
      <c r="D2483" s="22">
        <f ca="1"/>
        <v>220.41000399999999</v>
      </c>
      <c r="E2483" s="22">
        <f ca="1"/>
        <v>213.979996</v>
      </c>
      <c r="F2483" s="22">
        <f ca="1"/>
        <v>214.25</v>
      </c>
      <c r="G2483" s="22">
        <f ca="1"/>
        <v>213.64790300000001</v>
      </c>
      <c r="H2483" s="69">
        <f ca="1"/>
        <v>36633900</v>
      </c>
      <c r="I2483" s="23" t="str">
        <f t="shared" ca="1" si="77"/>
        <v/>
      </c>
    </row>
    <row r="2484" spans="1:9" ht="13.8">
      <c r="A2484" s="20">
        <f t="shared" ca="1" si="76"/>
        <v>44869</v>
      </c>
      <c r="B2484" s="21" t="str">
        <f ca="1"/>
        <v>2022-11-04</v>
      </c>
      <c r="C2484" s="22">
        <f ca="1"/>
        <v>217.550003</v>
      </c>
      <c r="D2484" s="22">
        <f ca="1"/>
        <v>221.58999600000001</v>
      </c>
      <c r="E2484" s="22">
        <f ca="1"/>
        <v>213.429993</v>
      </c>
      <c r="F2484" s="22">
        <f ca="1"/>
        <v>221.38999899999999</v>
      </c>
      <c r="G2484" s="22">
        <f ca="1"/>
        <v>220.76783800000001</v>
      </c>
      <c r="H2484" s="69">
        <f ca="1"/>
        <v>36789100</v>
      </c>
      <c r="I2484" s="23" t="str">
        <f t="shared" ca="1" si="77"/>
        <v/>
      </c>
    </row>
    <row r="2485" spans="1:9" ht="13.8">
      <c r="A2485" s="20">
        <f t="shared" ca="1" si="76"/>
        <v>44872</v>
      </c>
      <c r="B2485" s="21" t="str">
        <f ca="1"/>
        <v>2022-11-07</v>
      </c>
      <c r="C2485" s="22">
        <f ca="1"/>
        <v>221.990005</v>
      </c>
      <c r="D2485" s="22">
        <f ca="1"/>
        <v>228.41000399999999</v>
      </c>
      <c r="E2485" s="22">
        <f ca="1"/>
        <v>221.279999</v>
      </c>
      <c r="F2485" s="22">
        <f ca="1"/>
        <v>227.86999499999999</v>
      </c>
      <c r="G2485" s="22">
        <f ca="1"/>
        <v>227.22962999999999</v>
      </c>
      <c r="H2485" s="69">
        <f ca="1"/>
        <v>33498000</v>
      </c>
      <c r="I2485" s="23" t="str">
        <f t="shared" ca="1" si="77"/>
        <v/>
      </c>
    </row>
    <row r="2486" spans="1:9" ht="13.8">
      <c r="A2486" s="20">
        <f t="shared" ca="1" si="76"/>
        <v>44873</v>
      </c>
      <c r="B2486" s="21" t="str">
        <f ca="1"/>
        <v>2022-11-08</v>
      </c>
      <c r="C2486" s="22">
        <f ca="1"/>
        <v>228.699997</v>
      </c>
      <c r="D2486" s="22">
        <f ca="1"/>
        <v>231.64999399999999</v>
      </c>
      <c r="E2486" s="22">
        <f ca="1"/>
        <v>225.83999600000001</v>
      </c>
      <c r="F2486" s="22">
        <f ca="1"/>
        <v>228.86999499999999</v>
      </c>
      <c r="G2486" s="22">
        <f ca="1"/>
        <v>228.226822</v>
      </c>
      <c r="H2486" s="69">
        <f ca="1"/>
        <v>28192500</v>
      </c>
      <c r="I2486" s="23" t="str">
        <f t="shared" ca="1" si="77"/>
        <v/>
      </c>
    </row>
    <row r="2487" spans="1:9" ht="13.8">
      <c r="A2487" s="20">
        <f t="shared" ca="1" si="76"/>
        <v>44874</v>
      </c>
      <c r="B2487" s="21" t="str">
        <f ca="1"/>
        <v>2022-11-09</v>
      </c>
      <c r="C2487" s="22">
        <f ca="1"/>
        <v>227.36999499999999</v>
      </c>
      <c r="D2487" s="22">
        <f ca="1"/>
        <v>228.63000500000001</v>
      </c>
      <c r="E2487" s="22">
        <f ca="1"/>
        <v>224.33000200000001</v>
      </c>
      <c r="F2487" s="22">
        <f ca="1"/>
        <v>224.509995</v>
      </c>
      <c r="G2487" s="22">
        <f ca="1"/>
        <v>223.879074</v>
      </c>
      <c r="H2487" s="69">
        <f ca="1"/>
        <v>27852900</v>
      </c>
      <c r="I2487" s="23" t="str">
        <f t="shared" ca="1" si="77"/>
        <v/>
      </c>
    </row>
    <row r="2488" spans="1:9" ht="13.8">
      <c r="A2488" s="20">
        <f t="shared" ca="1" si="76"/>
        <v>44875</v>
      </c>
      <c r="B2488" s="21" t="str">
        <f ca="1"/>
        <v>2022-11-10</v>
      </c>
      <c r="C2488" s="22">
        <f ca="1"/>
        <v>235.429993</v>
      </c>
      <c r="D2488" s="22">
        <f ca="1"/>
        <v>243.33000200000001</v>
      </c>
      <c r="E2488" s="22">
        <f ca="1"/>
        <v>235</v>
      </c>
      <c r="F2488" s="22">
        <f ca="1"/>
        <v>242.979996</v>
      </c>
      <c r="G2488" s="22">
        <f ca="1"/>
        <v>242.29716500000001</v>
      </c>
      <c r="H2488" s="69">
        <f ca="1"/>
        <v>46268000</v>
      </c>
      <c r="I2488" s="23" t="str">
        <f t="shared" ca="1" si="77"/>
        <v/>
      </c>
    </row>
    <row r="2489" spans="1:9" ht="13.8">
      <c r="A2489" s="20">
        <f t="shared" ca="1" si="76"/>
        <v>44876</v>
      </c>
      <c r="B2489" s="21" t="str">
        <f ca="1"/>
        <v>2022-11-11</v>
      </c>
      <c r="C2489" s="22">
        <f ca="1"/>
        <v>242.990005</v>
      </c>
      <c r="D2489" s="22">
        <f ca="1"/>
        <v>247.990005</v>
      </c>
      <c r="E2489" s="22">
        <f ca="1"/>
        <v>241.929993</v>
      </c>
      <c r="F2489" s="22">
        <f ca="1"/>
        <v>247.11000100000001</v>
      </c>
      <c r="G2489" s="22">
        <f ca="1"/>
        <v>246.415558</v>
      </c>
      <c r="H2489" s="69">
        <f ca="1"/>
        <v>34620200</v>
      </c>
      <c r="I2489" s="23" t="str">
        <f t="shared" ca="1" si="77"/>
        <v/>
      </c>
    </row>
    <row r="2490" spans="1:9" ht="13.8">
      <c r="A2490" s="20">
        <f t="shared" ca="1" si="76"/>
        <v>44879</v>
      </c>
      <c r="B2490" s="21" t="str">
        <f ca="1"/>
        <v>2022-11-14</v>
      </c>
      <c r="C2490" s="22">
        <f ca="1"/>
        <v>241.990005</v>
      </c>
      <c r="D2490" s="22">
        <f ca="1"/>
        <v>243.91000399999999</v>
      </c>
      <c r="E2490" s="22">
        <f ca="1"/>
        <v>239.21000699999999</v>
      </c>
      <c r="F2490" s="22">
        <f ca="1"/>
        <v>241.550003</v>
      </c>
      <c r="G2490" s="22">
        <f ca="1"/>
        <v>240.871185</v>
      </c>
      <c r="H2490" s="69">
        <f ca="1"/>
        <v>31123300</v>
      </c>
      <c r="I2490" s="23" t="str">
        <f t="shared" ca="1" si="77"/>
        <v/>
      </c>
    </row>
    <row r="2491" spans="1:9" ht="13.8">
      <c r="A2491" s="20">
        <f t="shared" ca="1" si="76"/>
        <v>44880</v>
      </c>
      <c r="B2491" s="21" t="str">
        <f ca="1"/>
        <v>2022-11-15</v>
      </c>
      <c r="C2491" s="22">
        <f ca="1"/>
        <v>245.66000399999999</v>
      </c>
      <c r="D2491" s="22">
        <f ca="1"/>
        <v>247</v>
      </c>
      <c r="E2491" s="22">
        <f ca="1"/>
        <v>240.029999</v>
      </c>
      <c r="F2491" s="22">
        <f ca="1"/>
        <v>241.970001</v>
      </c>
      <c r="G2491" s="22">
        <f ca="1"/>
        <v>241.290009</v>
      </c>
      <c r="H2491" s="69">
        <f ca="1"/>
        <v>31390100</v>
      </c>
      <c r="I2491" s="23" t="str">
        <f t="shared" ca="1" si="77"/>
        <v/>
      </c>
    </row>
    <row r="2492" spans="1:9" ht="13.8">
      <c r="A2492" s="20">
        <f t="shared" ca="1" si="76"/>
        <v>44881</v>
      </c>
      <c r="B2492" s="21" t="str">
        <f ca="1"/>
        <v>2022-11-16</v>
      </c>
      <c r="C2492" s="22">
        <f ca="1"/>
        <v>242.78999300000001</v>
      </c>
      <c r="D2492" s="22">
        <f ca="1"/>
        <v>243.800003</v>
      </c>
      <c r="E2492" s="22">
        <f ca="1"/>
        <v>240.41999799999999</v>
      </c>
      <c r="F2492" s="22">
        <f ca="1"/>
        <v>241.729996</v>
      </c>
      <c r="G2492" s="22">
        <f ca="1"/>
        <v>241.729996</v>
      </c>
      <c r="H2492" s="69">
        <f ca="1"/>
        <v>24093300</v>
      </c>
      <c r="I2492" s="23">
        <f t="shared" ca="1" si="77"/>
        <v>0.68</v>
      </c>
    </row>
    <row r="2493" spans="1:9" ht="13.8">
      <c r="A2493" s="20">
        <f t="shared" ca="1" si="76"/>
        <v>44882</v>
      </c>
      <c r="B2493" s="21" t="str">
        <f ca="1"/>
        <v>2022-11-17</v>
      </c>
      <c r="C2493" s="22">
        <f ca="1"/>
        <v>237.779999</v>
      </c>
      <c r="D2493" s="22">
        <f ca="1"/>
        <v>243.25</v>
      </c>
      <c r="E2493" s="22">
        <f ca="1"/>
        <v>237.63000500000001</v>
      </c>
      <c r="F2493" s="22">
        <f ca="1"/>
        <v>241.679993</v>
      </c>
      <c r="G2493" s="22">
        <f ca="1"/>
        <v>241.679993</v>
      </c>
      <c r="H2493" s="69">
        <f ca="1"/>
        <v>23123500</v>
      </c>
      <c r="I2493" s="23" t="str">
        <f t="shared" ca="1" si="77"/>
        <v/>
      </c>
    </row>
    <row r="2494" spans="1:9" ht="13.8">
      <c r="A2494" s="20">
        <f t="shared" ca="1" si="76"/>
        <v>44883</v>
      </c>
      <c r="B2494" s="21" t="str">
        <f ca="1"/>
        <v>2022-11-18</v>
      </c>
      <c r="C2494" s="22">
        <f ca="1"/>
        <v>243.509995</v>
      </c>
      <c r="D2494" s="22">
        <f ca="1"/>
        <v>243.740005</v>
      </c>
      <c r="E2494" s="22">
        <f ca="1"/>
        <v>239.029999</v>
      </c>
      <c r="F2494" s="22">
        <f ca="1"/>
        <v>241.220001</v>
      </c>
      <c r="G2494" s="22">
        <f ca="1"/>
        <v>241.220001</v>
      </c>
      <c r="H2494" s="69">
        <f ca="1"/>
        <v>27613500</v>
      </c>
      <c r="I2494" s="23" t="str">
        <f t="shared" ca="1" si="77"/>
        <v/>
      </c>
    </row>
    <row r="2495" spans="1:9" ht="13.8">
      <c r="A2495" s="20">
        <f t="shared" ca="1" si="76"/>
        <v>44886</v>
      </c>
      <c r="B2495" s="21" t="str">
        <f ca="1"/>
        <v>2022-11-21</v>
      </c>
      <c r="C2495" s="22">
        <f ca="1"/>
        <v>241.429993</v>
      </c>
      <c r="D2495" s="22">
        <f ca="1"/>
        <v>244.66999799999999</v>
      </c>
      <c r="E2495" s="22">
        <f ca="1"/>
        <v>241.19000199999999</v>
      </c>
      <c r="F2495" s="22">
        <f ca="1"/>
        <v>242.050003</v>
      </c>
      <c r="G2495" s="22">
        <f ca="1"/>
        <v>242.050003</v>
      </c>
      <c r="H2495" s="69">
        <f ca="1"/>
        <v>26394700</v>
      </c>
      <c r="I2495" s="23" t="str">
        <f t="shared" ca="1" si="77"/>
        <v/>
      </c>
    </row>
    <row r="2496" spans="1:9" ht="13.8">
      <c r="A2496" s="20">
        <f t="shared" ca="1" si="76"/>
        <v>44887</v>
      </c>
      <c r="B2496" s="21" t="str">
        <f ca="1"/>
        <v>2022-11-22</v>
      </c>
      <c r="C2496" s="22">
        <f ca="1"/>
        <v>243.58999600000001</v>
      </c>
      <c r="D2496" s="22">
        <f ca="1"/>
        <v>245.30999800000001</v>
      </c>
      <c r="E2496" s="22">
        <f ca="1"/>
        <v>240.71000699999999</v>
      </c>
      <c r="F2496" s="22">
        <f ca="1"/>
        <v>245.029999</v>
      </c>
      <c r="G2496" s="22">
        <f ca="1"/>
        <v>245.029999</v>
      </c>
      <c r="H2496" s="69">
        <f ca="1"/>
        <v>19665700</v>
      </c>
      <c r="I2496" s="23" t="str">
        <f t="shared" ca="1" si="77"/>
        <v/>
      </c>
    </row>
    <row r="2497" spans="1:11" ht="13.8">
      <c r="A2497" s="20">
        <f t="shared" ca="1" si="76"/>
        <v>44888</v>
      </c>
      <c r="B2497" s="21" t="str">
        <f ca="1"/>
        <v>2022-11-23</v>
      </c>
      <c r="C2497" s="22">
        <f ca="1"/>
        <v>245.11000100000001</v>
      </c>
      <c r="D2497" s="22">
        <f ca="1"/>
        <v>248.279999</v>
      </c>
      <c r="E2497" s="22">
        <f ca="1"/>
        <v>244.270004</v>
      </c>
      <c r="F2497" s="22">
        <f ca="1"/>
        <v>247.58000200000001</v>
      </c>
      <c r="G2497" s="22">
        <f ca="1"/>
        <v>247.58000200000001</v>
      </c>
      <c r="H2497" s="69">
        <f ca="1"/>
        <v>19508500</v>
      </c>
      <c r="I2497" s="23" t="str">
        <f t="shared" ca="1" si="77"/>
        <v/>
      </c>
    </row>
    <row r="2498" spans="1:11" ht="13.8">
      <c r="A2498" s="20">
        <f t="shared" ca="1" si="76"/>
        <v>44890</v>
      </c>
      <c r="B2498" s="21" t="str">
        <f ca="1"/>
        <v>2022-11-25</v>
      </c>
      <c r="C2498" s="22">
        <f ca="1"/>
        <v>247.30999800000001</v>
      </c>
      <c r="D2498" s="22">
        <f ca="1"/>
        <v>248.699997</v>
      </c>
      <c r="E2498" s="22">
        <f ca="1"/>
        <v>246.729996</v>
      </c>
      <c r="F2498" s="22">
        <f ca="1"/>
        <v>247.490005</v>
      </c>
      <c r="G2498" s="22">
        <f ca="1"/>
        <v>247.490005</v>
      </c>
      <c r="H2498" s="69">
        <f ca="1"/>
        <v>9200800</v>
      </c>
      <c r="I2498" s="23" t="str">
        <f t="shared" ca="1" si="77"/>
        <v/>
      </c>
    </row>
    <row r="2499" spans="1:11" ht="13.8">
      <c r="A2499" s="20">
        <f t="shared" ca="1" si="76"/>
        <v>44893</v>
      </c>
      <c r="B2499" s="21" t="str">
        <f ca="1"/>
        <v>2022-11-28</v>
      </c>
      <c r="C2499" s="22">
        <f ca="1"/>
        <v>246.08000200000001</v>
      </c>
      <c r="D2499" s="22">
        <f ca="1"/>
        <v>246.64999399999999</v>
      </c>
      <c r="E2499" s="22">
        <f ca="1"/>
        <v>240.800003</v>
      </c>
      <c r="F2499" s="22">
        <f ca="1"/>
        <v>241.759995</v>
      </c>
      <c r="G2499" s="22">
        <f ca="1"/>
        <v>241.759995</v>
      </c>
      <c r="H2499" s="69">
        <f ca="1"/>
        <v>24778200</v>
      </c>
      <c r="I2499" s="23" t="str">
        <f t="shared" ca="1" si="77"/>
        <v/>
      </c>
    </row>
    <row r="2500" spans="1:11" ht="13.8">
      <c r="A2500" s="20">
        <f t="shared" ca="1" si="76"/>
        <v>44894</v>
      </c>
      <c r="B2500" s="21" t="str">
        <f ca="1"/>
        <v>2022-11-29</v>
      </c>
      <c r="C2500" s="22">
        <f ca="1"/>
        <v>241.39999399999999</v>
      </c>
      <c r="D2500" s="22">
        <f ca="1"/>
        <v>242.78999300000001</v>
      </c>
      <c r="E2500" s="22">
        <f ca="1"/>
        <v>238.21000699999999</v>
      </c>
      <c r="F2500" s="22">
        <f ca="1"/>
        <v>240.33000200000001</v>
      </c>
      <c r="G2500" s="22">
        <f ca="1"/>
        <v>240.33000200000001</v>
      </c>
      <c r="H2500" s="69">
        <f ca="1"/>
        <v>17956300</v>
      </c>
      <c r="I2500" s="23" t="str">
        <f t="shared" ca="1" si="77"/>
        <v/>
      </c>
    </row>
    <row r="2501" spans="1:11" ht="13.8">
      <c r="A2501" s="20">
        <f t="shared" ca="1" si="76"/>
        <v>44895</v>
      </c>
      <c r="B2501" s="21" t="str">
        <f ca="1"/>
        <v>2022-11-30</v>
      </c>
      <c r="C2501" s="22">
        <f ca="1"/>
        <v>240.570007</v>
      </c>
      <c r="D2501" s="22">
        <f ca="1"/>
        <v>255.33000200000001</v>
      </c>
      <c r="E2501" s="22">
        <f ca="1"/>
        <v>239.86000100000001</v>
      </c>
      <c r="F2501" s="22">
        <f ca="1"/>
        <v>255.13999899999999</v>
      </c>
      <c r="G2501" s="22">
        <f ca="1"/>
        <v>255.13999899999999</v>
      </c>
      <c r="H2501" s="69">
        <f ca="1"/>
        <v>47594200</v>
      </c>
      <c r="I2501" s="23" t="str">
        <f t="shared" ca="1" si="77"/>
        <v/>
      </c>
    </row>
    <row r="2502" spans="1:11" ht="13.8">
      <c r="A2502" s="20">
        <f t="shared" ref="A2502:A2526" ca="1" si="78">IFERROR(DATEVALUE($B2502),"--")</f>
        <v>44896</v>
      </c>
      <c r="B2502" s="21" t="str">
        <f ca="1"/>
        <v>2022-12-01</v>
      </c>
      <c r="C2502" s="22">
        <f ca="1"/>
        <v>253.86999499999999</v>
      </c>
      <c r="D2502" s="22">
        <f ca="1"/>
        <v>256.11999500000002</v>
      </c>
      <c r="E2502" s="22">
        <f ca="1"/>
        <v>250.91999799999999</v>
      </c>
      <c r="F2502" s="22">
        <f ca="1"/>
        <v>254.69000199999999</v>
      </c>
      <c r="G2502" s="22">
        <f ca="1"/>
        <v>254.69000199999999</v>
      </c>
      <c r="H2502" s="69">
        <f ca="1"/>
        <v>26041500</v>
      </c>
      <c r="I2502" s="23" t="str">
        <f t="shared" ref="I2502:I2526" ca="1" si="79">IFERROR(IF(Ticker&lt;&gt;$Q$2,"",INDEX($P:$P,MATCH($A2502,$O:$O,0))),"")</f>
        <v/>
      </c>
    </row>
    <row r="2503" spans="1:11" ht="13.8">
      <c r="A2503" s="20">
        <f t="shared" ca="1" si="78"/>
        <v>44897</v>
      </c>
      <c r="B2503" s="21" t="str">
        <f ca="1"/>
        <v>2022-12-02</v>
      </c>
      <c r="C2503" s="22">
        <f ca="1"/>
        <v>249.820007</v>
      </c>
      <c r="D2503" s="22">
        <f ca="1"/>
        <v>256.05999800000001</v>
      </c>
      <c r="E2503" s="22">
        <f ca="1"/>
        <v>249.69000199999999</v>
      </c>
      <c r="F2503" s="22">
        <f ca="1"/>
        <v>255.020004</v>
      </c>
      <c r="G2503" s="22">
        <f ca="1"/>
        <v>255.020004</v>
      </c>
      <c r="H2503" s="69">
        <f ca="1"/>
        <v>21528500</v>
      </c>
      <c r="I2503" s="23" t="str">
        <f t="shared" ca="1" si="79"/>
        <v/>
      </c>
    </row>
    <row r="2504" spans="1:11" ht="13.8">
      <c r="A2504" s="20">
        <f t="shared" ca="1" si="78"/>
        <v>44900</v>
      </c>
      <c r="B2504" s="21" t="str">
        <f ca="1"/>
        <v>2022-12-05</v>
      </c>
      <c r="C2504" s="22">
        <f ca="1"/>
        <v>252.009995</v>
      </c>
      <c r="D2504" s="22">
        <f ca="1"/>
        <v>253.820007</v>
      </c>
      <c r="E2504" s="22">
        <f ca="1"/>
        <v>248.05999800000001</v>
      </c>
      <c r="F2504" s="22">
        <f ca="1"/>
        <v>250.199997</v>
      </c>
      <c r="G2504" s="22">
        <f ca="1"/>
        <v>250.199997</v>
      </c>
      <c r="H2504" s="69">
        <f ca="1"/>
        <v>23435300</v>
      </c>
      <c r="I2504" s="23" t="str">
        <f t="shared" ca="1" si="79"/>
        <v/>
      </c>
    </row>
    <row r="2505" spans="1:11" ht="13.8">
      <c r="A2505" s="20">
        <f t="shared" ca="1" si="78"/>
        <v>44901</v>
      </c>
      <c r="B2505" s="21" t="str">
        <f ca="1"/>
        <v>2022-12-06</v>
      </c>
      <c r="C2505" s="22">
        <f ca="1"/>
        <v>250.820007</v>
      </c>
      <c r="D2505" s="22">
        <f ca="1"/>
        <v>251.86000100000001</v>
      </c>
      <c r="E2505" s="22">
        <f ca="1"/>
        <v>243.779999</v>
      </c>
      <c r="F2505" s="22">
        <f ca="1"/>
        <v>245.11999499999999</v>
      </c>
      <c r="G2505" s="22">
        <f ca="1"/>
        <v>245.11999499999999</v>
      </c>
      <c r="H2505" s="69">
        <f ca="1"/>
        <v>22463700</v>
      </c>
      <c r="I2505" s="23" t="str">
        <f t="shared" ca="1" si="79"/>
        <v/>
      </c>
    </row>
    <row r="2506" spans="1:11" ht="13.8">
      <c r="A2506" s="20">
        <f t="shared" ca="1" si="78"/>
        <v>44902</v>
      </c>
      <c r="B2506" s="21" t="str">
        <f ca="1"/>
        <v>2022-12-07</v>
      </c>
      <c r="C2506" s="22">
        <f ca="1"/>
        <v>244.83000200000001</v>
      </c>
      <c r="D2506" s="22">
        <f ca="1"/>
        <v>246.16000399999999</v>
      </c>
      <c r="E2506" s="22">
        <f ca="1"/>
        <v>242.21000699999999</v>
      </c>
      <c r="F2506" s="22">
        <f ca="1"/>
        <v>244.36999499999999</v>
      </c>
      <c r="G2506" s="22">
        <f ca="1"/>
        <v>244.36999499999999</v>
      </c>
      <c r="H2506" s="69">
        <f ca="1"/>
        <v>20481500</v>
      </c>
      <c r="I2506" s="23" t="str">
        <f t="shared" ca="1" si="79"/>
        <v/>
      </c>
      <c r="K2506" s="9" t="str">
        <f>[1]!smfGetYahooPortfolioView($CC$13:$CC$69,$CD$5:$EF$5,"Y",1)</f>
        <v>--</v>
      </c>
    </row>
    <row r="2507" spans="1:11" ht="13.8">
      <c r="A2507" s="20">
        <f t="shared" ca="1" si="78"/>
        <v>44903</v>
      </c>
      <c r="B2507" s="21" t="str">
        <f ca="1"/>
        <v>2022-12-08</v>
      </c>
      <c r="C2507" s="22">
        <f ca="1"/>
        <v>244.83999600000001</v>
      </c>
      <c r="D2507" s="22">
        <f ca="1"/>
        <v>248.740005</v>
      </c>
      <c r="E2507" s="22">
        <f ca="1"/>
        <v>243.05999800000001</v>
      </c>
      <c r="F2507" s="22">
        <f ca="1"/>
        <v>247.39999399999999</v>
      </c>
      <c r="G2507" s="22">
        <f ca="1"/>
        <v>247.39999399999999</v>
      </c>
      <c r="H2507" s="69">
        <f ca="1"/>
        <v>22611800</v>
      </c>
      <c r="I2507" s="23" t="str">
        <f t="shared" ca="1" si="79"/>
        <v/>
      </c>
    </row>
    <row r="2508" spans="1:11" ht="13.8">
      <c r="A2508" s="20">
        <f t="shared" ca="1" si="78"/>
        <v>44904</v>
      </c>
      <c r="B2508" s="21" t="str">
        <f ca="1"/>
        <v>2022-12-09</v>
      </c>
      <c r="C2508" s="22">
        <f ca="1"/>
        <v>244.699997</v>
      </c>
      <c r="D2508" s="22">
        <f ca="1"/>
        <v>248.30999800000001</v>
      </c>
      <c r="E2508" s="22">
        <f ca="1"/>
        <v>244.16000399999999</v>
      </c>
      <c r="F2508" s="22">
        <f ca="1"/>
        <v>245.41999799999999</v>
      </c>
      <c r="G2508" s="22">
        <f ca="1"/>
        <v>245.41999799999999</v>
      </c>
      <c r="H2508" s="69">
        <f ca="1"/>
        <v>20609700</v>
      </c>
      <c r="I2508" s="23" t="str">
        <f t="shared" ca="1" si="79"/>
        <v/>
      </c>
    </row>
    <row r="2509" spans="1:11" ht="13.8">
      <c r="A2509" s="20">
        <f t="shared" ca="1" si="78"/>
        <v>44907</v>
      </c>
      <c r="B2509" s="21" t="str">
        <f ca="1"/>
        <v>2022-12-12</v>
      </c>
      <c r="C2509" s="22">
        <f ca="1"/>
        <v>247.449997</v>
      </c>
      <c r="D2509" s="22">
        <f ca="1"/>
        <v>252.53999300000001</v>
      </c>
      <c r="E2509" s="22">
        <f ca="1"/>
        <v>247.16999799999999</v>
      </c>
      <c r="F2509" s="22">
        <f ca="1"/>
        <v>252.509995</v>
      </c>
      <c r="G2509" s="22">
        <f ca="1"/>
        <v>252.509995</v>
      </c>
      <c r="H2509" s="69">
        <f ca="1"/>
        <v>30665100</v>
      </c>
      <c r="I2509" s="23" t="str">
        <f t="shared" ca="1" si="79"/>
        <v/>
      </c>
    </row>
    <row r="2510" spans="1:11" ht="13.8">
      <c r="A2510" s="20">
        <f t="shared" ca="1" si="78"/>
        <v>44908</v>
      </c>
      <c r="B2510" s="21" t="str">
        <f ca="1"/>
        <v>2022-12-13</v>
      </c>
      <c r="C2510" s="22">
        <f ca="1"/>
        <v>261.69000199999999</v>
      </c>
      <c r="D2510" s="22">
        <f ca="1"/>
        <v>263.92001299999998</v>
      </c>
      <c r="E2510" s="22">
        <f ca="1"/>
        <v>253.070007</v>
      </c>
      <c r="F2510" s="22">
        <f ca="1"/>
        <v>256.92001299999998</v>
      </c>
      <c r="G2510" s="22">
        <f ca="1"/>
        <v>256.92001299999998</v>
      </c>
      <c r="H2510" s="69">
        <f ca="1"/>
        <v>42196900</v>
      </c>
      <c r="I2510" s="23" t="str">
        <f t="shared" ca="1" si="79"/>
        <v/>
      </c>
    </row>
    <row r="2511" spans="1:11" ht="13.8">
      <c r="A2511" s="20">
        <f t="shared" ca="1" si="78"/>
        <v>44909</v>
      </c>
      <c r="B2511" s="21" t="str">
        <f ca="1"/>
        <v>2022-12-14</v>
      </c>
      <c r="C2511" s="22">
        <f ca="1"/>
        <v>257.13000499999998</v>
      </c>
      <c r="D2511" s="22">
        <f ca="1"/>
        <v>262.58999599999999</v>
      </c>
      <c r="E2511" s="22">
        <f ca="1"/>
        <v>254.30999800000001</v>
      </c>
      <c r="F2511" s="22">
        <f ca="1"/>
        <v>257.22000100000002</v>
      </c>
      <c r="G2511" s="22">
        <f ca="1"/>
        <v>257.22000100000002</v>
      </c>
      <c r="H2511" s="69">
        <f ca="1"/>
        <v>35410900</v>
      </c>
      <c r="I2511" s="23" t="str">
        <f t="shared" ca="1" si="79"/>
        <v/>
      </c>
    </row>
    <row r="2512" spans="1:11" ht="13.8">
      <c r="A2512" s="20">
        <f t="shared" ca="1" si="78"/>
        <v>44910</v>
      </c>
      <c r="B2512" s="21" t="str">
        <f ca="1"/>
        <v>2022-12-15</v>
      </c>
      <c r="C2512" s="22">
        <f ca="1"/>
        <v>253.720001</v>
      </c>
      <c r="D2512" s="22">
        <f ca="1"/>
        <v>254.199997</v>
      </c>
      <c r="E2512" s="22">
        <f ca="1"/>
        <v>247.33999600000001</v>
      </c>
      <c r="F2512" s="22">
        <f ca="1"/>
        <v>249.009995</v>
      </c>
      <c r="G2512" s="22">
        <f ca="1"/>
        <v>249.009995</v>
      </c>
      <c r="H2512" s="69">
        <f ca="1"/>
        <v>35560400</v>
      </c>
      <c r="I2512" s="23" t="str">
        <f t="shared" ca="1" si="79"/>
        <v/>
      </c>
    </row>
    <row r="2513" spans="1:9" ht="13.8">
      <c r="A2513" s="20">
        <f t="shared" ca="1" si="78"/>
        <v>44911</v>
      </c>
      <c r="B2513" s="21" t="str">
        <f ca="1"/>
        <v>2022-12-16</v>
      </c>
      <c r="C2513" s="22">
        <f ca="1"/>
        <v>248.550003</v>
      </c>
      <c r="D2513" s="22">
        <f ca="1"/>
        <v>249.83999600000001</v>
      </c>
      <c r="E2513" s="22">
        <f ca="1"/>
        <v>243.509995</v>
      </c>
      <c r="F2513" s="22">
        <f ca="1"/>
        <v>244.69000199999999</v>
      </c>
      <c r="G2513" s="22">
        <f ca="1"/>
        <v>244.69000199999999</v>
      </c>
      <c r="H2513" s="69">
        <f ca="1"/>
        <v>86102000</v>
      </c>
      <c r="I2513" s="23" t="str">
        <f t="shared" ca="1" si="79"/>
        <v/>
      </c>
    </row>
    <row r="2514" spans="1:9" ht="13.8">
      <c r="A2514" s="20">
        <f t="shared" ca="1" si="78"/>
        <v>44914</v>
      </c>
      <c r="B2514" s="21" t="str">
        <f ca="1"/>
        <v>2022-12-19</v>
      </c>
      <c r="C2514" s="22">
        <f ca="1"/>
        <v>244.86000100000001</v>
      </c>
      <c r="D2514" s="22">
        <f ca="1"/>
        <v>245.21000699999999</v>
      </c>
      <c r="E2514" s="22">
        <f ca="1"/>
        <v>238.71000699999999</v>
      </c>
      <c r="F2514" s="22">
        <f ca="1"/>
        <v>240.449997</v>
      </c>
      <c r="G2514" s="22">
        <f ca="1"/>
        <v>240.449997</v>
      </c>
      <c r="H2514" s="69">
        <f ca="1"/>
        <v>29696400</v>
      </c>
      <c r="I2514" s="23" t="str">
        <f t="shared" ca="1" si="79"/>
        <v/>
      </c>
    </row>
    <row r="2515" spans="1:9" ht="13.8">
      <c r="A2515" s="20">
        <f t="shared" ca="1" si="78"/>
        <v>44915</v>
      </c>
      <c r="B2515" s="21" t="str">
        <f ca="1"/>
        <v>2022-12-20</v>
      </c>
      <c r="C2515" s="22">
        <f ca="1"/>
        <v>239.39999399999999</v>
      </c>
      <c r="D2515" s="22">
        <f ca="1"/>
        <v>242.91000399999999</v>
      </c>
      <c r="E2515" s="22">
        <f ca="1"/>
        <v>238.41999799999999</v>
      </c>
      <c r="F2515" s="22">
        <f ca="1"/>
        <v>241.800003</v>
      </c>
      <c r="G2515" s="22">
        <f ca="1"/>
        <v>241.800003</v>
      </c>
      <c r="H2515" s="69">
        <f ca="1"/>
        <v>25150800</v>
      </c>
      <c r="I2515" s="23" t="str">
        <f t="shared" ca="1" si="79"/>
        <v/>
      </c>
    </row>
    <row r="2516" spans="1:9" ht="13.8">
      <c r="A2516" s="20">
        <f t="shared" ca="1" si="78"/>
        <v>44916</v>
      </c>
      <c r="B2516" s="21" t="str">
        <f ca="1"/>
        <v>2022-12-21</v>
      </c>
      <c r="C2516" s="22">
        <f ca="1"/>
        <v>241.69000199999999</v>
      </c>
      <c r="D2516" s="22">
        <f ca="1"/>
        <v>245.61999499999999</v>
      </c>
      <c r="E2516" s="22">
        <f ca="1"/>
        <v>240.11000100000001</v>
      </c>
      <c r="F2516" s="22">
        <f ca="1"/>
        <v>244.429993</v>
      </c>
      <c r="G2516" s="22">
        <f ca="1"/>
        <v>244.429993</v>
      </c>
      <c r="H2516" s="69">
        <f ca="1"/>
        <v>23690600</v>
      </c>
      <c r="I2516" s="23" t="str">
        <f t="shared" ca="1" si="79"/>
        <v/>
      </c>
    </row>
    <row r="2517" spans="1:9" ht="13.8">
      <c r="A2517" s="20">
        <f t="shared" ca="1" si="78"/>
        <v>44917</v>
      </c>
      <c r="B2517" s="21" t="str">
        <f ca="1"/>
        <v>2022-12-22</v>
      </c>
      <c r="C2517" s="22">
        <f ca="1"/>
        <v>241.259995</v>
      </c>
      <c r="D2517" s="22">
        <f ca="1"/>
        <v>241.990005</v>
      </c>
      <c r="E2517" s="22">
        <f ca="1"/>
        <v>233.86999499999999</v>
      </c>
      <c r="F2517" s="22">
        <f ca="1"/>
        <v>238.19000199999999</v>
      </c>
      <c r="G2517" s="22">
        <f ca="1"/>
        <v>238.19000199999999</v>
      </c>
      <c r="H2517" s="69">
        <f ca="1"/>
        <v>28651700</v>
      </c>
      <c r="I2517" s="23" t="str">
        <f t="shared" ca="1" si="79"/>
        <v/>
      </c>
    </row>
    <row r="2518" spans="1:9" ht="13.8">
      <c r="A2518" s="20">
        <f t="shared" ca="1" si="78"/>
        <v>44918</v>
      </c>
      <c r="B2518" s="21" t="str">
        <f ca="1"/>
        <v>2022-12-23</v>
      </c>
      <c r="C2518" s="22">
        <f ca="1"/>
        <v>236.11000100000001</v>
      </c>
      <c r="D2518" s="22">
        <f ca="1"/>
        <v>238.86999499999999</v>
      </c>
      <c r="E2518" s="22">
        <f ca="1"/>
        <v>233.94000199999999</v>
      </c>
      <c r="F2518" s="22">
        <f ca="1"/>
        <v>238.729996</v>
      </c>
      <c r="G2518" s="22">
        <f ca="1"/>
        <v>238.729996</v>
      </c>
      <c r="H2518" s="69">
        <f ca="1"/>
        <v>21207000</v>
      </c>
      <c r="I2518" s="23" t="str">
        <f t="shared" ca="1" si="79"/>
        <v/>
      </c>
    </row>
    <row r="2519" spans="1:9" ht="13.8">
      <c r="A2519" s="20">
        <f t="shared" ca="1" si="78"/>
        <v>44922</v>
      </c>
      <c r="B2519" s="21" t="str">
        <f ca="1"/>
        <v>2022-12-27</v>
      </c>
      <c r="C2519" s="22">
        <f ca="1"/>
        <v>238.699997</v>
      </c>
      <c r="D2519" s="22">
        <f ca="1"/>
        <v>238.929993</v>
      </c>
      <c r="E2519" s="22">
        <f ca="1"/>
        <v>235.83000200000001</v>
      </c>
      <c r="F2519" s="22">
        <f ca="1"/>
        <v>236.96000699999999</v>
      </c>
      <c r="G2519" s="22">
        <f ca="1"/>
        <v>236.96000699999999</v>
      </c>
      <c r="H2519" s="69">
        <f ca="1"/>
        <v>16688600</v>
      </c>
      <c r="I2519" s="23" t="str">
        <f t="shared" ca="1" si="79"/>
        <v/>
      </c>
    </row>
    <row r="2520" spans="1:9" ht="13.8">
      <c r="A2520" s="20">
        <f t="shared" ca="1" si="78"/>
        <v>44923</v>
      </c>
      <c r="B2520" s="21" t="str">
        <f ca="1"/>
        <v>2022-12-28</v>
      </c>
      <c r="C2520" s="22">
        <f ca="1"/>
        <v>236.88999899999999</v>
      </c>
      <c r="D2520" s="22">
        <f ca="1"/>
        <v>239.720001</v>
      </c>
      <c r="E2520" s="22">
        <f ca="1"/>
        <v>234.16999799999999</v>
      </c>
      <c r="F2520" s="22">
        <f ca="1"/>
        <v>234.529999</v>
      </c>
      <c r="G2520" s="22">
        <f ca="1"/>
        <v>234.529999</v>
      </c>
      <c r="H2520" s="69">
        <f ca="1"/>
        <v>17457100</v>
      </c>
      <c r="I2520" s="23" t="str">
        <f t="shared" ca="1" si="79"/>
        <v/>
      </c>
    </row>
    <row r="2521" spans="1:9" ht="13.8">
      <c r="A2521" s="20">
        <f t="shared" ca="1" si="78"/>
        <v>44924</v>
      </c>
      <c r="B2521" s="21" t="str">
        <f ca="1"/>
        <v>2022-12-29</v>
      </c>
      <c r="C2521" s="22">
        <f ca="1"/>
        <v>235.64999399999999</v>
      </c>
      <c r="D2521" s="22">
        <f ca="1"/>
        <v>241.91999799999999</v>
      </c>
      <c r="E2521" s="22">
        <f ca="1"/>
        <v>235.64999399999999</v>
      </c>
      <c r="F2521" s="22">
        <f ca="1"/>
        <v>241.009995</v>
      </c>
      <c r="G2521" s="22">
        <f ca="1"/>
        <v>241.009995</v>
      </c>
      <c r="H2521" s="69">
        <f ca="1"/>
        <v>19770700</v>
      </c>
      <c r="I2521" s="23" t="str">
        <f t="shared" ca="1" si="79"/>
        <v/>
      </c>
    </row>
    <row r="2522" spans="1:9" ht="13.8">
      <c r="A2522" s="20" t="str">
        <f t="shared" ca="1" si="78"/>
        <v>--</v>
      </c>
      <c r="B2522" s="21" t="str">
        <f ca="1"/>
        <v/>
      </c>
      <c r="C2522" s="22" t="str">
        <f ca="1"/>
        <v/>
      </c>
      <c r="D2522" s="22" t="str">
        <f ca="1"/>
        <v/>
      </c>
      <c r="E2522" s="22" t="str">
        <f ca="1"/>
        <v/>
      </c>
      <c r="F2522" s="22" t="str">
        <f ca="1"/>
        <v/>
      </c>
      <c r="G2522" s="22" t="str">
        <f ca="1"/>
        <v/>
      </c>
      <c r="H2522" s="69" t="str">
        <f ca="1"/>
        <v/>
      </c>
      <c r="I2522" s="23" t="str">
        <f t="shared" ca="1" si="79"/>
        <v/>
      </c>
    </row>
    <row r="2523" spans="1:9" ht="13.8">
      <c r="A2523" s="20" t="str">
        <f t="shared" ca="1" si="78"/>
        <v>--</v>
      </c>
      <c r="B2523" s="21" t="str">
        <f ca="1"/>
        <v/>
      </c>
      <c r="C2523" s="22" t="str">
        <f ca="1"/>
        <v/>
      </c>
      <c r="D2523" s="22" t="str">
        <f ca="1"/>
        <v/>
      </c>
      <c r="E2523" s="22" t="str">
        <f ca="1"/>
        <v/>
      </c>
      <c r="F2523" s="22" t="str">
        <f ca="1"/>
        <v/>
      </c>
      <c r="G2523" s="22" t="str">
        <f ca="1"/>
        <v/>
      </c>
      <c r="H2523" s="69" t="str">
        <f ca="1"/>
        <v/>
      </c>
      <c r="I2523" s="23" t="str">
        <f t="shared" ca="1" si="79"/>
        <v/>
      </c>
    </row>
    <row r="2524" spans="1:9" ht="13.8">
      <c r="A2524" s="20" t="str">
        <f t="shared" ca="1" si="78"/>
        <v>--</v>
      </c>
      <c r="B2524" s="21" t="str">
        <f ca="1"/>
        <v/>
      </c>
      <c r="C2524" s="22" t="str">
        <f ca="1"/>
        <v/>
      </c>
      <c r="D2524" s="22" t="str">
        <f ca="1"/>
        <v/>
      </c>
      <c r="E2524" s="22" t="str">
        <f ca="1"/>
        <v/>
      </c>
      <c r="F2524" s="22" t="str">
        <f ca="1"/>
        <v/>
      </c>
      <c r="G2524" s="22" t="str">
        <f ca="1"/>
        <v/>
      </c>
      <c r="H2524" s="69" t="str">
        <f ca="1"/>
        <v/>
      </c>
      <c r="I2524" s="23" t="str">
        <f t="shared" ca="1" si="79"/>
        <v/>
      </c>
    </row>
    <row r="2525" spans="1:9" ht="13.8">
      <c r="A2525" s="20" t="str">
        <f t="shared" ca="1" si="78"/>
        <v>--</v>
      </c>
      <c r="B2525" s="21" t="str">
        <f ca="1"/>
        <v/>
      </c>
      <c r="C2525" s="22" t="str">
        <f ca="1"/>
        <v/>
      </c>
      <c r="D2525" s="22" t="str">
        <f ca="1"/>
        <v/>
      </c>
      <c r="E2525" s="22" t="str">
        <f ca="1"/>
        <v/>
      </c>
      <c r="F2525" s="22" t="str">
        <f ca="1"/>
        <v/>
      </c>
      <c r="G2525" s="22" t="str">
        <f ca="1"/>
        <v/>
      </c>
      <c r="H2525" s="69" t="str">
        <f ca="1"/>
        <v/>
      </c>
      <c r="I2525" s="23" t="str">
        <f t="shared" ca="1" si="79"/>
        <v/>
      </c>
    </row>
    <row r="2526" spans="1:9" ht="13.8">
      <c r="A2526" s="20" t="str">
        <f t="shared" ca="1" si="78"/>
        <v>--</v>
      </c>
      <c r="B2526" s="21" t="str">
        <f ca="1"/>
        <v/>
      </c>
      <c r="C2526" s="22" t="str">
        <f ca="1"/>
        <v/>
      </c>
      <c r="D2526" s="22" t="str">
        <f ca="1"/>
        <v/>
      </c>
      <c r="E2526" s="22" t="str">
        <f ca="1"/>
        <v/>
      </c>
      <c r="F2526" s="22" t="str">
        <f ca="1"/>
        <v/>
      </c>
      <c r="G2526" s="22" t="str">
        <f ca="1"/>
        <v/>
      </c>
      <c r="H2526" s="69" t="str">
        <f ca="1"/>
        <v/>
      </c>
      <c r="I2526" s="23" t="str">
        <f t="shared" ca="1" si="79"/>
        <v/>
      </c>
    </row>
    <row r="2527" spans="1:9" ht="13.8">
      <c r="A2527" s="24"/>
      <c r="B2527" s="25"/>
      <c r="C2527" s="26"/>
      <c r="D2527" s="26"/>
      <c r="E2527" s="26"/>
      <c r="F2527" s="26"/>
      <c r="G2527" s="26"/>
      <c r="H2527" s="70"/>
      <c r="I2527" s="24"/>
    </row>
    <row r="2528" spans="1:9" ht="13.8">
      <c r="A2528" s="20">
        <f>[1]!smfGetYahooPortfolioView(Ticker,"78")</f>
        <v>44929</v>
      </c>
      <c r="B2528" s="41">
        <f>[1]!smfGetYahooPortfolioView(Ticker,"79")</f>
        <v>0.6667129629666666</v>
      </c>
      <c r="C2528" s="27">
        <f>[1]!smfGetYahooPortfolioView(Ticker,"18")</f>
        <v>243.08</v>
      </c>
      <c r="D2528" s="27">
        <f>[1]!smfGetYahooPortfolioView(Ticker,"19")</f>
        <v>245.75</v>
      </c>
      <c r="E2528" s="27">
        <f>[1]!smfGetYahooPortfolioView(Ticker,"20")</f>
        <v>237.4</v>
      </c>
      <c r="F2528" s="27">
        <f>[1]!smfGetYahooPortfolioView(Ticker,"15")</f>
        <v>239.58</v>
      </c>
      <c r="G2528" s="27">
        <f>[1]!smfGetYahooPortfolioView(Ticker,"15")</f>
        <v>239.58</v>
      </c>
      <c r="H2528" s="69">
        <f>[1]!smfGetYahooPortfolioView(Ticker,"21")</f>
        <v>25679275</v>
      </c>
      <c r="I2528" s="24"/>
    </row>
  </sheetData>
  <conditionalFormatting sqref="B2:C2 E2:F2">
    <cfRule type="expression" dxfId="1" priority="2">
      <formula>$F$2="Invalid"</formula>
    </cfRule>
  </conditionalFormatting>
  <conditionalFormatting sqref="Q2">
    <cfRule type="expression" priority="1" stopIfTrue="1">
      <formula>$Q$2=""</formula>
    </cfRule>
  </conditionalFormatting>
  <conditionalFormatting sqref="I4:I2526 Q2:T2">
    <cfRule type="expression" dxfId="0" priority="12">
      <formula>$Q$2&lt;&gt;$H$1</formula>
    </cfRule>
  </conditionalFormatting>
  <dataValidations disablePrompts="1" count="1">
    <dataValidation type="list" allowBlank="1" showInputMessage="1" showErrorMessage="1" sqref="K6">
      <formula1>"1d,1wk,1mo"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smfGetCSVFile()</vt:lpstr>
      <vt:lpstr>'smfGetCSVFile()'!Dividends_Copied_From_CSV</vt:lpstr>
      <vt:lpstr>End_Date</vt:lpstr>
      <vt:lpstr>Interval</vt:lpstr>
      <vt:lpstr>Start_Date</vt:lpstr>
      <vt:lpstr>Ticker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</dc:creator>
  <cp:lastModifiedBy>Chris</cp:lastModifiedBy>
  <dcterms:created xsi:type="dcterms:W3CDTF">2021-01-06T22:28:08Z</dcterms:created>
  <dcterms:modified xsi:type="dcterms:W3CDTF">2023-01-03T22:08:49Z</dcterms:modified>
</cp:coreProperties>
</file>